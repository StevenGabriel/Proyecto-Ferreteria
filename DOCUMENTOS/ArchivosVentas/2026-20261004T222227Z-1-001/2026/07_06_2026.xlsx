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<sst xmlns="http://schemas.openxmlformats.org/spreadsheetml/2006/main" count="142" uniqueCount="140">
  <si>
    <t>HOJA DE CALCULO FERRETERIA</t>
  </si>
  <si>
    <t>CODIGO</t>
  </si>
  <si>
    <t>CANTIDAD</t>
  </si>
  <si>
    <t>DESCRIPCION</t>
  </si>
  <si>
    <t>TOTAL</t>
  </si>
  <si>
    <t>HORA</t>
  </si>
  <si>
    <t>CUADRAR</t>
  </si>
  <si>
    <t>pern hex 3/8 *4 1/2</t>
  </si>
  <si>
    <t>per hex 3/8*5</t>
  </si>
  <si>
    <t>MONEDAS</t>
  </si>
  <si>
    <t>CAJA CHICA</t>
  </si>
  <si>
    <t>ara</t>
  </si>
  <si>
    <t>BILLETES 10-20</t>
  </si>
  <si>
    <t>TOTAL VENTAS DIA</t>
  </si>
  <si>
    <t>chip 5*40</t>
  </si>
  <si>
    <t>BILLETES 50-100-200</t>
  </si>
  <si>
    <t>AUMENTO DE DINERO</t>
  </si>
  <si>
    <t>broca concreto irwin 6</t>
  </si>
  <si>
    <t>INGRESOS YAPE</t>
  </si>
  <si>
    <t>juego de llaves alen</t>
  </si>
  <si>
    <t>INGRESOS TARJETA</t>
  </si>
  <si>
    <t>reversible mediano</t>
  </si>
  <si>
    <t>GASTOS VARIOS</t>
  </si>
  <si>
    <t>teflo</t>
  </si>
  <si>
    <t>grifo poly</t>
  </si>
  <si>
    <t>DINERO GANADO HOY:</t>
  </si>
  <si>
    <t>CANTIDAD DINERO CAJA:</t>
  </si>
  <si>
    <t>brocha de 4</t>
  </si>
  <si>
    <t>brochas de 2</t>
  </si>
  <si>
    <t>mt lij</t>
  </si>
  <si>
    <t xml:space="preserve">clvija </t>
  </si>
  <si>
    <t>carpicol</t>
  </si>
  <si>
    <t>poxilin</t>
  </si>
  <si>
    <t>m hilo</t>
  </si>
  <si>
    <t>YAPE MAMÁ</t>
  </si>
  <si>
    <t>YAPE PAPÁ</t>
  </si>
  <si>
    <t>YAPE</t>
  </si>
  <si>
    <t>casco tamonot</t>
  </si>
  <si>
    <t>Monto Total YAPE (No tocar):</t>
  </si>
  <si>
    <t>resorte ramonta</t>
  </si>
  <si>
    <t>cina embalafe</t>
  </si>
  <si>
    <t>Monto Total Registrado en aplicacion</t>
  </si>
  <si>
    <t>cinta doble conacto</t>
  </si>
  <si>
    <t>tapon macho fg 1/2</t>
  </si>
  <si>
    <t>yeso</t>
  </si>
  <si>
    <t>chip 4*40</t>
  </si>
  <si>
    <t>teflon</t>
  </si>
  <si>
    <t>m plastico</t>
  </si>
  <si>
    <t>alicate  makwa</t>
  </si>
  <si>
    <t>latex 2,5</t>
  </si>
  <si>
    <t>PAGOS YAPE</t>
  </si>
  <si>
    <t>DESCRIPCION PAGO</t>
  </si>
  <si>
    <t>rodillo inca</t>
  </si>
  <si>
    <t>m lija</t>
  </si>
  <si>
    <t>broca fierro irwin 6</t>
  </si>
  <si>
    <t>escuada uyus</t>
  </si>
  <si>
    <t>IMATON</t>
  </si>
  <si>
    <t>KL ELECTROD DELGADO</t>
  </si>
  <si>
    <t>ABRAZASERAS</t>
  </si>
  <si>
    <t xml:space="preserve">JUEGO PIEDAR </t>
  </si>
  <si>
    <t>BATERIA VOLEC</t>
  </si>
  <si>
    <t>ASPERSOR UYUS</t>
  </si>
  <si>
    <t>NIPLES 1</t>
  </si>
  <si>
    <t>TEFLON</t>
  </si>
  <si>
    <t>ESPUMAS EXPANSIVAS</t>
  </si>
  <si>
    <t>POXILINA</t>
  </si>
  <si>
    <t>CODO FG 11/4</t>
  </si>
  <si>
    <t>UNIN PATNETE TIGRE 2</t>
  </si>
  <si>
    <t>NIPLE  2</t>
  </si>
  <si>
    <t>VALVULA RETENCION  2</t>
  </si>
  <si>
    <t>TEE 2</t>
  </si>
  <si>
    <t>REFUCION 2*11/4</t>
  </si>
  <si>
    <t>CJA DE TEFLON</t>
  </si>
  <si>
    <t>FLOTADOR</t>
  </si>
  <si>
    <t>CINTA ASILANTE</t>
  </si>
  <si>
    <t>LLAVE DE PASO 11/4</t>
  </si>
  <si>
    <t>rem po</t>
  </si>
  <si>
    <t>rem pop</t>
  </si>
  <si>
    <t>tuercas heagonaels</t>
  </si>
  <si>
    <t>llave combiand</t>
  </si>
  <si>
    <t>nivel uyus</t>
  </si>
  <si>
    <t>disco galleta uyus</t>
  </si>
  <si>
    <t>cince artezanal</t>
  </si>
  <si>
    <t>cina asialnte</t>
  </si>
  <si>
    <t>rastrillo artezaa</t>
  </si>
  <si>
    <t>picota artezas</t>
  </si>
  <si>
    <t>martillo chato</t>
  </si>
  <si>
    <t>sifon simple lavaplaots</t>
  </si>
  <si>
    <t>sinetica 220</t>
  </si>
  <si>
    <t>brocha roja 1</t>
  </si>
  <si>
    <t>barra de ferza uyus</t>
  </si>
  <si>
    <t xml:space="preserve">broca 3.5 </t>
  </si>
  <si>
    <t>broca 2.5</t>
  </si>
  <si>
    <t>broca 4,5</t>
  </si>
  <si>
    <t>lima repuesto 10</t>
  </si>
  <si>
    <t>mangu de lima</t>
  </si>
  <si>
    <t>punta dado 10</t>
  </si>
  <si>
    <t>clefa 500ml</t>
  </si>
  <si>
    <t>siliconaakfi trans</t>
  </si>
  <si>
    <t>2kl</t>
  </si>
  <si>
    <t>electrodo grueso uyus</t>
  </si>
  <si>
    <t>union de manguera 1/2</t>
  </si>
  <si>
    <t>bolsa escaudra 1 hr</t>
  </si>
  <si>
    <t>silicona akfix blanca</t>
  </si>
  <si>
    <t>disco remobedor</t>
  </si>
  <si>
    <t>duscha lorenzety</t>
  </si>
  <si>
    <t>cinta tela</t>
  </si>
  <si>
    <t>cinta embalaje</t>
  </si>
  <si>
    <t>sintetica marron 1l</t>
  </si>
  <si>
    <t>3,5l</t>
  </si>
  <si>
    <t>anticorrosivo caoba</t>
  </si>
  <si>
    <t xml:space="preserve">brocha </t>
  </si>
  <si>
    <t>brocha</t>
  </si>
  <si>
    <t>1m</t>
  </si>
  <si>
    <t>lija 120</t>
  </si>
  <si>
    <t>cemeto cola</t>
  </si>
  <si>
    <t>M MANGUERA 1/2</t>
  </si>
  <si>
    <t>llave de paso 1/2</t>
  </si>
  <si>
    <t>oate</t>
  </si>
  <si>
    <t>adaptdor</t>
  </si>
  <si>
    <t>codo adaptador</t>
  </si>
  <si>
    <t>codo 1/2</t>
  </si>
  <si>
    <t>cemento blanco</t>
  </si>
  <si>
    <t>reparo</t>
  </si>
  <si>
    <t>foco 50w</t>
  </si>
  <si>
    <t>sierra sabletotal</t>
  </si>
  <si>
    <t xml:space="preserve">chio </t>
  </si>
  <si>
    <t>rampus 6</t>
  </si>
  <si>
    <t>ramplus10</t>
  </si>
  <si>
    <t xml:space="preserve">tiraloano </t>
  </si>
  <si>
    <t>broca concreto 6</t>
  </si>
  <si>
    <t>broca coancreto 10</t>
  </si>
  <si>
    <t>tubo 11/2</t>
  </si>
  <si>
    <t>codo desgue 11/2</t>
  </si>
  <si>
    <t>brocxa paleta 3/8</t>
  </si>
  <si>
    <t>pulpito</t>
  </si>
  <si>
    <t>cinta fie tela</t>
  </si>
  <si>
    <t>parche</t>
  </si>
  <si>
    <t>pie de aigo</t>
  </si>
  <si>
    <t>chip 4*20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</si>
</sst>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4.0</v>
      </c>
      <c r="C8" s="7" t="s">
        <v>7</v>
      </c>
      <c r="D8" s="6">
        <v>16.0</v>
      </c>
      <c r="E8" s="8">
        <v>46180.37837200232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4.0</v>
      </c>
      <c r="C9" s="7" t="s">
        <v>8</v>
      </c>
      <c r="D9" s="6">
        <v>20.0</v>
      </c>
      <c r="E9" s="8">
        <v>46180.37845954861</v>
      </c>
      <c r="F9" s="2"/>
      <c r="G9" s="9" t="s">
        <v>9</v>
      </c>
      <c r="H9" s="10">
        <v>243.5</v>
      </c>
      <c r="I9" s="2"/>
      <c r="J9" s="9" t="s">
        <v>10</v>
      </c>
      <c r="K9" s="10">
        <v>447.0</v>
      </c>
      <c r="L9" s="2"/>
      <c r="M9" s="2"/>
      <c r="N9" s="2"/>
      <c r="O9" s="2"/>
      <c r="P9" s="2"/>
      <c r="Q9" s="2"/>
    </row>
    <row r="10" ht="22.5" customHeight="1">
      <c r="A10" s="6"/>
      <c r="B10" s="6">
        <v>12.0</v>
      </c>
      <c r="C10" s="7" t="s">
        <v>11</v>
      </c>
      <c r="D10" s="6">
        <v>4.5</v>
      </c>
      <c r="E10" s="8">
        <v>46180.37928386574</v>
      </c>
      <c r="F10" s="2"/>
      <c r="G10" s="9" t="s">
        <v>12</v>
      </c>
      <c r="H10" s="10">
        <v>140.0</v>
      </c>
      <c r="I10" s="2"/>
      <c r="J10" s="9" t="s">
        <v>13</v>
      </c>
      <c r="K10" s="11">
        <f>SUM(PRINCIPAL[TOTAL])</f>
        <v>5066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60.0</v>
      </c>
      <c r="C11" s="7" t="s">
        <v>14</v>
      </c>
      <c r="D11" s="6">
        <v>17.5</v>
      </c>
      <c r="E11" s="8">
        <v>46180.38193228009</v>
      </c>
      <c r="F11" s="2"/>
      <c r="G11" s="9" t="s">
        <v>15</v>
      </c>
      <c r="H11" s="10">
        <v>2900.0</v>
      </c>
      <c r="I11" s="2"/>
      <c r="J11" s="9" t="s">
        <v>16</v>
      </c>
      <c r="K11" s="10">
        <v>205.0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20.0</v>
      </c>
      <c r="E12" s="8">
        <v>46180.382131377315</v>
      </c>
      <c r="F12" s="2"/>
      <c r="G12" s="9" t="s">
        <v>18</v>
      </c>
      <c r="H12" s="12">
        <f>SUM(G24:H361)</f>
        <v>2585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86.0</v>
      </c>
      <c r="E13" s="8">
        <v>46180.38230517361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8.0</v>
      </c>
      <c r="E14" s="8">
        <v>46180.38240650463</v>
      </c>
      <c r="F14" s="2"/>
      <c r="G14" s="9" t="s">
        <v>22</v>
      </c>
      <c r="H14" s="10">
        <v>68.0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2.5</v>
      </c>
      <c r="E15" s="8">
        <v>46180.39352817129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360.0</v>
      </c>
      <c r="E16" s="8">
        <v>46180.393701354165</v>
      </c>
      <c r="F16" s="2"/>
      <c r="G16" s="15" t="s">
        <v>25</v>
      </c>
      <c r="H16" s="16">
        <f>SUM(H9:H14)</f>
        <v>5936.5</v>
      </c>
      <c r="I16" s="3"/>
      <c r="J16" s="15" t="s">
        <v>26</v>
      </c>
      <c r="K16" s="16">
        <f>SUM(K9:K11)</f>
        <v>5718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16.0</v>
      </c>
      <c r="E17" s="8">
        <v>46180.393989606484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24.0</v>
      </c>
      <c r="E18" s="8">
        <v>46180.39421982639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218,50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5.0</v>
      </c>
      <c r="E19" s="8">
        <v>46180.39430914352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32.0</v>
      </c>
      <c r="E20" s="8">
        <v>46180.398654178236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17.0</v>
      </c>
      <c r="E21" s="8">
        <v>46180.40333863426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35.0</v>
      </c>
      <c r="E22" s="8">
        <v>46180.41640383102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5.0</v>
      </c>
      <c r="C23" s="7" t="s">
        <v>33</v>
      </c>
      <c r="D23" s="6">
        <v>7.5</v>
      </c>
      <c r="E23" s="8">
        <v>46180.41645387732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23.0</v>
      </c>
      <c r="E24" s="8">
        <v>46180.416527974536</v>
      </c>
      <c r="F24" s="2"/>
      <c r="G24" s="22">
        <v>360.0</v>
      </c>
      <c r="H24" s="23"/>
      <c r="I24" s="2"/>
      <c r="J24" s="24" t="s">
        <v>38</v>
      </c>
      <c r="K24" s="25">
        <f>SUM(INGRESOS_YAPE[])</f>
        <v>2585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13.0</v>
      </c>
      <c r="E25" s="8">
        <v>46180.41660292824</v>
      </c>
      <c r="F25" s="2"/>
      <c r="G25" s="22">
        <v>159.0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20.0</v>
      </c>
      <c r="E26" s="8">
        <v>46180.41686228009</v>
      </c>
      <c r="F26" s="2"/>
      <c r="G26" s="26">
        <v>52.0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98.0</v>
      </c>
      <c r="E27" s="8">
        <v>46180.41703331019</v>
      </c>
      <c r="F27" s="2"/>
      <c r="G27" s="22">
        <v>32.0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43</v>
      </c>
      <c r="D28" s="6">
        <v>21.0</v>
      </c>
      <c r="E28" s="8">
        <v>46180.41710841435</v>
      </c>
      <c r="F28" s="2"/>
      <c r="G28" s="22">
        <v>27.0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16.0</v>
      </c>
      <c r="E29" s="8">
        <v>46180.41950978009</v>
      </c>
      <c r="F29" s="2"/>
      <c r="G29" s="22">
        <v>270.5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2585,00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12.0</v>
      </c>
      <c r="C30" s="7" t="s">
        <v>45</v>
      </c>
      <c r="D30" s="6">
        <v>3.0</v>
      </c>
      <c r="E30" s="8">
        <v>46180.422071354165</v>
      </c>
      <c r="F30" s="2"/>
      <c r="G30" s="22">
        <v>248.5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2.5</v>
      </c>
      <c r="E31" s="8">
        <v>46180.423965625</v>
      </c>
      <c r="F31" s="2"/>
      <c r="G31" s="22">
        <v>19.0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5.0</v>
      </c>
      <c r="E32" s="8">
        <v>46180.42959596065</v>
      </c>
      <c r="F32" s="2"/>
      <c r="G32" s="22">
        <v>14.0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90.0</v>
      </c>
      <c r="E33" s="8">
        <v>46180.46583149306</v>
      </c>
      <c r="F33" s="2"/>
      <c r="G33" s="22">
        <v>83.0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49</v>
      </c>
      <c r="D34" s="6">
        <v>260.0</v>
      </c>
      <c r="E34" s="8">
        <v>46180.429697604166</v>
      </c>
      <c r="F34" s="2"/>
      <c r="G34" s="22">
        <v>100.0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17.0</v>
      </c>
      <c r="E35" s="8">
        <v>46180.42979393518</v>
      </c>
      <c r="F35" s="2"/>
      <c r="G35" s="22">
        <v>75.0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0.5</v>
      </c>
      <c r="C36" s="7" t="s">
        <v>53</v>
      </c>
      <c r="D36" s="6">
        <v>5.0</v>
      </c>
      <c r="E36" s="8">
        <v>46180.42988516204</v>
      </c>
      <c r="F36" s="2"/>
      <c r="G36" s="22">
        <v>155.0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30.0</v>
      </c>
      <c r="E37" s="8">
        <v>46180.454130300925</v>
      </c>
      <c r="F37" s="2"/>
      <c r="G37" s="22">
        <v>330.0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22.0</v>
      </c>
      <c r="E38" s="8">
        <v>46180.454281412036</v>
      </c>
      <c r="F38" s="2"/>
      <c r="G38" s="22">
        <v>245.0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25.0</v>
      </c>
      <c r="E39" s="8">
        <v>46180.46939378472</v>
      </c>
      <c r="F39" s="2"/>
      <c r="G39" s="22">
        <v>276.0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0.5</v>
      </c>
      <c r="C40" s="7" t="s">
        <v>57</v>
      </c>
      <c r="D40" s="6">
        <v>29.0</v>
      </c>
      <c r="E40" s="8">
        <v>46180.492003217594</v>
      </c>
      <c r="F40" s="2"/>
      <c r="G40" s="22">
        <v>65.0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58</v>
      </c>
      <c r="D41" s="6">
        <v>3.0</v>
      </c>
      <c r="E41" s="8">
        <v>46180.492431018516</v>
      </c>
      <c r="F41" s="2"/>
      <c r="G41" s="22">
        <v>22.0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12.0</v>
      </c>
      <c r="E42" s="8">
        <v>46180.485099467594</v>
      </c>
      <c r="F42" s="2"/>
      <c r="G42" s="22">
        <v>30.0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22.0</v>
      </c>
      <c r="E43" s="8">
        <v>46180.49212783565</v>
      </c>
      <c r="F43" s="2"/>
      <c r="G43" s="22">
        <v>22.0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45.0</v>
      </c>
      <c r="E44" s="8">
        <v>46180.492187199074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62</v>
      </c>
      <c r="D45" s="6">
        <v>22.0</v>
      </c>
      <c r="E45" s="8">
        <v>46180.493807604165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63</v>
      </c>
      <c r="D46" s="6">
        <v>5.0</v>
      </c>
      <c r="E46" s="8">
        <v>46180.49384439815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64</v>
      </c>
      <c r="D47" s="6">
        <v>246.0</v>
      </c>
      <c r="E47" s="8">
        <v>46180.495551458334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38.0</v>
      </c>
      <c r="E48" s="8">
        <v>46181.35626035879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52.0</v>
      </c>
      <c r="E49" s="8">
        <v>46181.395963229166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86.0</v>
      </c>
      <c r="E50" s="8">
        <v>46181.396071689815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5.0</v>
      </c>
      <c r="C51" s="7" t="s">
        <v>68</v>
      </c>
      <c r="D51" s="6">
        <v>85.0</v>
      </c>
      <c r="E51" s="8">
        <v>46181.3969340162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290.0</v>
      </c>
      <c r="E52" s="8">
        <v>46181.3970172338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70</v>
      </c>
      <c r="D53" s="6">
        <v>50.0</v>
      </c>
      <c r="E53" s="8">
        <v>46181.39717844907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71</v>
      </c>
      <c r="D54" s="6">
        <v>23.0</v>
      </c>
      <c r="E54" s="8">
        <v>46181.3972533912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24.0</v>
      </c>
      <c r="E55" s="8">
        <v>46181.39741171296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156.0</v>
      </c>
      <c r="E56" s="8">
        <v>46181.39745375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74</v>
      </c>
      <c r="D57" s="6">
        <v>24.0</v>
      </c>
      <c r="E57" s="8">
        <v>46181.39760420139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210.0</v>
      </c>
      <c r="E58" s="8">
        <v>46181.39766872685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12.0</v>
      </c>
      <c r="C59" s="7" t="s">
        <v>76</v>
      </c>
      <c r="D59" s="6">
        <v>4.0</v>
      </c>
      <c r="E59" s="8">
        <v>46181.41038078704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12.0</v>
      </c>
      <c r="C60" s="7" t="s">
        <v>77</v>
      </c>
      <c r="D60" s="6">
        <v>2.5</v>
      </c>
      <c r="E60" s="8">
        <v>46181.41044155092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12.0</v>
      </c>
      <c r="C61" s="7" t="s">
        <v>78</v>
      </c>
      <c r="D61" s="6">
        <v>2.0</v>
      </c>
      <c r="E61" s="8">
        <v>46181.41052760417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32.0</v>
      </c>
      <c r="E62" s="8">
        <v>46181.41188939815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46.0</v>
      </c>
      <c r="E63" s="8">
        <v>46181.41899053241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4.0</v>
      </c>
      <c r="E64" s="8">
        <v>46181.419119293976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15.0</v>
      </c>
      <c r="E65" s="8">
        <v>46181.4192309375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13.0</v>
      </c>
      <c r="E66" s="8">
        <v>46181.42290662037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52.0</v>
      </c>
      <c r="E67" s="8">
        <v>46181.430359606486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38.0</v>
      </c>
      <c r="E68" s="8">
        <v>46181.43069197917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40.0</v>
      </c>
      <c r="E69" s="8">
        <v>46181.43079615741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39.0</v>
      </c>
      <c r="E70" s="8">
        <v>46181.43113621528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88</v>
      </c>
      <c r="D71" s="6">
        <v>15.0</v>
      </c>
      <c r="E71" s="8">
        <v>46181.4312325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4.0</v>
      </c>
      <c r="E72" s="8">
        <v>46181.43132215278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119.0</v>
      </c>
      <c r="E73" s="8">
        <v>46181.43691337963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3.5</v>
      </c>
      <c r="E74" s="8">
        <v>46181.43965917824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12.0</v>
      </c>
      <c r="E75" s="8">
        <v>46181.43972709491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20.0</v>
      </c>
      <c r="E76" s="8">
        <v>46181.43980280093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30.0</v>
      </c>
      <c r="E77" s="8">
        <v>46181.43988145833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5.0</v>
      </c>
      <c r="E78" s="8">
        <v>46181.43995208333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96</v>
      </c>
      <c r="D79" s="6">
        <v>14.0</v>
      </c>
      <c r="E79" s="8">
        <v>46181.44332615741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49.0</v>
      </c>
      <c r="E80" s="8">
        <v>46181.45449078704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34.0</v>
      </c>
      <c r="E81" s="8">
        <v>46181.45460253472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99</v>
      </c>
      <c r="C82" s="7" t="s">
        <v>100</v>
      </c>
      <c r="D82" s="6">
        <v>100.0</v>
      </c>
      <c r="E82" s="8">
        <v>46181.46082303241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7.0</v>
      </c>
      <c r="E83" s="8">
        <v>46181.466412071764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102</v>
      </c>
      <c r="D84" s="6">
        <v>44.0</v>
      </c>
      <c r="E84" s="8">
        <v>46181.47068322917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31.0</v>
      </c>
      <c r="E85" s="8">
        <v>46181.470881030094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50.0</v>
      </c>
      <c r="E86" s="8">
        <v>46181.48336078704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12.0</v>
      </c>
      <c r="C87" s="7" t="s">
        <v>77</v>
      </c>
      <c r="D87" s="6">
        <v>2.5</v>
      </c>
      <c r="E87" s="8">
        <v>46181.48577346065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155.0</v>
      </c>
      <c r="E88" s="8">
        <v>46181.50776982639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18.0</v>
      </c>
      <c r="E89" s="8">
        <v>46181.50975697917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28.0</v>
      </c>
      <c r="E90" s="8">
        <v>46181.54141601852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60.0</v>
      </c>
      <c r="E91" s="8">
        <v>46181.56044480324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 t="s">
        <v>109</v>
      </c>
      <c r="C92" s="7" t="s">
        <v>110</v>
      </c>
      <c r="D92" s="6">
        <v>220.0</v>
      </c>
      <c r="E92" s="8">
        <v>46181.56060278935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111</v>
      </c>
      <c r="D93" s="6">
        <v>18.0</v>
      </c>
      <c r="E93" s="8">
        <v>46181.56082983797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112</v>
      </c>
      <c r="D94" s="6">
        <v>22.0</v>
      </c>
      <c r="E94" s="8">
        <v>46181.56087789352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 t="s">
        <v>113</v>
      </c>
      <c r="C95" s="7" t="s">
        <v>114</v>
      </c>
      <c r="D95" s="6">
        <v>10.0</v>
      </c>
      <c r="E95" s="8">
        <v>46181.56129140046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115</v>
      </c>
      <c r="D96" s="6">
        <v>31.0</v>
      </c>
      <c r="E96" s="8">
        <v>46181.57084122685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35.0</v>
      </c>
      <c r="C97" s="7" t="s">
        <v>116</v>
      </c>
      <c r="D97" s="6">
        <v>245.0</v>
      </c>
      <c r="E97" s="8">
        <v>46181.58999108797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117</v>
      </c>
      <c r="D98" s="6">
        <v>60.0</v>
      </c>
      <c r="E98" s="8">
        <v>46181.610860127315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118</v>
      </c>
      <c r="D99" s="6">
        <v>40.0</v>
      </c>
      <c r="E99" s="8">
        <v>46181.61096806713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3.0</v>
      </c>
      <c r="C100" s="7" t="s">
        <v>119</v>
      </c>
      <c r="D100" s="6">
        <v>7.5</v>
      </c>
      <c r="E100" s="8">
        <v>46181.61110789352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120</v>
      </c>
      <c r="D101" s="6">
        <v>10.0</v>
      </c>
      <c r="E101" s="8">
        <v>46181.6111647338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3.0</v>
      </c>
      <c r="C102" s="7" t="s">
        <v>121</v>
      </c>
      <c r="D102" s="6">
        <v>12.0</v>
      </c>
      <c r="E102" s="8">
        <v>46181.611313912035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122</v>
      </c>
      <c r="D103" s="6">
        <v>12.0</v>
      </c>
      <c r="E103" s="8">
        <v>46181.611364780096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123</v>
      </c>
      <c r="D104" s="6">
        <v>6.0</v>
      </c>
      <c r="E104" s="8">
        <v>46181.63394299769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4.0</v>
      </c>
      <c r="C105" s="7" t="s">
        <v>124</v>
      </c>
      <c r="D105" s="6">
        <v>232.0</v>
      </c>
      <c r="E105" s="8">
        <v>46181.66955630787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125</v>
      </c>
      <c r="D106" s="6">
        <v>45.0</v>
      </c>
      <c r="E106" s="8">
        <v>46181.70387333333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12.0</v>
      </c>
      <c r="C107" s="7" t="s">
        <v>126</v>
      </c>
      <c r="D107" s="6">
        <v>1.0</v>
      </c>
      <c r="E107" s="8">
        <v>46181.7111778588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12.0</v>
      </c>
      <c r="C108" s="7" t="s">
        <v>127</v>
      </c>
      <c r="D108" s="6">
        <v>2.5</v>
      </c>
      <c r="E108" s="8">
        <v>46181.711290023144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12.0</v>
      </c>
      <c r="C109" s="7" t="s">
        <v>128</v>
      </c>
      <c r="D109" s="6">
        <v>4.0</v>
      </c>
      <c r="E109" s="8">
        <v>46181.71139351852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12.0</v>
      </c>
      <c r="C110" s="7" t="s">
        <v>129</v>
      </c>
      <c r="D110" s="6">
        <v>9.5</v>
      </c>
      <c r="E110" s="8">
        <v>46181.71144003472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130</v>
      </c>
      <c r="D111" s="6">
        <v>16.0</v>
      </c>
      <c r="E111" s="8">
        <v>46181.71099381945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131</v>
      </c>
      <c r="D112" s="6">
        <v>32.0</v>
      </c>
      <c r="E112" s="8">
        <v>46181.710938749995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132</v>
      </c>
      <c r="D113" s="6">
        <v>32.0</v>
      </c>
      <c r="E113" s="8">
        <v>46181.71571284722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3.0</v>
      </c>
      <c r="C114" s="7" t="s">
        <v>133</v>
      </c>
      <c r="D114" s="6">
        <v>10.5</v>
      </c>
      <c r="E114" s="8">
        <v>46181.715815324074</v>
      </c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134</v>
      </c>
      <c r="D115" s="6">
        <v>22.0</v>
      </c>
      <c r="E115" s="8">
        <v>46181.72296125</v>
      </c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54</v>
      </c>
      <c r="D116" s="6">
        <v>30.0</v>
      </c>
      <c r="E116" s="8">
        <v>46181.72975275463</v>
      </c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135</v>
      </c>
      <c r="D117" s="6">
        <v>27.0</v>
      </c>
      <c r="E117" s="8">
        <v>46181.73069829861</v>
      </c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3.0</v>
      </c>
      <c r="C118" s="7" t="s">
        <v>136</v>
      </c>
      <c r="D118" s="6">
        <v>45.0</v>
      </c>
      <c r="E118" s="8">
        <v>46181.74130574074</v>
      </c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137</v>
      </c>
      <c r="D119" s="6">
        <v>10.0</v>
      </c>
      <c r="E119" s="8">
        <v>46181.74805337963</v>
      </c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8.0</v>
      </c>
      <c r="C120" s="7" t="s">
        <v>138</v>
      </c>
      <c r="D120" s="6">
        <v>16.0</v>
      </c>
      <c r="E120" s="8">
        <v>46181.75403899305</v>
      </c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36.0</v>
      </c>
      <c r="C121" s="7" t="s">
        <v>139</v>
      </c>
      <c r="D121" s="6">
        <v>6.0</v>
      </c>
      <c r="E121" s="8">
        <v>46181.7541365162</v>
      </c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