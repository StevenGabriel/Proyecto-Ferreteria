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<sst xmlns="http://schemas.openxmlformats.org/spreadsheetml/2006/main" count="155" uniqueCount="150">
  <si>
    <t>HOJA DE CALCULO FERRETERIA</t>
  </si>
  <si>
    <t>CODIGO</t>
  </si>
  <si>
    <t>CANTIDAD</t>
  </si>
  <si>
    <t>DESCRIPCION</t>
  </si>
  <si>
    <t>TOTAL</t>
  </si>
  <si>
    <t>HORA</t>
  </si>
  <si>
    <t>CUADRAR</t>
  </si>
  <si>
    <t>disco corte 4 uyu</t>
  </si>
  <si>
    <t>codo</t>
  </si>
  <si>
    <t>MONEDAS</t>
  </si>
  <si>
    <t>CAJA CHICA</t>
  </si>
  <si>
    <t>copla</t>
  </si>
  <si>
    <t>BILLETES 10-20</t>
  </si>
  <si>
    <t>TOTAL VENTAS DIA</t>
  </si>
  <si>
    <t>1 mt</t>
  </si>
  <si>
    <t>cañeri</t>
  </si>
  <si>
    <t>BILLETES 50-100-200</t>
  </si>
  <si>
    <t>AUMENTO DE DINERO</t>
  </si>
  <si>
    <t>cañeria 3/4</t>
  </si>
  <si>
    <t>INGRESOS YAPE</t>
  </si>
  <si>
    <t>codo trigre 3/4</t>
  </si>
  <si>
    <t>INGRESOS TARJETA</t>
  </si>
  <si>
    <t>tijera de osdar uyustool</t>
  </si>
  <si>
    <t>GASTOS VARIOS</t>
  </si>
  <si>
    <t>teflon</t>
  </si>
  <si>
    <t>erosol negro brillo</t>
  </si>
  <si>
    <t>DINERO GANADO HOY:</t>
  </si>
  <si>
    <t>CANTIDAD DINERO CAJA:</t>
  </si>
  <si>
    <t>electrod grueso</t>
  </si>
  <si>
    <t>codo 1/2 fg</t>
  </si>
  <si>
    <t>niple 1/2 fg</t>
  </si>
  <si>
    <t>eslinda</t>
  </si>
  <si>
    <t>niple de 1 fg</t>
  </si>
  <si>
    <t>uion patente tigre 1</t>
  </si>
  <si>
    <t>tee tigre 1/2</t>
  </si>
  <si>
    <t>YAPE MAMÁ</t>
  </si>
  <si>
    <t>YAPE PAPÁ</t>
  </si>
  <si>
    <t>YAPE</t>
  </si>
  <si>
    <t>cubre cble 20*10</t>
  </si>
  <si>
    <t>Monto Total YAPE (No tocar):</t>
  </si>
  <si>
    <t xml:space="preserve">broca </t>
  </si>
  <si>
    <t>manguera salida 2 mt</t>
  </si>
  <si>
    <t>Monto Total Registrado en aplicacion</t>
  </si>
  <si>
    <t xml:space="preserve">red buje </t>
  </si>
  <si>
    <t>ramplu 10</t>
  </si>
  <si>
    <t>rep esilet</t>
  </si>
  <si>
    <t>2 mt</t>
  </si>
  <si>
    <t>lija</t>
  </si>
  <si>
    <t>niple</t>
  </si>
  <si>
    <t>manguera entrada 3 m</t>
  </si>
  <si>
    <t>codo 3/4 pvc</t>
  </si>
  <si>
    <t>reducon 3/4*1/2</t>
  </si>
  <si>
    <t>PAGOS YAPE</t>
  </si>
  <si>
    <t>DESCRIPCION PAGO</t>
  </si>
  <si>
    <t>tee fg</t>
  </si>
  <si>
    <t xml:space="preserve">niple fg </t>
  </si>
  <si>
    <t>tapon 1/2</t>
  </si>
  <si>
    <t>fresa truper</t>
  </si>
  <si>
    <t>8m</t>
  </si>
  <si>
    <t>perlon 4</t>
  </si>
  <si>
    <t>tigera podar</t>
  </si>
  <si>
    <t>cinta asilante</t>
  </si>
  <si>
    <t>mascara</t>
  </si>
  <si>
    <t>firtro</t>
  </si>
  <si>
    <t>clavija trmon</t>
  </si>
  <si>
    <t>3m</t>
  </si>
  <si>
    <t>manguera nivel 3/8</t>
  </si>
  <si>
    <t>placa doble blanco</t>
  </si>
  <si>
    <t>SEMICODO 3/4 CPV</t>
  </si>
  <si>
    <t>KL ELECTRDOO</t>
  </si>
  <si>
    <t>KL ELECTRDO GRUSO</t>
  </si>
  <si>
    <t>DISCO UYSUTOOL 4</t>
  </si>
  <si>
    <t>M MANGUERA 3/4</t>
  </si>
  <si>
    <t>HIDROPISTOLA</t>
  </si>
  <si>
    <t xml:space="preserve">ADAPTDOR RAPIDO </t>
  </si>
  <si>
    <t>CONECTOR RAPIDO</t>
  </si>
  <si>
    <t>ALDABA</t>
  </si>
  <si>
    <t>ESTILETE</t>
  </si>
  <si>
    <t>LIJA 120</t>
  </si>
  <si>
    <t>LIJA 180</t>
  </si>
  <si>
    <t>1M</t>
  </si>
  <si>
    <t>GUANTE JADEVER</t>
  </si>
  <si>
    <t>LIJA 80</t>
  </si>
  <si>
    <t>CARPICOLA 500ML</t>
  </si>
  <si>
    <t>JUEGO ACCESORIOS MINI DRILL</t>
  </si>
  <si>
    <t>SIFON LAVAMANS</t>
  </si>
  <si>
    <t>ESQUINERO</t>
  </si>
  <si>
    <t xml:space="preserve">CANALEADOR </t>
  </si>
  <si>
    <t>MULTIMETRO</t>
  </si>
  <si>
    <t>DADO 14 LARGO</t>
  </si>
  <si>
    <t>PILAS</t>
  </si>
  <si>
    <t>TUBO CONDUIT 5/8</t>
  </si>
  <si>
    <t>CAJA RECTANGUA</t>
  </si>
  <si>
    <t>CAJA OCTOGONAL</t>
  </si>
  <si>
    <t>ALAMBRE VOLTECH</t>
  </si>
  <si>
    <t>DISCO CORTE UYUSTOOLS</t>
  </si>
  <si>
    <t>PLACAS SINPLE</t>
  </si>
  <si>
    <t>MODULO INTERRUET</t>
  </si>
  <si>
    <t>MODULO TOMA</t>
  </si>
  <si>
    <t>CODO CONDUTIE</t>
  </si>
  <si>
    <t>CUBRE CABLE 10*10</t>
  </si>
  <si>
    <t>PERNOS CARROCERO</t>
  </si>
  <si>
    <t>ARANDELA</t>
  </si>
  <si>
    <t>IJA PARA TALADRO</t>
  </si>
  <si>
    <t>LIJA PARA TALADRO 60</t>
  </si>
  <si>
    <t>CINTA AISLANTE</t>
  </si>
  <si>
    <t>BROCHA ATLAS</t>
  </si>
  <si>
    <t>PRESINTO 30CM</t>
  </si>
  <si>
    <t>CINTA ASILANTE</t>
  </si>
  <si>
    <t>BRASSO</t>
  </si>
  <si>
    <t>ADAPTADOR ULTRA</t>
  </si>
  <si>
    <t>SUMUDERO</t>
  </si>
  <si>
    <t>REGILLAS DE VENDTILLAS</t>
  </si>
  <si>
    <t>grifo fv</t>
  </si>
  <si>
    <t>ducha lorezwste</t>
  </si>
  <si>
    <t>alambre de amrrete</t>
  </si>
  <si>
    <t>grifo fv lavaplatos</t>
  </si>
  <si>
    <t>chip 4x30</t>
  </si>
  <si>
    <t>pie de amigo 2</t>
  </si>
  <si>
    <t>minialicate punta</t>
  </si>
  <si>
    <t>alicate punta</t>
  </si>
  <si>
    <t>uego de jardin</t>
  </si>
  <si>
    <t>pegamento pvc</t>
  </si>
  <si>
    <t>codo 1 1/2</t>
  </si>
  <si>
    <t>tee 1 1/2</t>
  </si>
  <si>
    <t>disoc corer norton 14</t>
  </si>
  <si>
    <t>masa corrida</t>
  </si>
  <si>
    <t>gorira</t>
  </si>
  <si>
    <t>masquin 3/4</t>
  </si>
  <si>
    <t>jalador</t>
  </si>
  <si>
    <t>acople 12</t>
  </si>
  <si>
    <t>conerctor manguera a manguera</t>
  </si>
  <si>
    <t>15m</t>
  </si>
  <si>
    <t>mangiuer a1/2</t>
  </si>
  <si>
    <t>soquet empotrar</t>
  </si>
  <si>
    <t>clavija</t>
  </si>
  <si>
    <t>6m</t>
  </si>
  <si>
    <t>bipolar 18</t>
  </si>
  <si>
    <t>gomas para garrafa</t>
  </si>
  <si>
    <t>escalera mor</t>
  </si>
  <si>
    <t>1/2m</t>
  </si>
  <si>
    <t>manguera 3/4 nivel</t>
  </si>
  <si>
    <t>2.5m</t>
  </si>
  <si>
    <t>manguera 1/2</t>
  </si>
  <si>
    <t>goma 17/8</t>
  </si>
  <si>
    <t>doble contacto cristsl</t>
  </si>
  <si>
    <t>GRIFO FV</t>
  </si>
  <si>
    <t>GRAPAS</t>
  </si>
  <si>
    <t>CLAVOS</t>
  </si>
  <si>
    <t>GOMITS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</si>
</sst>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22.0</v>
      </c>
      <c r="E8" s="9">
        <v>46201.38822758102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3.0</v>
      </c>
      <c r="C9" s="7" t="s">
        <v>8</v>
      </c>
      <c r="D9" s="6">
        <v>15.0</v>
      </c>
      <c r="E9" s="9">
        <v>46201.40573465278</v>
      </c>
      <c r="F9" s="2"/>
      <c r="G9" s="10" t="s">
        <v>9</v>
      </c>
      <c r="H9" s="11">
        <v>63.0</v>
      </c>
      <c r="I9" s="2"/>
      <c r="J9" s="10" t="s">
        <v>10</v>
      </c>
      <c r="K9" s="11">
        <v>555.5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2">
        <v>4.5</v>
      </c>
      <c r="E10" s="9">
        <v>46201.405818761574</v>
      </c>
      <c r="F10" s="2"/>
      <c r="G10" s="10" t="s">
        <v>12</v>
      </c>
      <c r="H10" s="11">
        <v>0.0</v>
      </c>
      <c r="I10" s="2"/>
      <c r="J10" s="10" t="s">
        <v>13</v>
      </c>
      <c r="K10" s="13">
        <f>SUM(PRINCIPAL[TOTAL])</f>
        <v>6738.5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6">
        <v>13.0</v>
      </c>
      <c r="E11" s="9">
        <v>46201.40595211806</v>
      </c>
      <c r="F11" s="2"/>
      <c r="G11" s="10" t="s">
        <v>16</v>
      </c>
      <c r="H11" s="11">
        <v>5200.0</v>
      </c>
      <c r="I11" s="2"/>
      <c r="J11" s="10" t="s">
        <v>17</v>
      </c>
      <c r="K11" s="11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8">
        <v>70.0</v>
      </c>
      <c r="E12" s="9">
        <v>46201.408739502316</v>
      </c>
      <c r="F12" s="2"/>
      <c r="G12" s="10" t="s">
        <v>19</v>
      </c>
      <c r="H12" s="14">
        <f>SUM(G24:H361)</f>
        <v>1979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1.0</v>
      </c>
      <c r="C13" s="7" t="s">
        <v>20</v>
      </c>
      <c r="D13" s="6">
        <v>5.0</v>
      </c>
      <c r="E13" s="9">
        <v>46201.40880575232</v>
      </c>
      <c r="F13" s="2"/>
      <c r="G13" s="10" t="s">
        <v>21</v>
      </c>
      <c r="H13" s="11"/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1.0</v>
      </c>
      <c r="C14" s="7" t="s">
        <v>22</v>
      </c>
      <c r="D14" s="6">
        <v>62.0</v>
      </c>
      <c r="E14" s="9">
        <v>46201.40894905092</v>
      </c>
      <c r="F14" s="2"/>
      <c r="G14" s="10" t="s">
        <v>23</v>
      </c>
      <c r="H14" s="11">
        <v>268.0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24</v>
      </c>
      <c r="D15" s="12">
        <v>3.0</v>
      </c>
      <c r="E15" s="9">
        <v>46201.40899011574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1.0</v>
      </c>
      <c r="C16" s="7" t="s">
        <v>25</v>
      </c>
      <c r="D16" s="12">
        <v>20.0</v>
      </c>
      <c r="E16" s="9">
        <v>46201.409958425924</v>
      </c>
      <c r="F16" s="2"/>
      <c r="G16" s="17" t="s">
        <v>26</v>
      </c>
      <c r="H16" s="18">
        <f>SUM(H9:H14)</f>
        <v>7510</v>
      </c>
      <c r="I16" s="3"/>
      <c r="J16" s="17" t="s">
        <v>27</v>
      </c>
      <c r="K16" s="18">
        <f>SUM(K9:K11)</f>
        <v>7294</v>
      </c>
      <c r="L16" s="2"/>
      <c r="M16" s="2"/>
      <c r="N16" s="2"/>
      <c r="O16" s="2"/>
      <c r="P16" s="2"/>
      <c r="Q16" s="2"/>
    </row>
    <row r="17" ht="22.5" customHeight="1">
      <c r="A17" s="15"/>
      <c r="B17" s="6">
        <v>1.0</v>
      </c>
      <c r="C17" s="7" t="s">
        <v>28</v>
      </c>
      <c r="D17" s="6">
        <v>50.0</v>
      </c>
      <c r="E17" s="9">
        <v>46201.428353703704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1.0</v>
      </c>
      <c r="C18" s="7" t="s">
        <v>29</v>
      </c>
      <c r="D18" s="8">
        <v>12.0</v>
      </c>
      <c r="E18" s="9">
        <v>46201.43439642361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216,00</v>
      </c>
      <c r="L18" s="2"/>
      <c r="M18" s="2"/>
      <c r="N18" s="2"/>
      <c r="O18" s="2"/>
      <c r="P18" s="2"/>
      <c r="Q18" s="2"/>
    </row>
    <row r="19" ht="22.5" customHeight="1">
      <c r="A19" s="15"/>
      <c r="B19" s="6">
        <v>1.0</v>
      </c>
      <c r="C19" s="7" t="s">
        <v>30</v>
      </c>
      <c r="D19" s="8">
        <v>12.5</v>
      </c>
      <c r="E19" s="9">
        <v>46201.43450008101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1.0</v>
      </c>
      <c r="C20" s="7" t="s">
        <v>31</v>
      </c>
      <c r="D20" s="6">
        <v>49.0</v>
      </c>
      <c r="E20" s="9">
        <v>46201.43463444445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>
        <v>2.0</v>
      </c>
      <c r="C21" s="7" t="s">
        <v>32</v>
      </c>
      <c r="D21" s="6">
        <v>46.0</v>
      </c>
      <c r="E21" s="9">
        <v>46201.43470203703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>
        <v>2.0</v>
      </c>
      <c r="C22" s="7" t="s">
        <v>33</v>
      </c>
      <c r="D22" s="6">
        <v>40.0</v>
      </c>
      <c r="E22" s="9">
        <v>46201.43479112269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1.0</v>
      </c>
      <c r="C23" s="7" t="s">
        <v>34</v>
      </c>
      <c r="D23" s="6">
        <v>5.5</v>
      </c>
      <c r="E23" s="9">
        <v>46201.4420049537</v>
      </c>
      <c r="F23" s="2"/>
      <c r="G23" s="21" t="s">
        <v>35</v>
      </c>
      <c r="H23" s="21" t="s">
        <v>36</v>
      </c>
      <c r="I23" s="2"/>
      <c r="J23" s="22" t="s">
        <v>37</v>
      </c>
      <c r="L23" s="23"/>
      <c r="M23" s="2"/>
      <c r="N23" s="2"/>
      <c r="O23" s="2"/>
      <c r="P23" s="2"/>
      <c r="Q23" s="2"/>
    </row>
    <row r="24" ht="22.5" customHeight="1">
      <c r="A24" s="15"/>
      <c r="B24" s="6">
        <v>3.0</v>
      </c>
      <c r="C24" s="7" t="s">
        <v>38</v>
      </c>
      <c r="D24" s="6">
        <v>24.0</v>
      </c>
      <c r="E24" s="9">
        <v>46201.442080486115</v>
      </c>
      <c r="F24" s="2"/>
      <c r="G24" s="24">
        <v>174.0</v>
      </c>
      <c r="H24" s="25"/>
      <c r="I24" s="2"/>
      <c r="J24" s="26" t="s">
        <v>39</v>
      </c>
      <c r="K24" s="27">
        <f>SUM(INGRESOS_YAPE[])</f>
        <v>1979</v>
      </c>
      <c r="L24" s="2"/>
      <c r="M24" s="2"/>
      <c r="N24" s="2"/>
      <c r="O24" s="2"/>
      <c r="P24" s="2"/>
      <c r="Q24" s="2"/>
    </row>
    <row r="25" ht="22.5" customHeight="1">
      <c r="A25" s="15"/>
      <c r="B25" s="6">
        <v>1.0</v>
      </c>
      <c r="C25" s="7" t="s">
        <v>40</v>
      </c>
      <c r="D25" s="6">
        <v>48.0</v>
      </c>
      <c r="E25" s="9">
        <v>46201.44615199074</v>
      </c>
      <c r="F25" s="2"/>
      <c r="G25" s="24">
        <v>48.0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1.0</v>
      </c>
      <c r="C26" s="7" t="s">
        <v>41</v>
      </c>
      <c r="D26" s="6">
        <v>70.0</v>
      </c>
      <c r="E26" s="9">
        <v>46201.464607037036</v>
      </c>
      <c r="F26" s="2"/>
      <c r="G26" s="28">
        <v>48.0</v>
      </c>
      <c r="H26" s="25"/>
      <c r="I26" s="2"/>
      <c r="J26" s="29" t="s">
        <v>42</v>
      </c>
      <c r="K26" s="30"/>
      <c r="L26" s="2"/>
      <c r="M26" s="2"/>
      <c r="N26" s="2"/>
      <c r="O26" s="2"/>
      <c r="P26" s="2"/>
      <c r="Q26" s="2"/>
    </row>
    <row r="27" ht="22.5" customHeight="1">
      <c r="A27" s="15"/>
      <c r="B27" s="6">
        <v>1.0</v>
      </c>
      <c r="C27" s="7" t="s">
        <v>43</v>
      </c>
      <c r="D27" s="6">
        <v>13.0</v>
      </c>
      <c r="E27" s="9">
        <v>46201.464794976855</v>
      </c>
      <c r="F27" s="2"/>
      <c r="G27" s="24">
        <v>76.0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>
        <v>3.0</v>
      </c>
      <c r="C28" s="7" t="s">
        <v>44</v>
      </c>
      <c r="D28" s="6">
        <v>3.0</v>
      </c>
      <c r="E28" s="9">
        <v>46201.47361318287</v>
      </c>
      <c r="F28" s="2"/>
      <c r="G28" s="24">
        <v>52.0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45</v>
      </c>
      <c r="D29" s="6">
        <v>17.0</v>
      </c>
      <c r="E29" s="9">
        <v>46201.47384922454</v>
      </c>
      <c r="F29" s="2"/>
      <c r="G29" s="24">
        <v>90.0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1979,00</v>
      </c>
      <c r="L29" s="2"/>
      <c r="M29" s="2"/>
      <c r="N29" s="2"/>
      <c r="O29" s="2"/>
      <c r="P29" s="2"/>
      <c r="Q29" s="2"/>
    </row>
    <row r="30" ht="22.5" customHeight="1">
      <c r="A30" s="15"/>
      <c r="B30" s="6" t="s">
        <v>46</v>
      </c>
      <c r="C30" s="7" t="s">
        <v>47</v>
      </c>
      <c r="D30" s="6">
        <v>20.0</v>
      </c>
      <c r="E30" s="9">
        <v>46201.473976574074</v>
      </c>
      <c r="F30" s="2"/>
      <c r="G30" s="24">
        <v>22.0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1.0</v>
      </c>
      <c r="C31" s="7" t="s">
        <v>48</v>
      </c>
      <c r="D31" s="6">
        <v>3.0</v>
      </c>
      <c r="E31" s="9">
        <v>46201.48448915509</v>
      </c>
      <c r="F31" s="2"/>
      <c r="G31" s="24">
        <v>110.0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>
        <v>1.0</v>
      </c>
      <c r="C32" s="7" t="s">
        <v>49</v>
      </c>
      <c r="D32" s="6">
        <v>93.0</v>
      </c>
      <c r="E32" s="9">
        <v>46201.484767870366</v>
      </c>
      <c r="F32" s="2"/>
      <c r="G32" s="24">
        <v>45.0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>
        <v>3.0</v>
      </c>
      <c r="C33" s="7" t="s">
        <v>50</v>
      </c>
      <c r="D33" s="6">
        <v>15.0</v>
      </c>
      <c r="E33" s="9">
        <v>46201.49258978009</v>
      </c>
      <c r="F33" s="2"/>
      <c r="G33" s="24">
        <v>53.0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2.0</v>
      </c>
      <c r="C34" s="7" t="s">
        <v>51</v>
      </c>
      <c r="D34" s="6">
        <v>5.0</v>
      </c>
      <c r="E34" s="9">
        <v>46201.492654988426</v>
      </c>
      <c r="F34" s="2"/>
      <c r="G34" s="24">
        <v>70.0</v>
      </c>
      <c r="H34" s="25"/>
      <c r="I34" s="2"/>
      <c r="J34" s="32" t="s">
        <v>52</v>
      </c>
      <c r="K34" s="32" t="s">
        <v>53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1.0</v>
      </c>
      <c r="C35" s="7" t="s">
        <v>54</v>
      </c>
      <c r="D35" s="6">
        <v>16.0</v>
      </c>
      <c r="E35" s="9">
        <v>46201.50911518518</v>
      </c>
      <c r="F35" s="2"/>
      <c r="G35" s="24">
        <v>244.0</v>
      </c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5"/>
      <c r="B36" s="6">
        <v>1.0</v>
      </c>
      <c r="C36" s="7" t="s">
        <v>55</v>
      </c>
      <c r="D36" s="6">
        <v>13.0</v>
      </c>
      <c r="E36" s="9">
        <v>46201.509291724535</v>
      </c>
      <c r="F36" s="2"/>
      <c r="G36" s="24">
        <v>72.0</v>
      </c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5"/>
      <c r="B37" s="6">
        <v>1.0</v>
      </c>
      <c r="C37" s="7" t="s">
        <v>56</v>
      </c>
      <c r="D37" s="6">
        <v>1.5</v>
      </c>
      <c r="E37" s="9">
        <v>46201.509479050925</v>
      </c>
      <c r="F37" s="2"/>
      <c r="G37" s="24">
        <v>735.0</v>
      </c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5"/>
      <c r="B38" s="6">
        <v>1.0</v>
      </c>
      <c r="C38" s="7" t="s">
        <v>57</v>
      </c>
      <c r="D38" s="6">
        <v>48.0</v>
      </c>
      <c r="E38" s="9">
        <v>46202.35661841436</v>
      </c>
      <c r="F38" s="2"/>
      <c r="G38" s="24">
        <v>140.0</v>
      </c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5"/>
      <c r="B39" s="6" t="s">
        <v>58</v>
      </c>
      <c r="C39" s="7" t="s">
        <v>59</v>
      </c>
      <c r="D39" s="6">
        <v>16.0</v>
      </c>
      <c r="E39" s="9">
        <v>46202.37397560185</v>
      </c>
      <c r="F39" s="2"/>
      <c r="G39" s="25"/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5"/>
      <c r="B40" s="6">
        <v>1.0</v>
      </c>
      <c r="C40" s="7" t="s">
        <v>60</v>
      </c>
      <c r="D40" s="6">
        <v>63.0</v>
      </c>
      <c r="E40" s="9">
        <v>46202.38680422454</v>
      </c>
      <c r="F40" s="2"/>
      <c r="G40" s="25"/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5"/>
      <c r="B41" s="6">
        <v>1.0</v>
      </c>
      <c r="C41" s="7" t="s">
        <v>61</v>
      </c>
      <c r="D41" s="6">
        <v>9.0</v>
      </c>
      <c r="E41" s="9">
        <v>46202.391649467594</v>
      </c>
      <c r="F41" s="2"/>
      <c r="G41" s="25"/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5"/>
      <c r="B42" s="6">
        <v>1.0</v>
      </c>
      <c r="C42" s="7" t="s">
        <v>62</v>
      </c>
      <c r="D42" s="6">
        <v>80.0</v>
      </c>
      <c r="E42" s="9">
        <v>46202.39526265046</v>
      </c>
      <c r="F42" s="2"/>
      <c r="G42" s="25"/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5"/>
      <c r="B43" s="6">
        <v>1.0</v>
      </c>
      <c r="C43" s="7" t="s">
        <v>63</v>
      </c>
      <c r="D43" s="6">
        <v>20.0</v>
      </c>
      <c r="E43" s="9">
        <v>46202.395364386575</v>
      </c>
      <c r="F43" s="2"/>
      <c r="G43" s="25"/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5"/>
      <c r="B44" s="6">
        <v>1.0</v>
      </c>
      <c r="C44" s="7" t="s">
        <v>64</v>
      </c>
      <c r="D44" s="6">
        <v>15.0</v>
      </c>
      <c r="E44" s="9">
        <v>46202.42956548611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 t="s">
        <v>65</v>
      </c>
      <c r="C45" s="7" t="s">
        <v>66</v>
      </c>
      <c r="D45" s="6">
        <v>19.5</v>
      </c>
      <c r="E45" s="9">
        <v>46202.43180693287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2.0</v>
      </c>
      <c r="C46" s="7" t="s">
        <v>67</v>
      </c>
      <c r="D46" s="6">
        <v>57.0</v>
      </c>
      <c r="E46" s="9">
        <v>46202.43793732639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6.0</v>
      </c>
      <c r="C47" s="7" t="s">
        <v>68</v>
      </c>
      <c r="D47" s="6">
        <v>45.0</v>
      </c>
      <c r="E47" s="9">
        <v>46202.45091508102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>
        <v>10.0</v>
      </c>
      <c r="C48" s="7" t="s">
        <v>69</v>
      </c>
      <c r="D48" s="6">
        <v>580.0</v>
      </c>
      <c r="E48" s="9">
        <v>46202.461748182875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5"/>
      <c r="B49" s="6">
        <v>10.0</v>
      </c>
      <c r="C49" s="7" t="s">
        <v>70</v>
      </c>
      <c r="D49" s="6">
        <v>560.0</v>
      </c>
      <c r="E49" s="9">
        <v>46202.46186811343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100.0</v>
      </c>
      <c r="C50" s="7" t="s">
        <v>71</v>
      </c>
      <c r="D50" s="6">
        <v>450.0</v>
      </c>
      <c r="E50" s="9">
        <v>46202.46200550926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>
        <v>10.0</v>
      </c>
      <c r="C51" s="7" t="s">
        <v>72</v>
      </c>
      <c r="D51" s="6">
        <v>160.0</v>
      </c>
      <c r="E51" s="9">
        <v>46202.46223958333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1.0</v>
      </c>
      <c r="C52" s="7" t="s">
        <v>73</v>
      </c>
      <c r="D52" s="6">
        <v>79.0</v>
      </c>
      <c r="E52" s="9">
        <v>46202.46229815972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1.0</v>
      </c>
      <c r="C53" s="7" t="s">
        <v>74</v>
      </c>
      <c r="D53" s="6">
        <v>38.0</v>
      </c>
      <c r="E53" s="9">
        <v>46202.46255318287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>
        <v>1.0</v>
      </c>
      <c r="C54" s="7" t="s">
        <v>75</v>
      </c>
      <c r="D54" s="6">
        <v>7.0</v>
      </c>
      <c r="E54" s="9">
        <v>46202.46257400463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5"/>
      <c r="B55" s="6">
        <v>1.0</v>
      </c>
      <c r="C55" s="7" t="s">
        <v>76</v>
      </c>
      <c r="D55" s="6">
        <v>14.0</v>
      </c>
      <c r="E55" s="9">
        <v>46202.46368292824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>
        <v>1.0</v>
      </c>
      <c r="C56" s="7" t="s">
        <v>77</v>
      </c>
      <c r="D56" s="6">
        <v>33.0</v>
      </c>
      <c r="E56" s="9">
        <v>46202.463857372684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1.0</v>
      </c>
      <c r="C57" s="7" t="s">
        <v>78</v>
      </c>
      <c r="D57" s="6">
        <v>5.0</v>
      </c>
      <c r="E57" s="9">
        <v>46202.46411086805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2.0</v>
      </c>
      <c r="C58" s="7" t="s">
        <v>79</v>
      </c>
      <c r="D58" s="6">
        <v>10.0</v>
      </c>
      <c r="E58" s="9">
        <v>46202.46413521991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 t="s">
        <v>80</v>
      </c>
      <c r="C59" s="7" t="s">
        <v>79</v>
      </c>
      <c r="D59" s="6">
        <v>10.0</v>
      </c>
      <c r="E59" s="9">
        <v>46202.46414609953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>
        <v>1.0</v>
      </c>
      <c r="C60" s="7" t="s">
        <v>81</v>
      </c>
      <c r="D60" s="6">
        <v>7.0</v>
      </c>
      <c r="E60" s="9">
        <v>46202.46428738426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2.0</v>
      </c>
      <c r="C61" s="7" t="s">
        <v>82</v>
      </c>
      <c r="D61" s="6">
        <v>10.0</v>
      </c>
      <c r="E61" s="9">
        <v>46202.46606871528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1.0</v>
      </c>
      <c r="C62" s="7" t="s">
        <v>83</v>
      </c>
      <c r="D62" s="6">
        <v>26.0</v>
      </c>
      <c r="E62" s="9">
        <v>46202.48638537037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1.0</v>
      </c>
      <c r="C63" s="7" t="s">
        <v>84</v>
      </c>
      <c r="D63" s="6">
        <v>76.0</v>
      </c>
      <c r="E63" s="9">
        <v>46202.50081695602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>
        <v>1.0</v>
      </c>
      <c r="C64" s="7" t="s">
        <v>85</v>
      </c>
      <c r="D64" s="6">
        <v>52.0</v>
      </c>
      <c r="E64" s="9">
        <v>46202.514317361114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3.0</v>
      </c>
      <c r="C65" s="7" t="s">
        <v>86</v>
      </c>
      <c r="D65" s="6">
        <v>240.0</v>
      </c>
      <c r="E65" s="9">
        <v>46202.526814780096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6">
        <v>1.0</v>
      </c>
      <c r="C66" s="7" t="s">
        <v>87</v>
      </c>
      <c r="D66" s="35">
        <v>13.0</v>
      </c>
      <c r="E66" s="9">
        <v>46202.550348495366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6">
        <v>1.0</v>
      </c>
      <c r="C67" s="7" t="s">
        <v>88</v>
      </c>
      <c r="D67" s="6">
        <v>50.0</v>
      </c>
      <c r="E67" s="9">
        <v>46202.57334697917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6">
        <v>1.0</v>
      </c>
      <c r="C68" s="7" t="s">
        <v>89</v>
      </c>
      <c r="D68" s="6">
        <v>40.0</v>
      </c>
      <c r="E68" s="9">
        <v>46202.57344521991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6">
        <v>2.0</v>
      </c>
      <c r="C69" s="7" t="s">
        <v>90</v>
      </c>
      <c r="D69" s="6">
        <v>9.0</v>
      </c>
      <c r="E69" s="9">
        <v>46202.60414506945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6">
        <v>6.0</v>
      </c>
      <c r="C70" s="7" t="s">
        <v>91</v>
      </c>
      <c r="D70" s="6">
        <v>42.0</v>
      </c>
      <c r="E70" s="9">
        <v>46202.60530005787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6">
        <v>1.0</v>
      </c>
      <c r="C71" s="7" t="s">
        <v>92</v>
      </c>
      <c r="D71" s="6">
        <v>3.0</v>
      </c>
      <c r="E71" s="9">
        <v>46202.60539539352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5"/>
      <c r="B72" s="6">
        <v>1.0</v>
      </c>
      <c r="C72" s="7" t="s">
        <v>93</v>
      </c>
      <c r="D72" s="6">
        <v>3.0</v>
      </c>
      <c r="E72" s="9">
        <v>46202.605448877315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6">
        <v>24.0</v>
      </c>
      <c r="C73" s="7" t="s">
        <v>94</v>
      </c>
      <c r="D73" s="6">
        <v>84.0</v>
      </c>
      <c r="E73" s="9">
        <v>46202.60563146991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6">
        <v>1.0</v>
      </c>
      <c r="C74" s="7" t="s">
        <v>95</v>
      </c>
      <c r="D74" s="6">
        <v>52.0</v>
      </c>
      <c r="E74" s="9">
        <v>46202.60573563658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6">
        <v>1.0</v>
      </c>
      <c r="C75" s="7" t="s">
        <v>96</v>
      </c>
      <c r="D75" s="6">
        <v>12.0</v>
      </c>
      <c r="E75" s="9">
        <v>46202.60581130787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6">
        <v>1.0</v>
      </c>
      <c r="C76" s="7" t="s">
        <v>67</v>
      </c>
      <c r="D76" s="6">
        <v>12.0</v>
      </c>
      <c r="E76" s="9">
        <v>46202.60584581018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6">
        <v>1.0</v>
      </c>
      <c r="C77" s="7" t="s">
        <v>97</v>
      </c>
      <c r="D77" s="6">
        <v>10.0</v>
      </c>
      <c r="E77" s="9">
        <v>46202.60597444444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6">
        <v>2.0</v>
      </c>
      <c r="C78" s="7" t="s">
        <v>98</v>
      </c>
      <c r="D78" s="6">
        <v>20.0</v>
      </c>
      <c r="E78" s="9">
        <v>46202.60602493056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6">
        <v>6.0</v>
      </c>
      <c r="C79" s="7" t="s">
        <v>99</v>
      </c>
      <c r="D79" s="6">
        <v>6.0</v>
      </c>
      <c r="E79" s="9">
        <v>46202.606104502316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6">
        <v>1.0</v>
      </c>
      <c r="C80" s="7" t="s">
        <v>100</v>
      </c>
      <c r="D80" s="6">
        <v>6.0</v>
      </c>
      <c r="E80" s="9">
        <v>46202.606234004634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6">
        <v>4.0</v>
      </c>
      <c r="C81" s="7" t="s">
        <v>101</v>
      </c>
      <c r="D81" s="6">
        <v>16.0</v>
      </c>
      <c r="E81" s="9">
        <v>46202.60698311342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6">
        <v>6.0</v>
      </c>
      <c r="C82" s="7" t="s">
        <v>102</v>
      </c>
      <c r="D82" s="35">
        <v>6.0</v>
      </c>
      <c r="E82" s="9">
        <v>46202.60706858797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6">
        <v>2.0</v>
      </c>
      <c r="C83" s="7" t="s">
        <v>103</v>
      </c>
      <c r="D83" s="6">
        <v>44.0</v>
      </c>
      <c r="E83" s="9">
        <v>46202.607541273144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6">
        <v>3.0</v>
      </c>
      <c r="C84" s="7" t="s">
        <v>104</v>
      </c>
      <c r="D84" s="6">
        <v>66.0</v>
      </c>
      <c r="E84" s="9">
        <v>46202.607709178235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6">
        <v>8.0</v>
      </c>
      <c r="C85" s="7" t="s">
        <v>105</v>
      </c>
      <c r="D85" s="6">
        <v>104.0</v>
      </c>
      <c r="E85" s="9">
        <v>46202.623186516204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6">
        <v>2.0</v>
      </c>
      <c r="C86" s="7" t="s">
        <v>100</v>
      </c>
      <c r="D86" s="6">
        <v>50.0</v>
      </c>
      <c r="E86" s="9">
        <v>46202.62327413194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6">
        <v>1.0</v>
      </c>
      <c r="C87" s="7" t="s">
        <v>106</v>
      </c>
      <c r="D87" s="6">
        <v>18.0</v>
      </c>
      <c r="E87" s="9">
        <v>46202.623326307876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6">
        <v>1.0</v>
      </c>
      <c r="C88" s="7" t="s">
        <v>107</v>
      </c>
      <c r="D88" s="6">
        <v>45.0</v>
      </c>
      <c r="E88" s="9">
        <v>46202.62575895833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6">
        <v>1.0</v>
      </c>
      <c r="C89" s="7" t="s">
        <v>108</v>
      </c>
      <c r="D89" s="6">
        <v>13.0</v>
      </c>
      <c r="E89" s="9">
        <v>46202.62586678241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6">
        <v>1.0</v>
      </c>
      <c r="C90" s="7" t="s">
        <v>109</v>
      </c>
      <c r="D90" s="6">
        <v>53.0</v>
      </c>
      <c r="E90" s="9">
        <v>46202.630868113425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6">
        <v>1.0</v>
      </c>
      <c r="C91" s="7" t="s">
        <v>110</v>
      </c>
      <c r="D91" s="6">
        <v>5.0</v>
      </c>
      <c r="E91" s="9">
        <v>46202.63558780093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6">
        <v>1.0</v>
      </c>
      <c r="C92" s="7" t="s">
        <v>111</v>
      </c>
      <c r="D92" s="6">
        <v>70.0</v>
      </c>
      <c r="E92" s="9">
        <v>46202.64872696759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6">
        <v>2.0</v>
      </c>
      <c r="C93" s="7" t="s">
        <v>112</v>
      </c>
      <c r="D93" s="6">
        <v>30.0</v>
      </c>
      <c r="E93" s="9">
        <v>46202.65099688657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6">
        <v>1.0</v>
      </c>
      <c r="C94" s="7" t="s">
        <v>113</v>
      </c>
      <c r="D94" s="6">
        <v>155.0</v>
      </c>
      <c r="E94" s="9">
        <v>46202.66132462963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6">
        <v>1.0</v>
      </c>
      <c r="C95" s="7" t="s">
        <v>114</v>
      </c>
      <c r="D95" s="6">
        <v>150.0</v>
      </c>
      <c r="E95" s="9">
        <v>46202.66352753472</v>
      </c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6">
        <v>1.0</v>
      </c>
      <c r="C96" s="7" t="s">
        <v>115</v>
      </c>
      <c r="D96" s="6">
        <v>19.0</v>
      </c>
      <c r="E96" s="9">
        <v>46202.6640608912</v>
      </c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6">
        <v>1.0</v>
      </c>
      <c r="C97" s="7" t="s">
        <v>116</v>
      </c>
      <c r="D97" s="6">
        <v>130.0</v>
      </c>
      <c r="E97" s="9">
        <v>46202.66988935185</v>
      </c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6">
        <v>12.0</v>
      </c>
      <c r="C98" s="7" t="s">
        <v>117</v>
      </c>
      <c r="D98" s="6">
        <v>2.5</v>
      </c>
      <c r="E98" s="9">
        <v>46202.67224730324</v>
      </c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6">
        <v>1.0</v>
      </c>
      <c r="C99" s="7" t="s">
        <v>118</v>
      </c>
      <c r="D99" s="6">
        <v>2.0</v>
      </c>
      <c r="E99" s="9">
        <v>46202.6723175463</v>
      </c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6">
        <v>1.0</v>
      </c>
      <c r="C100" s="7" t="s">
        <v>119</v>
      </c>
      <c r="D100" s="6">
        <v>28.0</v>
      </c>
      <c r="E100" s="36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6">
        <v>1.0</v>
      </c>
      <c r="C101" s="7" t="s">
        <v>120</v>
      </c>
      <c r="D101" s="6">
        <v>45.0</v>
      </c>
      <c r="E101" s="9">
        <v>46202.675805127314</v>
      </c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6">
        <v>1.0</v>
      </c>
      <c r="C102" s="7" t="s">
        <v>121</v>
      </c>
      <c r="D102" s="6">
        <v>56.0</v>
      </c>
      <c r="E102" s="9">
        <v>46202.675933252314</v>
      </c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6">
        <v>1.0</v>
      </c>
      <c r="C103" s="7" t="s">
        <v>122</v>
      </c>
      <c r="D103" s="6">
        <v>16.0</v>
      </c>
      <c r="E103" s="9">
        <v>46202.676087314816</v>
      </c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6">
        <v>1.0</v>
      </c>
      <c r="C104" s="7" t="s">
        <v>24</v>
      </c>
      <c r="D104" s="6">
        <v>2.5</v>
      </c>
      <c r="E104" s="9">
        <v>46202.676109085645</v>
      </c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6">
        <v>1.0</v>
      </c>
      <c r="C105" s="7" t="s">
        <v>123</v>
      </c>
      <c r="D105" s="6">
        <v>3.5</v>
      </c>
      <c r="E105" s="9">
        <v>46202.67617060185</v>
      </c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6">
        <v>1.0</v>
      </c>
      <c r="C106" s="7" t="s">
        <v>124</v>
      </c>
      <c r="D106" s="6">
        <v>4.5</v>
      </c>
      <c r="E106" s="9">
        <v>46202.67620515046</v>
      </c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6">
        <v>2.0</v>
      </c>
      <c r="C107" s="7" t="s">
        <v>125</v>
      </c>
      <c r="D107" s="6">
        <v>244.0</v>
      </c>
      <c r="E107" s="9">
        <v>46202.68063134259</v>
      </c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6">
        <v>1.0</v>
      </c>
      <c r="C108" s="7" t="s">
        <v>126</v>
      </c>
      <c r="D108" s="6">
        <v>29.0</v>
      </c>
      <c r="E108" s="9">
        <v>46202.68432909722</v>
      </c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6">
        <v>1.0</v>
      </c>
      <c r="C109" s="7" t="s">
        <v>127</v>
      </c>
      <c r="D109" s="6">
        <v>11.0</v>
      </c>
      <c r="E109" s="9">
        <v>46202.684598865744</v>
      </c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6">
        <v>1.0</v>
      </c>
      <c r="C110" s="7" t="s">
        <v>128</v>
      </c>
      <c r="D110" s="6">
        <v>8.0</v>
      </c>
      <c r="E110" s="9">
        <v>46202.68465416667</v>
      </c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6">
        <v>2.0</v>
      </c>
      <c r="C111" s="7" t="s">
        <v>129</v>
      </c>
      <c r="D111" s="6">
        <v>36.0</v>
      </c>
      <c r="E111" s="9">
        <v>46202.68996392361</v>
      </c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6">
        <v>2.0</v>
      </c>
      <c r="C112" s="7" t="s">
        <v>129</v>
      </c>
      <c r="D112" s="6">
        <v>40.0</v>
      </c>
      <c r="E112" s="36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6">
        <v>1.0</v>
      </c>
      <c r="C113" s="7" t="s">
        <v>130</v>
      </c>
      <c r="D113" s="6">
        <v>7.5</v>
      </c>
      <c r="E113" s="9">
        <v>46202.70373443287</v>
      </c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6">
        <v>1.0</v>
      </c>
      <c r="C114" s="7" t="s">
        <v>131</v>
      </c>
      <c r="D114" s="6">
        <v>7.5</v>
      </c>
      <c r="E114" s="9">
        <v>46202.70381607639</v>
      </c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6" t="s">
        <v>132</v>
      </c>
      <c r="C115" s="7" t="s">
        <v>133</v>
      </c>
      <c r="D115" s="6">
        <v>105.0</v>
      </c>
      <c r="E115" s="9">
        <v>46202.71325482639</v>
      </c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6">
        <v>2.0</v>
      </c>
      <c r="C116" s="7" t="s">
        <v>134</v>
      </c>
      <c r="D116" s="6">
        <v>20.0</v>
      </c>
      <c r="E116" s="9">
        <v>46202.72142306713</v>
      </c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6">
        <v>2.0</v>
      </c>
      <c r="C117" s="7" t="s">
        <v>135</v>
      </c>
      <c r="D117" s="6">
        <v>10.0</v>
      </c>
      <c r="E117" s="9">
        <v>46202.72136708333</v>
      </c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6" t="s">
        <v>136</v>
      </c>
      <c r="C118" s="7" t="s">
        <v>137</v>
      </c>
      <c r="D118" s="6">
        <v>42.0</v>
      </c>
      <c r="E118" s="9">
        <v>46202.72127761574</v>
      </c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6">
        <v>2.0</v>
      </c>
      <c r="C119" s="7" t="s">
        <v>138</v>
      </c>
      <c r="D119" s="6">
        <v>6.0</v>
      </c>
      <c r="E119" s="9">
        <v>46202.73284416666</v>
      </c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6">
        <v>1.0</v>
      </c>
      <c r="C120" s="7" t="s">
        <v>139</v>
      </c>
      <c r="D120" s="6">
        <v>735.0</v>
      </c>
      <c r="E120" s="9">
        <v>46202.749855358794</v>
      </c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6" t="s">
        <v>140</v>
      </c>
      <c r="C121" s="7" t="s">
        <v>141</v>
      </c>
      <c r="D121" s="6">
        <v>7.0</v>
      </c>
      <c r="E121" s="9">
        <v>46202.752124039354</v>
      </c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6" t="s">
        <v>142</v>
      </c>
      <c r="C122" s="7" t="s">
        <v>143</v>
      </c>
      <c r="D122" s="6">
        <v>20.0</v>
      </c>
      <c r="E122" s="9">
        <v>46202.75218648148</v>
      </c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6">
        <v>2.0</v>
      </c>
      <c r="C123" s="7" t="s">
        <v>144</v>
      </c>
      <c r="D123" s="6">
        <v>10.0</v>
      </c>
      <c r="E123" s="9">
        <v>46202.75817165509</v>
      </c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6">
        <v>1.0</v>
      </c>
      <c r="C124" s="7" t="s">
        <v>145</v>
      </c>
      <c r="D124" s="6">
        <v>49.0</v>
      </c>
      <c r="E124" s="9">
        <v>46202.758532708336</v>
      </c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6">
        <v>1.0</v>
      </c>
      <c r="C125" s="7" t="s">
        <v>146</v>
      </c>
      <c r="D125" s="6">
        <v>140.0</v>
      </c>
      <c r="E125" s="9">
        <v>46202.76862520834</v>
      </c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6">
        <v>18272.0</v>
      </c>
      <c r="B126" s="6">
        <v>1.0</v>
      </c>
      <c r="C126" s="7" t="s">
        <v>147</v>
      </c>
      <c r="D126" s="6">
        <v>99.0</v>
      </c>
      <c r="E126" s="9">
        <v>46202.7813999537</v>
      </c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6">
        <v>15016.0</v>
      </c>
      <c r="B127" s="6">
        <v>1.0</v>
      </c>
      <c r="C127" s="7" t="s">
        <v>148</v>
      </c>
      <c r="D127" s="6">
        <v>106.0</v>
      </c>
      <c r="E127" s="9">
        <v>46202.78142488426</v>
      </c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6">
        <v>2.0</v>
      </c>
      <c r="C128" s="7" t="s">
        <v>149</v>
      </c>
      <c r="D128" s="6">
        <v>10.0</v>
      </c>
      <c r="E128" s="9">
        <v>46202.82672837963</v>
      </c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15"/>
      <c r="C129" s="37"/>
      <c r="D129" s="38"/>
      <c r="E129" s="36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15"/>
      <c r="C130" s="37"/>
      <c r="D130" s="38"/>
      <c r="E130" s="36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15"/>
      <c r="C131" s="37"/>
      <c r="D131" s="38"/>
      <c r="E131" s="36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15"/>
      <c r="C132" s="37"/>
      <c r="D132" s="38"/>
      <c r="E132" s="36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15"/>
      <c r="C133" s="37"/>
      <c r="D133" s="38"/>
      <c r="E133" s="36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37"/>
      <c r="D134" s="38"/>
      <c r="E134" s="36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37"/>
      <c r="D135" s="38"/>
      <c r="E135" s="36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37"/>
      <c r="D136" s="38"/>
      <c r="E136" s="36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37"/>
      <c r="D137" s="38"/>
      <c r="E137" s="36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37"/>
      <c r="D138" s="38"/>
      <c r="E138" s="36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37"/>
      <c r="D139" s="38"/>
      <c r="E139" s="36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37"/>
      <c r="D140" s="38"/>
      <c r="E140" s="36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37"/>
      <c r="D141" s="38"/>
      <c r="E141" s="36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37"/>
      <c r="D142" s="38"/>
      <c r="E142" s="36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37"/>
      <c r="D143" s="38"/>
      <c r="E143" s="36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37"/>
      <c r="D144" s="38"/>
      <c r="E144" s="36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37"/>
      <c r="D145" s="38"/>
      <c r="E145" s="36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37"/>
      <c r="D146" s="38"/>
      <c r="E146" s="36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37"/>
      <c r="D147" s="38"/>
      <c r="E147" s="36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37"/>
      <c r="D148" s="38"/>
      <c r="E148" s="36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37"/>
      <c r="D149" s="38"/>
      <c r="E149" s="36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37"/>
      <c r="D150" s="38"/>
      <c r="E150" s="36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37"/>
      <c r="D151" s="38"/>
      <c r="E151" s="36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37"/>
      <c r="D152" s="38"/>
      <c r="E152" s="36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37"/>
      <c r="D153" s="38"/>
      <c r="E153" s="36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37"/>
      <c r="D154" s="38"/>
      <c r="E154" s="36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37"/>
      <c r="D155" s="38"/>
      <c r="E155" s="36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37"/>
      <c r="D156" s="38"/>
      <c r="E156" s="36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37"/>
      <c r="D157" s="38"/>
      <c r="E157" s="36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37"/>
      <c r="D158" s="38"/>
      <c r="E158" s="36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37"/>
      <c r="D159" s="38"/>
      <c r="E159" s="36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37"/>
      <c r="D160" s="38"/>
      <c r="E160" s="36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37"/>
      <c r="D161" s="38"/>
      <c r="E161" s="36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37"/>
      <c r="D162" s="38"/>
      <c r="E162" s="36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37"/>
      <c r="D163" s="38"/>
      <c r="E163" s="36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37"/>
      <c r="D164" s="38"/>
      <c r="E164" s="36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37"/>
      <c r="D165" s="38"/>
      <c r="E165" s="36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37"/>
      <c r="D166" s="38"/>
      <c r="E166" s="36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37"/>
      <c r="D167" s="38"/>
      <c r="E167" s="36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37"/>
      <c r="D168" s="38"/>
      <c r="E168" s="36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37"/>
      <c r="D169" s="38"/>
      <c r="E169" s="36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37"/>
      <c r="D170" s="38"/>
      <c r="E170" s="36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37"/>
      <c r="D171" s="38"/>
      <c r="E171" s="36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37"/>
      <c r="D172" s="38"/>
      <c r="E172" s="36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37"/>
      <c r="D173" s="38"/>
      <c r="E173" s="36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37"/>
      <c r="D174" s="38"/>
      <c r="E174" s="36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37"/>
      <c r="D175" s="38"/>
      <c r="E175" s="36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37"/>
      <c r="D176" s="38"/>
      <c r="E176" s="36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37"/>
      <c r="D177" s="38"/>
      <c r="E177" s="36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37"/>
      <c r="D178" s="38"/>
      <c r="E178" s="36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37"/>
      <c r="D179" s="38"/>
      <c r="E179" s="36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37"/>
      <c r="D180" s="38"/>
      <c r="E180" s="36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37"/>
      <c r="D181" s="38"/>
      <c r="E181" s="36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37"/>
      <c r="D182" s="38"/>
      <c r="E182" s="36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37"/>
      <c r="D183" s="38"/>
      <c r="E183" s="36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37"/>
      <c r="D184" s="38"/>
      <c r="E184" s="36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37"/>
      <c r="D185" s="38"/>
      <c r="E185" s="36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37"/>
      <c r="D186" s="38"/>
      <c r="E186" s="36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37"/>
      <c r="D187" s="38"/>
      <c r="E187" s="36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37"/>
      <c r="D188" s="38"/>
      <c r="E188" s="36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37"/>
      <c r="D189" s="38"/>
      <c r="E189" s="36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37"/>
      <c r="D190" s="38"/>
      <c r="E190" s="36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37"/>
      <c r="D191" s="38"/>
      <c r="E191" s="36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37"/>
      <c r="D192" s="38"/>
      <c r="E192" s="36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37"/>
      <c r="D193" s="38"/>
      <c r="E193" s="36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37"/>
      <c r="D194" s="38"/>
      <c r="E194" s="36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37"/>
      <c r="D195" s="38"/>
      <c r="E195" s="36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37"/>
      <c r="D196" s="38"/>
      <c r="E196" s="36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37"/>
      <c r="D197" s="38"/>
      <c r="E197" s="36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37"/>
      <c r="D198" s="38"/>
      <c r="E198" s="36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37"/>
      <c r="D199" s="38"/>
      <c r="E199" s="36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37"/>
      <c r="D200" s="38"/>
      <c r="E200" s="36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37"/>
      <c r="D201" s="38"/>
      <c r="E201" s="36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37"/>
      <c r="D202" s="38"/>
      <c r="E202" s="36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37"/>
      <c r="D203" s="38"/>
      <c r="E203" s="36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37"/>
      <c r="D204" s="38"/>
      <c r="E204" s="36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37"/>
      <c r="D205" s="38"/>
      <c r="E205" s="36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37"/>
      <c r="D206" s="38"/>
      <c r="E206" s="36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37"/>
      <c r="D207" s="38"/>
      <c r="E207" s="36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37"/>
      <c r="D208" s="38"/>
      <c r="E208" s="36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37"/>
      <c r="D209" s="38"/>
      <c r="E209" s="36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37"/>
      <c r="D210" s="38"/>
      <c r="E210" s="36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37"/>
      <c r="D211" s="38"/>
      <c r="E211" s="36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37"/>
      <c r="D212" s="38"/>
      <c r="E212" s="36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37"/>
      <c r="D213" s="38"/>
      <c r="E213" s="36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37"/>
      <c r="D214" s="38"/>
      <c r="E214" s="36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37"/>
      <c r="D215" s="38"/>
      <c r="E215" s="36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37"/>
      <c r="D216" s="38"/>
      <c r="E216" s="36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37"/>
      <c r="D217" s="38"/>
      <c r="E217" s="36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37"/>
      <c r="D218" s="38"/>
      <c r="E218" s="36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37"/>
      <c r="D219" s="38"/>
      <c r="E219" s="36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37"/>
      <c r="D220" s="38"/>
      <c r="E220" s="36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37"/>
      <c r="D221" s="38"/>
      <c r="E221" s="36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37"/>
      <c r="D222" s="38"/>
      <c r="E222" s="36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37"/>
      <c r="D223" s="38"/>
      <c r="E223" s="36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37"/>
      <c r="D224" s="38"/>
      <c r="E224" s="36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37"/>
      <c r="D225" s="38"/>
      <c r="E225" s="36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37"/>
      <c r="D226" s="38"/>
      <c r="E226" s="36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37"/>
      <c r="D227" s="38"/>
      <c r="E227" s="36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37"/>
      <c r="D228" s="38"/>
      <c r="E228" s="36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37"/>
      <c r="D229" s="38"/>
      <c r="E229" s="36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37"/>
      <c r="D230" s="38"/>
      <c r="E230" s="36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37"/>
      <c r="D231" s="38"/>
      <c r="E231" s="36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37"/>
      <c r="D232" s="38"/>
      <c r="E232" s="36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37"/>
      <c r="D233" s="38"/>
      <c r="E233" s="36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37"/>
      <c r="D234" s="38"/>
      <c r="E234" s="36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37"/>
      <c r="D235" s="38"/>
      <c r="E235" s="36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37"/>
      <c r="D236" s="38"/>
      <c r="E236" s="36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37"/>
      <c r="D237" s="38"/>
      <c r="E237" s="36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37"/>
      <c r="D238" s="38"/>
      <c r="E238" s="36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37"/>
      <c r="D239" s="38"/>
      <c r="E239" s="36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37"/>
      <c r="D240" s="38"/>
      <c r="E240" s="36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37"/>
      <c r="D241" s="38"/>
      <c r="E241" s="36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37"/>
      <c r="D242" s="38"/>
      <c r="E242" s="36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37"/>
      <c r="D243" s="38"/>
      <c r="E243" s="36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37"/>
      <c r="D244" s="38"/>
      <c r="E244" s="36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37"/>
      <c r="D245" s="38"/>
      <c r="E245" s="36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37"/>
      <c r="D246" s="38"/>
      <c r="E246" s="36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37"/>
      <c r="D247" s="38"/>
      <c r="E247" s="36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37"/>
      <c r="D248" s="38"/>
      <c r="E248" s="36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37"/>
      <c r="D249" s="38"/>
      <c r="E249" s="36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37"/>
      <c r="D250" s="38"/>
      <c r="E250" s="36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37"/>
      <c r="D251" s="38"/>
      <c r="E251" s="36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37"/>
      <c r="D252" s="38"/>
      <c r="E252" s="36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37"/>
      <c r="D253" s="38"/>
      <c r="E253" s="36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37"/>
      <c r="D254" s="38"/>
      <c r="E254" s="36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37"/>
      <c r="D255" s="38"/>
      <c r="E255" s="36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37"/>
      <c r="D256" s="38"/>
      <c r="E256" s="36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37"/>
      <c r="D257" s="38"/>
      <c r="E257" s="36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37"/>
      <c r="D258" s="38"/>
      <c r="E258" s="36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37"/>
      <c r="D259" s="38"/>
      <c r="E259" s="36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37"/>
      <c r="D260" s="38"/>
      <c r="E260" s="36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37"/>
      <c r="D261" s="38"/>
      <c r="E261" s="36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37"/>
      <c r="D262" s="38"/>
      <c r="E262" s="36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37"/>
      <c r="D263" s="38"/>
      <c r="E263" s="36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37"/>
      <c r="D264" s="38"/>
      <c r="E264" s="36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37"/>
      <c r="D265" s="38"/>
      <c r="E265" s="36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37"/>
      <c r="D266" s="38"/>
      <c r="E266" s="36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37"/>
      <c r="D267" s="38"/>
      <c r="E267" s="36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37"/>
      <c r="D268" s="38"/>
      <c r="E268" s="36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37"/>
      <c r="D269" s="38"/>
      <c r="E269" s="36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37"/>
      <c r="D270" s="38"/>
      <c r="E270" s="36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37"/>
      <c r="D271" s="38"/>
      <c r="E271" s="36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37"/>
      <c r="D272" s="38"/>
      <c r="E272" s="36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37"/>
      <c r="D273" s="38"/>
      <c r="E273" s="36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37"/>
      <c r="D274" s="38"/>
      <c r="E274" s="36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37"/>
      <c r="D275" s="38"/>
      <c r="E275" s="36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37"/>
      <c r="D276" s="38"/>
      <c r="E276" s="36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37"/>
      <c r="D277" s="38"/>
      <c r="E277" s="36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37"/>
      <c r="D278" s="38"/>
      <c r="E278" s="36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37"/>
      <c r="D279" s="38"/>
      <c r="E279" s="36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37"/>
      <c r="D280" s="38"/>
      <c r="E280" s="36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37"/>
      <c r="D281" s="38"/>
      <c r="E281" s="36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37"/>
      <c r="D282" s="38"/>
      <c r="E282" s="36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37"/>
      <c r="D283" s="38"/>
      <c r="E283" s="36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37"/>
      <c r="D284" s="38"/>
      <c r="E284" s="36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37"/>
      <c r="D285" s="38"/>
      <c r="E285" s="36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37"/>
      <c r="D286" s="38"/>
      <c r="E286" s="36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37"/>
      <c r="D287" s="38"/>
      <c r="E287" s="36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37"/>
      <c r="D288" s="38"/>
      <c r="E288" s="36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37"/>
      <c r="D289" s="38"/>
      <c r="E289" s="36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37"/>
      <c r="D290" s="38"/>
      <c r="E290" s="36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37"/>
      <c r="D291" s="38"/>
      <c r="E291" s="36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37"/>
      <c r="D292" s="38"/>
      <c r="E292" s="36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37"/>
      <c r="D293" s="38"/>
      <c r="E293" s="36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37"/>
      <c r="D294" s="38"/>
      <c r="E294" s="36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37"/>
      <c r="D295" s="38"/>
      <c r="E295" s="36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37"/>
      <c r="D296" s="38"/>
      <c r="E296" s="36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37"/>
      <c r="D297" s="38"/>
      <c r="E297" s="36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37"/>
      <c r="D298" s="38"/>
      <c r="E298" s="36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37"/>
      <c r="D299" s="38"/>
      <c r="E299" s="36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37"/>
      <c r="D300" s="38"/>
      <c r="E300" s="36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37"/>
      <c r="D301" s="38"/>
      <c r="E301" s="36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