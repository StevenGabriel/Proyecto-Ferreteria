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<sst xmlns="http://schemas.openxmlformats.org/spreadsheetml/2006/main" count="111" uniqueCount="110">
  <si>
    <t>HOJA DE CALCULO FERRETERIA</t>
  </si>
  <si>
    <t>CODIGO</t>
  </si>
  <si>
    <t>CANTIDAD</t>
  </si>
  <si>
    <t>DESCRIPCION</t>
  </si>
  <si>
    <t>TOTAL</t>
  </si>
  <si>
    <t>HORA</t>
  </si>
  <si>
    <t>CUADRAR</t>
  </si>
  <si>
    <t>derivador</t>
  </si>
  <si>
    <t>m maguera nivel</t>
  </si>
  <si>
    <t>MONEDAS</t>
  </si>
  <si>
    <t>CAJA CHICA</t>
  </si>
  <si>
    <t>pico traon</t>
  </si>
  <si>
    <t>BILLETES 10-20</t>
  </si>
  <si>
    <t>TOTAL VENTAS DIA</t>
  </si>
  <si>
    <t>debor 4 fierro</t>
  </si>
  <si>
    <t>BILLETES 50-100-200</t>
  </si>
  <si>
    <t>AUMENTO DE DINERO</t>
  </si>
  <si>
    <t>parabon p20</t>
  </si>
  <si>
    <t>INGRESOS YAPE</t>
  </si>
  <si>
    <t>1m</t>
  </si>
  <si>
    <t>lija madera</t>
  </si>
  <si>
    <t>INGRESOS TARJETA</t>
  </si>
  <si>
    <t>grampa 8mm</t>
  </si>
  <si>
    <t>GASTOS VARIOS</t>
  </si>
  <si>
    <t>paño microfibra</t>
  </si>
  <si>
    <t>TUBO CONDUIT</t>
  </si>
  <si>
    <t>DINERO GANADO HOY:</t>
  </si>
  <si>
    <t>CANTIDAD DINERO CAJA:</t>
  </si>
  <si>
    <t>JECI CEPILLO COPA TALADRO</t>
  </si>
  <si>
    <t>SIDON LAVAMAMOS</t>
  </si>
  <si>
    <t>TEFLON</t>
  </si>
  <si>
    <t>PISTON PARA CAVADORA</t>
  </si>
  <si>
    <t>RAMPLU 6 LH</t>
  </si>
  <si>
    <t>CHIP 4.5X35</t>
  </si>
  <si>
    <t>RAMPLU 8 LH</t>
  </si>
  <si>
    <t>YAPE MAMÁ</t>
  </si>
  <si>
    <t>YAPE PAPÁ</t>
  </si>
  <si>
    <t>YAPE</t>
  </si>
  <si>
    <t>CHIP 3X16</t>
  </si>
  <si>
    <t>Monto Total YAPE (No tocar):</t>
  </si>
  <si>
    <t>DISCO FLAP</t>
  </si>
  <si>
    <t>FOTADOR ELETRICO 3M</t>
  </si>
  <si>
    <t>Monto Total Registrado en aplicacion</t>
  </si>
  <si>
    <t>CINTA ASLANTE</t>
  </si>
  <si>
    <t>mini tenaza</t>
  </si>
  <si>
    <t>rodillo 15cm</t>
  </si>
  <si>
    <t>1kl</t>
  </si>
  <si>
    <t>clavo 11/2</t>
  </si>
  <si>
    <t>placa doble blanco</t>
  </si>
  <si>
    <t>modulo interruptor lanco</t>
  </si>
  <si>
    <t>chip 3.5x25</t>
  </si>
  <si>
    <t>ADAPTADOR 3/8 X1/2 DADO</t>
  </si>
  <si>
    <t>PAGOS YAPE</t>
  </si>
  <si>
    <t>DESCRIPCION PAGO</t>
  </si>
  <si>
    <t>ADAPTADOR 1/4 X 3/8 DADO</t>
  </si>
  <si>
    <t>JUEGO ADAPTADOR DADO A TALADRO</t>
  </si>
  <si>
    <t>DADO TORK T45</t>
  </si>
  <si>
    <t>AUTOMATICO BOMBA</t>
  </si>
  <si>
    <t>DEBOR 3.5</t>
  </si>
  <si>
    <t>COPLA 1 PVC</t>
  </si>
  <si>
    <t>CDO PVC 1</t>
  </si>
  <si>
    <t>1/2M</t>
  </si>
  <si>
    <t>CAÑERIA 1</t>
  </si>
  <si>
    <t>ADAPTADO 1 PVC</t>
  </si>
  <si>
    <t>UNION PATENTE 1 TIGRE</t>
  </si>
  <si>
    <t>AEROSL COBRE METAICO</t>
  </si>
  <si>
    <t>MASQUIN 3/4</t>
  </si>
  <si>
    <t>MASQUIN 1</t>
  </si>
  <si>
    <t>CIARRA ECANCA IRWIN</t>
  </si>
  <si>
    <t>TUERCAS 5/16</t>
  </si>
  <si>
    <t>DUSCHAS HIGIENICAS FV</t>
  </si>
  <si>
    <t>DSCO MADERA 7</t>
  </si>
  <si>
    <t>BROCA ABRLLANADORAS</t>
  </si>
  <si>
    <t>CARRPICOLA 500ML</t>
  </si>
  <si>
    <t>BOLSA RAMPLU DRIWALL 2</t>
  </si>
  <si>
    <t>1KL</t>
  </si>
  <si>
    <t>CLAVO 2</t>
  </si>
  <si>
    <t>PRESINTO 40</t>
  </si>
  <si>
    <t>PRECINTAO UYUDROA</t>
  </si>
  <si>
    <t>M MALLA SOLDADA</t>
  </si>
  <si>
    <t>MARCADOR</t>
  </si>
  <si>
    <t xml:space="preserve">BARRENOS </t>
  </si>
  <si>
    <t xml:space="preserve">ALARGDOR </t>
  </si>
  <si>
    <t>ALARGADOR</t>
  </si>
  <si>
    <t>CONDUIT</t>
  </si>
  <si>
    <t>ADAPTDOR</t>
  </si>
  <si>
    <t>SIERRA MECANIDA PEMUIO</t>
  </si>
  <si>
    <t>CANDADO HERME</t>
  </si>
  <si>
    <t>CLEFA DE L</t>
  </si>
  <si>
    <t>CARPICOLA</t>
  </si>
  <si>
    <t>ESCUADRA UYSJT</t>
  </si>
  <si>
    <t>brocha atlas</t>
  </si>
  <si>
    <t>rodillo atlas</t>
  </si>
  <si>
    <t>poxipol</t>
  </si>
  <si>
    <t>placa doble epem</t>
  </si>
  <si>
    <t>guante</t>
  </si>
  <si>
    <t>guante goa l</t>
  </si>
  <si>
    <t>siliocna transparebte american</t>
  </si>
  <si>
    <t>silicona ngera aerica</t>
  </si>
  <si>
    <t>tapn auditivo</t>
  </si>
  <si>
    <t>lijas 5 total</t>
  </si>
  <si>
    <t>cinta asilante</t>
  </si>
  <si>
    <t>lija fierro 36</t>
  </si>
  <si>
    <t>sika negro</t>
  </si>
  <si>
    <t>tubo led</t>
  </si>
  <si>
    <t>poxilna</t>
  </si>
  <si>
    <t>PILAS AA</t>
  </si>
  <si>
    <t xml:space="preserve">CHIP </t>
  </si>
  <si>
    <t>CINA DE EMBALAJE</t>
  </si>
  <si>
    <t>ANTICOVORROI CAOBA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</si>
</sst>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10.0</v>
      </c>
      <c r="E8" s="8">
        <v>46176.35675392361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14.0</v>
      </c>
      <c r="E9" s="8">
        <v>46176.35688670139</v>
      </c>
      <c r="F9" s="2"/>
      <c r="G9" s="9" t="s">
        <v>9</v>
      </c>
      <c r="H9" s="10">
        <v>118.0</v>
      </c>
      <c r="I9" s="2"/>
      <c r="J9" s="9" t="s">
        <v>10</v>
      </c>
      <c r="K9" s="10">
        <v>663.5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14.0</v>
      </c>
      <c r="E10" s="8">
        <v>46176.37166395833</v>
      </c>
      <c r="F10" s="2"/>
      <c r="G10" s="9" t="s">
        <v>12</v>
      </c>
      <c r="H10" s="10">
        <v>220.0</v>
      </c>
      <c r="I10" s="2"/>
      <c r="J10" s="9" t="s">
        <v>13</v>
      </c>
      <c r="K10" s="11">
        <f>SUM(PRINCIPAL[TOTAL])</f>
        <v>3692.5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14.0</v>
      </c>
      <c r="E11" s="8">
        <v>46176.371761076385</v>
      </c>
      <c r="F11" s="2"/>
      <c r="G11" s="9" t="s">
        <v>15</v>
      </c>
      <c r="H11" s="10">
        <v>2500.0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78.0</v>
      </c>
      <c r="E12" s="8">
        <v>46176.38985600694</v>
      </c>
      <c r="F12" s="2"/>
      <c r="G12" s="9" t="s">
        <v>18</v>
      </c>
      <c r="H12" s="12">
        <f>SUM(G24:H361)</f>
        <v>1346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19</v>
      </c>
      <c r="C13" s="7" t="s">
        <v>20</v>
      </c>
      <c r="D13" s="6">
        <v>10.0</v>
      </c>
      <c r="E13" s="8">
        <v>46176.39666204861</v>
      </c>
      <c r="F13" s="2"/>
      <c r="G13" s="9" t="s">
        <v>21</v>
      </c>
      <c r="H13" s="10">
        <v>177.0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11.0</v>
      </c>
      <c r="E14" s="8">
        <v>46176.39672510416</v>
      </c>
      <c r="F14" s="2"/>
      <c r="G14" s="9" t="s">
        <v>23</v>
      </c>
      <c r="H14" s="10">
        <v>30.0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49.0</v>
      </c>
      <c r="E15" s="8">
        <v>46176.41030787037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25</v>
      </c>
      <c r="D16" s="6">
        <v>20.0</v>
      </c>
      <c r="E16" s="8">
        <v>46176.41224928241</v>
      </c>
      <c r="F16" s="2"/>
      <c r="G16" s="15" t="s">
        <v>26</v>
      </c>
      <c r="H16" s="16">
        <f>SUM(H9:H14)</f>
        <v>4391</v>
      </c>
      <c r="I16" s="3"/>
      <c r="J16" s="15" t="s">
        <v>27</v>
      </c>
      <c r="K16" s="16">
        <f>SUM(K9:K11)</f>
        <v>4356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25.0</v>
      </c>
      <c r="E17" s="8">
        <v>46176.41556075231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57.0</v>
      </c>
      <c r="E18" s="8">
        <v>46176.41725832176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2.5</v>
      </c>
      <c r="E19" s="8">
        <v>46176.41730719907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50.0</v>
      </c>
      <c r="E20" s="8">
        <v>46176.42199253472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12.0</v>
      </c>
      <c r="C21" s="7" t="s">
        <v>32</v>
      </c>
      <c r="D21" s="6">
        <v>3.0</v>
      </c>
      <c r="E21" s="8">
        <v>46176.446791423616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12.0</v>
      </c>
      <c r="C22" s="7" t="s">
        <v>33</v>
      </c>
      <c r="D22" s="6">
        <v>3.0</v>
      </c>
      <c r="E22" s="8">
        <v>46176.44713976852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1.0</v>
      </c>
      <c r="E23" s="8">
        <v>46176.44734219907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6.0</v>
      </c>
      <c r="C24" s="7" t="s">
        <v>38</v>
      </c>
      <c r="D24" s="6">
        <v>0.5</v>
      </c>
      <c r="E24" s="8">
        <v>46176.44744024306</v>
      </c>
      <c r="F24" s="2"/>
      <c r="G24" s="22">
        <v>22.0</v>
      </c>
      <c r="H24" s="23"/>
      <c r="I24" s="2"/>
      <c r="J24" s="24" t="s">
        <v>39</v>
      </c>
      <c r="K24" s="25">
        <f>SUM(INGRESOS_YAPE[])</f>
        <v>1346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40</v>
      </c>
      <c r="D25" s="6">
        <v>36.0</v>
      </c>
      <c r="E25" s="8">
        <v>46176.451201944445</v>
      </c>
      <c r="F25" s="2"/>
      <c r="G25" s="22">
        <v>28.0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190.0</v>
      </c>
      <c r="E26" s="8">
        <v>46176.45394997685</v>
      </c>
      <c r="F26" s="2"/>
      <c r="G26" s="26">
        <v>49.0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9.0</v>
      </c>
      <c r="E27" s="8">
        <v>46176.45402017361</v>
      </c>
      <c r="F27" s="2"/>
      <c r="G27" s="22">
        <v>199.0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30.0</v>
      </c>
      <c r="E28" s="8">
        <v>46176.46168460648</v>
      </c>
      <c r="F28" s="2"/>
      <c r="G28" s="22">
        <v>30.0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26.0</v>
      </c>
      <c r="E29" s="8">
        <v>46176.47423998843</v>
      </c>
      <c r="F29" s="2"/>
      <c r="G29" s="22">
        <v>76.0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1346,00</v>
      </c>
      <c r="L29" s="2"/>
      <c r="M29" s="2"/>
      <c r="N29" s="2"/>
      <c r="O29" s="2"/>
      <c r="P29" s="2"/>
      <c r="Q29" s="2"/>
    </row>
    <row r="30" ht="22.5" customHeight="1">
      <c r="A30" s="13"/>
      <c r="B30" s="6" t="s">
        <v>46</v>
      </c>
      <c r="C30" s="7" t="s">
        <v>47</v>
      </c>
      <c r="D30" s="6">
        <v>20.0</v>
      </c>
      <c r="E30" s="8">
        <v>46176.474624780094</v>
      </c>
      <c r="F30" s="2"/>
      <c r="G30" s="22">
        <v>12.0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9.5</v>
      </c>
      <c r="E31" s="8">
        <v>46176.474778703705</v>
      </c>
      <c r="F31" s="2"/>
      <c r="G31" s="22">
        <v>560.0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49</v>
      </c>
      <c r="D32" s="6">
        <v>19.0</v>
      </c>
      <c r="E32" s="8">
        <v>46176.47493114583</v>
      </c>
      <c r="F32" s="2"/>
      <c r="G32" s="22">
        <v>66.0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12.0</v>
      </c>
      <c r="C33" s="7" t="s">
        <v>50</v>
      </c>
      <c r="D33" s="6">
        <v>1.5</v>
      </c>
      <c r="E33" s="8">
        <v>46176.475775659725</v>
      </c>
      <c r="F33" s="2"/>
      <c r="G33" s="22">
        <v>58.0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51</v>
      </c>
      <c r="D34" s="6">
        <v>20.0</v>
      </c>
      <c r="E34" s="8">
        <v>46176.480834201386</v>
      </c>
      <c r="F34" s="2"/>
      <c r="G34" s="22">
        <v>78.0</v>
      </c>
      <c r="H34" s="23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14.0</v>
      </c>
      <c r="E35" s="8">
        <v>46176.481115</v>
      </c>
      <c r="F35" s="2"/>
      <c r="G35" s="22">
        <v>33.0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78.0</v>
      </c>
      <c r="E36" s="8">
        <v>46176.48176577546</v>
      </c>
      <c r="F36" s="2"/>
      <c r="G36" s="22">
        <v>78.0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65.0</v>
      </c>
      <c r="E37" s="8">
        <v>46176.481897777776</v>
      </c>
      <c r="F37" s="2"/>
      <c r="G37" s="22">
        <v>3.0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256.0</v>
      </c>
      <c r="E38" s="8">
        <v>46176.48977810185</v>
      </c>
      <c r="F38" s="2"/>
      <c r="G38" s="22">
        <v>54.0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12.0</v>
      </c>
      <c r="E39" s="8">
        <v>46176.4931158449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59</v>
      </c>
      <c r="D40" s="6">
        <v>7.0</v>
      </c>
      <c r="E40" s="8">
        <v>46176.51972039352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10.0</v>
      </c>
      <c r="E41" s="8">
        <v>46176.51980079861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 t="s">
        <v>61</v>
      </c>
      <c r="C42" s="7" t="s">
        <v>62</v>
      </c>
      <c r="D42" s="6">
        <v>10.0</v>
      </c>
      <c r="E42" s="8">
        <v>46176.51996723379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10.5</v>
      </c>
      <c r="E43" s="8">
        <v>46176.52006372686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19.0</v>
      </c>
      <c r="E44" s="8">
        <v>46176.520173020836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3.0</v>
      </c>
      <c r="E45" s="8">
        <v>46176.52730621528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66</v>
      </c>
      <c r="D46" s="6">
        <v>8.0</v>
      </c>
      <c r="E46" s="8">
        <v>46176.52743418982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67</v>
      </c>
      <c r="D47" s="6">
        <v>16.5</v>
      </c>
      <c r="E47" s="8">
        <v>46176.52749960648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68</v>
      </c>
      <c r="D48" s="6">
        <v>15.0</v>
      </c>
      <c r="E48" s="8">
        <v>46176.52764327546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6.0</v>
      </c>
      <c r="C49" s="7" t="s">
        <v>69</v>
      </c>
      <c r="D49" s="6">
        <v>2.0</v>
      </c>
      <c r="E49" s="8">
        <v>46176.55580591435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70</v>
      </c>
      <c r="D50" s="6">
        <v>560.0</v>
      </c>
      <c r="E50" s="8">
        <v>46176.55643728009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52.0</v>
      </c>
      <c r="E51" s="8">
        <v>46176.59478400463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63.0</v>
      </c>
      <c r="E52" s="8">
        <v>46176.59893013889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24.0</v>
      </c>
      <c r="C53" s="7" t="s">
        <v>50</v>
      </c>
      <c r="D53" s="6">
        <v>3.0</v>
      </c>
      <c r="E53" s="8">
        <v>46176.599025891206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26.0</v>
      </c>
      <c r="E54" s="8">
        <v>46176.602739305556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87.0</v>
      </c>
      <c r="E55" s="8">
        <v>46176.60289337963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75</v>
      </c>
      <c r="C56" s="7" t="s">
        <v>76</v>
      </c>
      <c r="D56" s="6">
        <v>16.0</v>
      </c>
      <c r="E56" s="8">
        <v>46176.603018333335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77</v>
      </c>
      <c r="D57" s="6">
        <v>110.0</v>
      </c>
      <c r="E57" s="8">
        <v>46176.61006011574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78</v>
      </c>
      <c r="D58" s="6">
        <v>60.0</v>
      </c>
      <c r="E58" s="8">
        <v>46176.610528310186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5.0</v>
      </c>
      <c r="C59" s="7" t="s">
        <v>79</v>
      </c>
      <c r="D59" s="6">
        <v>225.0</v>
      </c>
      <c r="E59" s="8">
        <v>46176.61061293981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6.0</v>
      </c>
      <c r="E60" s="8">
        <v>46176.61080400463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81</v>
      </c>
      <c r="D61" s="6">
        <v>60.0</v>
      </c>
      <c r="E61" s="8">
        <v>46176.61125229167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196.0</v>
      </c>
      <c r="E62" s="8">
        <v>46176.6416016088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72.0</v>
      </c>
      <c r="E63" s="8">
        <v>46176.64163268519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5.0</v>
      </c>
      <c r="C64" s="7" t="s">
        <v>84</v>
      </c>
      <c r="D64" s="6">
        <v>35.0</v>
      </c>
      <c r="E64" s="8">
        <v>46176.64267728009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5.0</v>
      </c>
      <c r="E65" s="8">
        <v>46176.642718194445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58.0</v>
      </c>
      <c r="E66" s="8">
        <v>46176.64453601852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12.0</v>
      </c>
      <c r="E67" s="8">
        <v>46176.645383958334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88</v>
      </c>
      <c r="D68" s="6">
        <v>78.0</v>
      </c>
      <c r="E68" s="8">
        <v>46176.645444953705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89</v>
      </c>
      <c r="D69" s="6">
        <v>42.0</v>
      </c>
      <c r="E69" s="8">
        <v>46176.65580900463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90</v>
      </c>
      <c r="D70" s="6">
        <v>22.0</v>
      </c>
      <c r="E70" s="8">
        <v>46176.655984282406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91</v>
      </c>
      <c r="D71" s="6">
        <v>16.0</v>
      </c>
      <c r="E71" s="8">
        <v>46176.66604965278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92</v>
      </c>
      <c r="D72" s="6">
        <v>17.0</v>
      </c>
      <c r="E72" s="8">
        <v>46176.66609946759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93</v>
      </c>
      <c r="D73" s="6">
        <v>36.0</v>
      </c>
      <c r="E73" s="8">
        <v>46176.6657296412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94</v>
      </c>
      <c r="D74" s="6">
        <v>30.0</v>
      </c>
      <c r="E74" s="8">
        <v>46176.66585888889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6.0</v>
      </c>
      <c r="C75" s="7" t="s">
        <v>95</v>
      </c>
      <c r="D75" s="6">
        <v>46.0</v>
      </c>
      <c r="E75" s="8">
        <v>46176.67374745371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96</v>
      </c>
      <c r="D76" s="6">
        <v>66.0</v>
      </c>
      <c r="E76" s="8">
        <v>46176.674359780096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97</v>
      </c>
      <c r="D77" s="6">
        <v>52.0</v>
      </c>
      <c r="E77" s="8">
        <v>46176.67455866898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98</v>
      </c>
      <c r="D78" s="6">
        <v>51.0</v>
      </c>
      <c r="E78" s="8">
        <v>46176.674638842596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6.0</v>
      </c>
      <c r="C79" s="7" t="s">
        <v>99</v>
      </c>
      <c r="D79" s="6">
        <v>36.0</v>
      </c>
      <c r="E79" s="8">
        <v>46176.67484527778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100</v>
      </c>
      <c r="D80" s="6">
        <v>34.0</v>
      </c>
      <c r="E80" s="8">
        <v>46176.680868344905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101</v>
      </c>
      <c r="D81" s="6">
        <v>9.0</v>
      </c>
      <c r="E81" s="8">
        <v>46176.69666878472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102</v>
      </c>
      <c r="D82" s="6">
        <v>10.0</v>
      </c>
      <c r="E82" s="8">
        <v>46176.714965046296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103</v>
      </c>
      <c r="D83" s="6">
        <v>78.0</v>
      </c>
      <c r="E83" s="8">
        <v>46176.717509953705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104</v>
      </c>
      <c r="D84" s="6">
        <v>16.0</v>
      </c>
      <c r="E84" s="8">
        <v>46176.731654351854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105</v>
      </c>
      <c r="D85" s="6">
        <v>38.0</v>
      </c>
      <c r="E85" s="8">
        <v>46176.73177677083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6.0</v>
      </c>
      <c r="C86" s="7" t="s">
        <v>106</v>
      </c>
      <c r="D86" s="6">
        <v>30.0</v>
      </c>
      <c r="E86" s="8">
        <v>46176.73706670139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60.0</v>
      </c>
      <c r="C87" s="7" t="s">
        <v>107</v>
      </c>
      <c r="D87" s="6">
        <v>17.5</v>
      </c>
      <c r="E87" s="8">
        <v>46176.73906854166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108</v>
      </c>
      <c r="D88" s="6">
        <v>10.0</v>
      </c>
      <c r="E88" s="8">
        <v>46176.7429865625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109</v>
      </c>
      <c r="D89" s="6">
        <v>63.0</v>
      </c>
      <c r="E89" s="8">
        <v>46176.746642881946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