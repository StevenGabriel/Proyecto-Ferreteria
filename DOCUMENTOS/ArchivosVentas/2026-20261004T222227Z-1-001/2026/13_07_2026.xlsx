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<sst xmlns="http://schemas.openxmlformats.org/spreadsheetml/2006/main" count="103" uniqueCount="103">
  <si>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</si>
  <si>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</si>
  <si>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</si>
  <si>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</si>
  <si>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</si>
  <si>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</si>
  <si>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</si>
  <si>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lente tr</t>
  </si>
  <si>
    <t>clavo truper</t>
  </si>
  <si>
    <t>MONEDAS</t>
  </si>
  <si>
    <t>CAJA CHICA</t>
  </si>
  <si>
    <t>repuesto de cuchilla</t>
  </si>
  <si>
    <t>BILLETES 10-20</t>
  </si>
  <si>
    <t>TOTAL VENTAS DIA</t>
  </si>
  <si>
    <t>pegatamke pvc.cpvc</t>
  </si>
  <si>
    <t>BILLETES 50-100-200</t>
  </si>
  <si>
    <t>AUMENTO DE DINERO</t>
  </si>
  <si>
    <t>teflon</t>
  </si>
  <si>
    <t>INGRESOS YAPE</t>
  </si>
  <si>
    <t>armellas</t>
  </si>
  <si>
    <t>INGRESOS TARJETA</t>
  </si>
  <si>
    <t>clavija</t>
  </si>
  <si>
    <t>GASTOS VARIOS</t>
  </si>
  <si>
    <t>debor fierro 2mm</t>
  </si>
  <si>
    <t>caja rectangular tigre</t>
  </si>
  <si>
    <t>DINERO GANADO HOY:</t>
  </si>
  <si>
    <t>CANTIDAD DINERO CAJA:</t>
  </si>
  <si>
    <t>irwin 6 concreto</t>
  </si>
  <si>
    <t>carbon</t>
  </si>
  <si>
    <t>lija 120</t>
  </si>
  <si>
    <t>frotacho</t>
  </si>
  <si>
    <t>bocha 2</t>
  </si>
  <si>
    <t>semicodo pvc 11/2</t>
  </si>
  <si>
    <t>guante naranja</t>
  </si>
  <si>
    <t>YAPE MAMÁ</t>
  </si>
  <si>
    <t>YAPE PAPÁ</t>
  </si>
  <si>
    <t>YAPE</t>
  </si>
  <si>
    <t>clavo 35mm</t>
  </si>
  <si>
    <t>Monto Total YAPE (No tocar):</t>
  </si>
  <si>
    <t>clavo 45mm</t>
  </si>
  <si>
    <t>rastrillo</t>
  </si>
  <si>
    <t>Monto Total Registrado en aplicacion</t>
  </si>
  <si>
    <t>LENTE TR</t>
  </si>
  <si>
    <t xml:space="preserve">cubre cable </t>
  </si>
  <si>
    <t>llave 12</t>
  </si>
  <si>
    <t>broca</t>
  </si>
  <si>
    <t>manguera 1/2 rollo</t>
  </si>
  <si>
    <t>union patente</t>
  </si>
  <si>
    <t>grifo 1/2 itap</t>
  </si>
  <si>
    <t>panel led sobre redondo 12</t>
  </si>
  <si>
    <t>PAGOS YAPE</t>
  </si>
  <si>
    <t>DESCRIPCION PAGO</t>
  </si>
  <si>
    <t>clefa 100</t>
  </si>
  <si>
    <t>pistola de calor uyus</t>
  </si>
  <si>
    <t>serrucho tr</t>
  </si>
  <si>
    <t>aspersor</t>
  </si>
  <si>
    <t>lija 600</t>
  </si>
  <si>
    <t>lija 400</t>
  </si>
  <si>
    <t>lija 1000</t>
  </si>
  <si>
    <t>poxilina</t>
  </si>
  <si>
    <t>bocha 11/2</t>
  </si>
  <si>
    <t>tapon 1 tigre</t>
  </si>
  <si>
    <t>resistencioa lorenzety 3t</t>
  </si>
  <si>
    <t>escamosita 1/2kl</t>
  </si>
  <si>
    <t>llavero</t>
  </si>
  <si>
    <t>llave crecen 10</t>
  </si>
  <si>
    <t>sopapa coflex</t>
  </si>
  <si>
    <t>llave crecen tolsen</t>
  </si>
  <si>
    <t>maguera 5/16</t>
  </si>
  <si>
    <t>pernos</t>
  </si>
  <si>
    <t>2kl</t>
  </si>
  <si>
    <t>electrodo delgado</t>
  </si>
  <si>
    <t>1kl</t>
  </si>
  <si>
    <t>electrodo gureso</t>
  </si>
  <si>
    <t>disco escillo 4</t>
  </si>
  <si>
    <t>broca fierro 4 debor</t>
  </si>
  <si>
    <t>cautin 100</t>
  </si>
  <si>
    <t>guante ferrawy</t>
  </si>
  <si>
    <t>pegamento pvc 1l</t>
  </si>
  <si>
    <t>20doc</t>
  </si>
  <si>
    <t>autoperforante 8 x 1/2</t>
  </si>
  <si>
    <t>GRIFO</t>
  </si>
  <si>
    <t>GUATE TR</t>
  </si>
  <si>
    <t>GUANTE LICRA</t>
  </si>
  <si>
    <t>desarmador reversible</t>
  </si>
  <si>
    <t>pastina neomix</t>
  </si>
  <si>
    <t xml:space="preserve">siliona  </t>
  </si>
  <si>
    <t>chicotillo</t>
  </si>
  <si>
    <t>ESCALERA  PEL</t>
  </si>
  <si>
    <t>DISCO FLAP</t>
  </si>
  <si>
    <t>pegamento akfix</t>
  </si>
  <si>
    <t>diablito</t>
  </si>
  <si>
    <t>automatico total</t>
  </si>
  <si>
    <t>lija</t>
  </si>
  <si>
    <t>ramplu</t>
  </si>
  <si>
    <t>punson</t>
  </si>
  <si>
    <t>broca 6</t>
  </si>
  <si>
    <t>doc ramplu</t>
  </si>
  <si>
    <t>sujeta cable</t>
  </si>
  <si>
    <t>mt cadena</t>
  </si>
  <si>
    <t>autoperforante 12 x 1</t>
  </si>
  <si>
    <t>cinta doble contador</t>
  </si>
  <si>
    <t>foco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</si>
</sst>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d.m"/>
    <numFmt numFmtId="166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20.0</v>
      </c>
      <c r="E8" s="9">
        <v>46216.37413015046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88.0</v>
      </c>
      <c r="E9" s="9">
        <v>46216.39356752315</v>
      </c>
      <c r="F9" s="2"/>
      <c r="G9" s="10" t="s">
        <v>9</v>
      </c>
      <c r="H9" s="11">
        <v>182.5</v>
      </c>
      <c r="I9" s="2"/>
      <c r="J9" s="10" t="s">
        <v>10</v>
      </c>
      <c r="K9" s="11">
        <v>522.0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9">
        <v>46216.39362782407</v>
      </c>
      <c r="F10" s="2"/>
      <c r="G10" s="10" t="s">
        <v>12</v>
      </c>
      <c r="H10" s="11">
        <v>480.0</v>
      </c>
      <c r="I10" s="2"/>
      <c r="J10" s="10" t="s">
        <v>13</v>
      </c>
      <c r="K10" s="12">
        <f>SUM(PRINCIPAL[TOTAL])</f>
        <v>4644.5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35.0</v>
      </c>
      <c r="E11" s="9">
        <v>46216.41019530092</v>
      </c>
      <c r="F11" s="2"/>
      <c r="G11" s="10" t="s">
        <v>15</v>
      </c>
      <c r="H11" s="11">
        <v>2450.0</v>
      </c>
      <c r="I11" s="2"/>
      <c r="J11" s="10" t="s">
        <v>16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2.5</v>
      </c>
      <c r="E12" s="9">
        <v>46216.4102681713</v>
      </c>
      <c r="F12" s="2"/>
      <c r="G12" s="10" t="s">
        <v>18</v>
      </c>
      <c r="H12" s="13">
        <f>SUM(G24:H361)</f>
        <v>2073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2.0</v>
      </c>
      <c r="C13" s="7" t="s">
        <v>19</v>
      </c>
      <c r="D13" s="6">
        <v>3.0</v>
      </c>
      <c r="E13" s="9">
        <v>46216.41031741898</v>
      </c>
      <c r="F13" s="2"/>
      <c r="G13" s="10" t="s">
        <v>20</v>
      </c>
      <c r="H13" s="11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2.0</v>
      </c>
      <c r="C14" s="7" t="s">
        <v>21</v>
      </c>
      <c r="D14" s="6">
        <v>10.0</v>
      </c>
      <c r="E14" s="9">
        <v>46216.41057515046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8.5</v>
      </c>
      <c r="E15" s="9">
        <v>46216.415394826385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24</v>
      </c>
      <c r="D16" s="6">
        <v>12.0</v>
      </c>
      <c r="E16" s="9">
        <v>46216.41554958333</v>
      </c>
      <c r="F16" s="2"/>
      <c r="G16" s="16" t="s">
        <v>25</v>
      </c>
      <c r="H16" s="17">
        <f>SUM(H9:H14)</f>
        <v>5185.5</v>
      </c>
      <c r="I16" s="3"/>
      <c r="J16" s="16" t="s">
        <v>26</v>
      </c>
      <c r="K16" s="17">
        <f>SUM(K9:K11)</f>
        <v>5166.5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20.0</v>
      </c>
      <c r="E17" s="9">
        <v>46216.415638645834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20.0</v>
      </c>
      <c r="E18" s="9">
        <v>46216.42027229167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19,00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10.0</v>
      </c>
      <c r="E19" s="9">
        <v>46216.4386878125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8">
        <v>25.0</v>
      </c>
      <c r="E20" s="9">
        <v>46216.438795787035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7.0</v>
      </c>
      <c r="E21" s="9">
        <v>46216.4496939699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2.0</v>
      </c>
      <c r="C22" s="7" t="s">
        <v>32</v>
      </c>
      <c r="D22" s="6">
        <v>34.0</v>
      </c>
      <c r="E22" s="9">
        <v>46216.46250440972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6">
        <v>13.0</v>
      </c>
      <c r="E23" s="9">
        <v>46216.46260252315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37</v>
      </c>
      <c r="D24" s="6">
        <v>88.0</v>
      </c>
      <c r="E24" s="9">
        <v>46216.47200412037</v>
      </c>
      <c r="F24" s="2"/>
      <c r="G24" s="23">
        <v>98.0</v>
      </c>
      <c r="H24" s="24"/>
      <c r="I24" s="2"/>
      <c r="J24" s="25" t="s">
        <v>38</v>
      </c>
      <c r="K24" s="26">
        <f>SUM(INGRESOS_YAPE[])</f>
        <v>2073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39</v>
      </c>
      <c r="D25" s="6">
        <v>112.0</v>
      </c>
      <c r="E25" s="9">
        <v>46216.47209314815</v>
      </c>
      <c r="F25" s="2"/>
      <c r="G25" s="23">
        <v>25.0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6">
        <v>108.0</v>
      </c>
      <c r="E26" s="9">
        <v>46216.476496076386</v>
      </c>
      <c r="F26" s="2"/>
      <c r="G26" s="27">
        <v>35.0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42</v>
      </c>
      <c r="D27" s="6">
        <v>25.0</v>
      </c>
      <c r="E27" s="9">
        <v>46216.480349861115</v>
      </c>
      <c r="F27" s="2"/>
      <c r="G27" s="23">
        <v>40.0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5.0</v>
      </c>
      <c r="C28" s="7" t="s">
        <v>43</v>
      </c>
      <c r="D28" s="6">
        <v>35.0</v>
      </c>
      <c r="E28" s="9">
        <v>46216.48049336806</v>
      </c>
      <c r="F28" s="2"/>
      <c r="G28" s="23">
        <v>437.0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44</v>
      </c>
      <c r="D29" s="8">
        <v>9.0</v>
      </c>
      <c r="E29" s="9">
        <v>46216.48711918981</v>
      </c>
      <c r="F29" s="2"/>
      <c r="G29" s="23">
        <v>110.0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2073,00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45</v>
      </c>
      <c r="D30" s="6">
        <v>92.0</v>
      </c>
      <c r="E30" s="9">
        <v>46216.493656631945</v>
      </c>
      <c r="F30" s="2"/>
      <c r="G30" s="23">
        <v>15.0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46</v>
      </c>
      <c r="D31" s="6">
        <v>900.0</v>
      </c>
      <c r="E31" s="9">
        <v>46216.50664820602</v>
      </c>
      <c r="F31" s="2"/>
      <c r="G31" s="23">
        <v>118.0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47</v>
      </c>
      <c r="D32" s="6">
        <v>110.0</v>
      </c>
      <c r="E32" s="9">
        <v>46216.506750555556</v>
      </c>
      <c r="F32" s="2"/>
      <c r="G32" s="23">
        <v>171.0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4.0</v>
      </c>
      <c r="C33" s="7" t="s">
        <v>48</v>
      </c>
      <c r="D33" s="6">
        <v>372.0</v>
      </c>
      <c r="E33" s="9">
        <v>46216.508896851854</v>
      </c>
      <c r="F33" s="2"/>
      <c r="G33" s="23">
        <v>41.0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49</v>
      </c>
      <c r="D34" s="6">
        <v>45.0</v>
      </c>
      <c r="E34" s="9">
        <v>46216.50809856482</v>
      </c>
      <c r="F34" s="2"/>
      <c r="G34" s="23">
        <v>140.0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52</v>
      </c>
      <c r="D35" s="6">
        <v>15.0</v>
      </c>
      <c r="E35" s="9">
        <v>46216.51227792824</v>
      </c>
      <c r="F35" s="2"/>
      <c r="G35" s="23">
        <v>99.0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53</v>
      </c>
      <c r="D36" s="6">
        <v>137.0</v>
      </c>
      <c r="E36" s="9">
        <v>46216.522047488426</v>
      </c>
      <c r="F36" s="2"/>
      <c r="G36" s="23">
        <v>10.0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54</v>
      </c>
      <c r="D37" s="6">
        <v>118.0</v>
      </c>
      <c r="E37" s="9">
        <v>46216.5236994213</v>
      </c>
      <c r="F37" s="2"/>
      <c r="G37" s="23">
        <v>95.0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55</v>
      </c>
      <c r="D38" s="6">
        <v>115.0</v>
      </c>
      <c r="E38" s="9">
        <v>46216.53461915509</v>
      </c>
      <c r="F38" s="2"/>
      <c r="G38" s="23">
        <v>50.0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56</v>
      </c>
      <c r="D39" s="6">
        <v>5.0</v>
      </c>
      <c r="E39" s="9">
        <v>46216.534773796295</v>
      </c>
      <c r="F39" s="2"/>
      <c r="G39" s="23">
        <v>555.0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6">
        <v>5.0</v>
      </c>
      <c r="E40" s="9">
        <v>46216.534857743056</v>
      </c>
      <c r="F40" s="2"/>
      <c r="G40" s="23">
        <v>34.0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58</v>
      </c>
      <c r="D41" s="6">
        <v>8.0</v>
      </c>
      <c r="E41" s="9">
        <v>46216.53491982639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59</v>
      </c>
      <c r="D42" s="6">
        <v>38.0</v>
      </c>
      <c r="E42" s="9">
        <v>46216.534980069446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60</v>
      </c>
      <c r="D43" s="6">
        <v>8.0</v>
      </c>
      <c r="E43" s="9">
        <v>46216.53509820602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61</v>
      </c>
      <c r="D44" s="6">
        <v>3.0</v>
      </c>
      <c r="E44" s="9">
        <v>46216.535158125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62</v>
      </c>
      <c r="D45" s="6">
        <v>23.0</v>
      </c>
      <c r="E45" s="9">
        <v>46216.53536388889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63</v>
      </c>
      <c r="D46" s="6">
        <v>20.0</v>
      </c>
      <c r="E46" s="9">
        <v>46216.535556215276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64</v>
      </c>
      <c r="D47" s="6">
        <v>15.0</v>
      </c>
      <c r="E47" s="9">
        <v>46216.53569942129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65</v>
      </c>
      <c r="D48" s="6">
        <v>75.0</v>
      </c>
      <c r="E48" s="9">
        <v>46216.59239445602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2.0</v>
      </c>
      <c r="C49" s="7" t="s">
        <v>66</v>
      </c>
      <c r="D49" s="6">
        <v>140.0</v>
      </c>
      <c r="E49" s="9">
        <v>46216.57681895833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67</v>
      </c>
      <c r="D50" s="6">
        <v>99.0</v>
      </c>
      <c r="E50" s="9">
        <v>46216.57734260417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34">
        <v>46144.0</v>
      </c>
      <c r="C51" s="7" t="s">
        <v>68</v>
      </c>
      <c r="D51" s="6">
        <v>12.5</v>
      </c>
      <c r="E51" s="9">
        <v>46216.60835938658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24.0</v>
      </c>
      <c r="C52" s="7" t="s">
        <v>69</v>
      </c>
      <c r="D52" s="8">
        <v>10.0</v>
      </c>
      <c r="E52" s="9">
        <v>46216.610050902775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 t="s">
        <v>70</v>
      </c>
      <c r="C53" s="7" t="s">
        <v>71</v>
      </c>
      <c r="D53" s="6">
        <v>116.0</v>
      </c>
      <c r="E53" s="9">
        <v>46216.61209059028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 t="s">
        <v>72</v>
      </c>
      <c r="C54" s="7" t="s">
        <v>73</v>
      </c>
      <c r="D54" s="6">
        <v>56.0</v>
      </c>
      <c r="E54" s="35"/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74</v>
      </c>
      <c r="D55" s="6">
        <v>30.0</v>
      </c>
      <c r="E55" s="9">
        <v>46216.61239688657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2.0</v>
      </c>
      <c r="C56" s="7" t="s">
        <v>75</v>
      </c>
      <c r="D56" s="6">
        <v>28.0</v>
      </c>
      <c r="E56" s="9">
        <v>46216.612738275464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76</v>
      </c>
      <c r="D57" s="8">
        <v>60.0</v>
      </c>
      <c r="E57" s="9">
        <v>46216.61646576389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77</v>
      </c>
      <c r="D58" s="6">
        <v>7.0</v>
      </c>
      <c r="E58" s="9">
        <v>46216.61698680556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78</v>
      </c>
      <c r="D59" s="6">
        <v>75.0</v>
      </c>
      <c r="E59" s="9">
        <v>46216.617395636575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 t="s">
        <v>79</v>
      </c>
      <c r="C60" s="7" t="s">
        <v>80</v>
      </c>
      <c r="D60" s="6">
        <v>20.0</v>
      </c>
      <c r="E60" s="9">
        <v>46216.61757097222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81</v>
      </c>
      <c r="D61" s="6">
        <v>15.0</v>
      </c>
      <c r="E61" s="9">
        <v>46216.62105047454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2.0</v>
      </c>
      <c r="C62" s="7" t="s">
        <v>82</v>
      </c>
      <c r="D62" s="6">
        <v>32.0</v>
      </c>
      <c r="E62" s="9">
        <v>46216.62347511574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83</v>
      </c>
      <c r="D63" s="6">
        <v>10.0</v>
      </c>
      <c r="E63" s="9">
        <v>46216.63643229166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84</v>
      </c>
      <c r="D64" s="6">
        <v>7.0</v>
      </c>
      <c r="E64" s="9">
        <v>46216.636523194444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85</v>
      </c>
      <c r="D65" s="6">
        <v>23.0</v>
      </c>
      <c r="E65" s="9">
        <v>46216.64107075232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86</v>
      </c>
      <c r="D66" s="6">
        <v>31.0</v>
      </c>
      <c r="E66" s="9">
        <v>46216.697533032406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87</v>
      </c>
      <c r="D67" s="6">
        <v>50.0</v>
      </c>
      <c r="E67" s="9">
        <v>46216.672554942124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88</v>
      </c>
      <c r="D68" s="6">
        <v>555.0</v>
      </c>
      <c r="E68" s="9">
        <v>46216.67427832176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89</v>
      </c>
      <c r="D69" s="6">
        <v>12.0</v>
      </c>
      <c r="E69" s="9">
        <v>46216.67525133102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90</v>
      </c>
      <c r="D70" s="6">
        <v>34.0</v>
      </c>
      <c r="E70" s="9">
        <v>46216.679045185185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91</v>
      </c>
      <c r="D71" s="6">
        <v>14.0</v>
      </c>
      <c r="E71" s="9">
        <v>46216.69694140046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92</v>
      </c>
      <c r="D72" s="6">
        <v>270.0</v>
      </c>
      <c r="E72" s="9">
        <v>46216.701207962964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93</v>
      </c>
      <c r="D73" s="6">
        <v>5.0</v>
      </c>
      <c r="E73" s="9">
        <v>46216.71527875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6.0</v>
      </c>
      <c r="C74" s="7" t="s">
        <v>94</v>
      </c>
      <c r="D74" s="6">
        <v>2.0</v>
      </c>
      <c r="E74" s="9">
        <v>46216.725603391205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95</v>
      </c>
      <c r="D75" s="6">
        <v>15.0</v>
      </c>
      <c r="E75" s="9">
        <v>46216.731080833335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96</v>
      </c>
      <c r="D76" s="6">
        <v>13.0</v>
      </c>
      <c r="E76" s="9">
        <v>46216.740685150464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36">
        <v>46054.0</v>
      </c>
      <c r="C77" s="7" t="s">
        <v>97</v>
      </c>
      <c r="D77" s="6">
        <v>0.5</v>
      </c>
      <c r="E77" s="9">
        <v>46216.7408644213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2.0</v>
      </c>
      <c r="C78" s="7" t="s">
        <v>98</v>
      </c>
      <c r="D78" s="6">
        <v>10.0</v>
      </c>
      <c r="E78" s="9">
        <v>46216.74103576389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2.5</v>
      </c>
      <c r="C79" s="7" t="s">
        <v>99</v>
      </c>
      <c r="D79" s="6">
        <v>32.5</v>
      </c>
      <c r="E79" s="9">
        <v>46216.75065002315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6.0</v>
      </c>
      <c r="C80" s="7" t="s">
        <v>100</v>
      </c>
      <c r="D80" s="6">
        <v>4.0</v>
      </c>
      <c r="E80" s="9">
        <v>46216.750930462964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101</v>
      </c>
      <c r="D81" s="6">
        <v>10.0</v>
      </c>
      <c r="E81" s="9">
        <v>46216.76001469907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1.0</v>
      </c>
      <c r="C82" s="7" t="s">
        <v>102</v>
      </c>
      <c r="D82" s="6">
        <v>47.0</v>
      </c>
      <c r="E82" s="9">
        <v>46216.7744665625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7"/>
      <c r="D83" s="38"/>
      <c r="E83" s="35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7"/>
      <c r="D84" s="38"/>
      <c r="E84" s="35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7"/>
      <c r="D85" s="38"/>
      <c r="E85" s="35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7"/>
      <c r="D86" s="38"/>
      <c r="E86" s="35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7"/>
      <c r="D87" s="38"/>
      <c r="E87" s="35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7"/>
      <c r="D88" s="38"/>
      <c r="E88" s="35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7"/>
      <c r="D89" s="38"/>
      <c r="E89" s="35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7"/>
      <c r="D90" s="38"/>
      <c r="E90" s="35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7"/>
      <c r="D91" s="38"/>
      <c r="E91" s="35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7"/>
      <c r="D92" s="38"/>
      <c r="E92" s="35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7"/>
      <c r="D93" s="38"/>
      <c r="E93" s="35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7"/>
      <c r="D94" s="38"/>
      <c r="E94" s="35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7"/>
      <c r="D95" s="38"/>
      <c r="E95" s="35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7"/>
      <c r="D96" s="38"/>
      <c r="E96" s="35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7"/>
      <c r="D97" s="38"/>
      <c r="E97" s="35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7"/>
      <c r="D98" s="38"/>
      <c r="E98" s="35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7"/>
      <c r="D99" s="38"/>
      <c r="E99" s="35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7"/>
      <c r="D100" s="38"/>
      <c r="E100" s="35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7"/>
      <c r="D101" s="38"/>
      <c r="E101" s="35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7"/>
      <c r="D102" s="38"/>
      <c r="E102" s="35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7"/>
      <c r="D103" s="38"/>
      <c r="E103" s="35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7"/>
      <c r="D104" s="38"/>
      <c r="E104" s="35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7"/>
      <c r="D105" s="38"/>
      <c r="E105" s="35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7"/>
      <c r="D106" s="38"/>
      <c r="E106" s="35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7"/>
      <c r="D107" s="38"/>
      <c r="E107" s="35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7"/>
      <c r="D108" s="38"/>
      <c r="E108" s="35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7"/>
      <c r="D109" s="38"/>
      <c r="E109" s="35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7"/>
      <c r="D110" s="38"/>
      <c r="E110" s="35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7"/>
      <c r="D111" s="38"/>
      <c r="E111" s="35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7"/>
      <c r="D112" s="38"/>
      <c r="E112" s="35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7"/>
      <c r="D113" s="38"/>
      <c r="E113" s="35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7"/>
      <c r="D114" s="38"/>
      <c r="E114" s="35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7"/>
      <c r="D115" s="38"/>
      <c r="E115" s="35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7"/>
      <c r="D116" s="38"/>
      <c r="E116" s="35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7"/>
      <c r="D117" s="38"/>
      <c r="E117" s="35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7"/>
      <c r="D118" s="38"/>
      <c r="E118" s="35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7"/>
      <c r="D119" s="38"/>
      <c r="E119" s="35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7"/>
      <c r="D120" s="38"/>
      <c r="E120" s="35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7"/>
      <c r="D121" s="38"/>
      <c r="E121" s="35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7"/>
      <c r="D122" s="38"/>
      <c r="E122" s="35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7"/>
      <c r="D123" s="38"/>
      <c r="E123" s="35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7"/>
      <c r="D124" s="38"/>
      <c r="E124" s="35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7"/>
      <c r="D125" s="38"/>
      <c r="E125" s="35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7"/>
      <c r="D126" s="38"/>
      <c r="E126" s="35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7"/>
      <c r="D127" s="38"/>
      <c r="E127" s="35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7"/>
      <c r="D128" s="38"/>
      <c r="E128" s="35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7"/>
      <c r="D129" s="38"/>
      <c r="E129" s="35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7"/>
      <c r="D130" s="38"/>
      <c r="E130" s="35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7"/>
      <c r="D131" s="38"/>
      <c r="E131" s="35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7"/>
      <c r="D132" s="38"/>
      <c r="E132" s="35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7"/>
      <c r="D133" s="38"/>
      <c r="E133" s="35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7"/>
      <c r="D134" s="38"/>
      <c r="E134" s="35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7"/>
      <c r="D135" s="38"/>
      <c r="E135" s="35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7"/>
      <c r="D136" s="38"/>
      <c r="E136" s="35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7"/>
      <c r="D137" s="38"/>
      <c r="E137" s="35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7"/>
      <c r="D138" s="38"/>
      <c r="E138" s="35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7"/>
      <c r="D139" s="38"/>
      <c r="E139" s="35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7"/>
      <c r="D140" s="38"/>
      <c r="E140" s="35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7"/>
      <c r="D141" s="38"/>
      <c r="E141" s="35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7"/>
      <c r="D142" s="38"/>
      <c r="E142" s="35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7"/>
      <c r="D143" s="38"/>
      <c r="E143" s="35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7"/>
      <c r="D144" s="38"/>
      <c r="E144" s="35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7"/>
      <c r="D145" s="38"/>
      <c r="E145" s="35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7"/>
      <c r="D146" s="38"/>
      <c r="E146" s="35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7"/>
      <c r="D147" s="38"/>
      <c r="E147" s="35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7"/>
      <c r="D148" s="38"/>
      <c r="E148" s="35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7"/>
      <c r="D149" s="38"/>
      <c r="E149" s="35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7"/>
      <c r="D150" s="38"/>
      <c r="E150" s="35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7"/>
      <c r="D151" s="38"/>
      <c r="E151" s="35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7"/>
      <c r="D152" s="38"/>
      <c r="E152" s="35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7"/>
      <c r="D153" s="38"/>
      <c r="E153" s="35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7"/>
      <c r="D154" s="38"/>
      <c r="E154" s="35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7"/>
      <c r="D155" s="38"/>
      <c r="E155" s="35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7"/>
      <c r="D156" s="38"/>
      <c r="E156" s="35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7"/>
      <c r="D157" s="38"/>
      <c r="E157" s="35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7"/>
      <c r="D158" s="38"/>
      <c r="E158" s="35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7"/>
      <c r="D159" s="38"/>
      <c r="E159" s="35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7"/>
      <c r="D160" s="38"/>
      <c r="E160" s="35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7"/>
      <c r="D161" s="38"/>
      <c r="E161" s="35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7"/>
      <c r="D162" s="38"/>
      <c r="E162" s="35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7"/>
      <c r="D163" s="38"/>
      <c r="E163" s="35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7"/>
      <c r="D164" s="38"/>
      <c r="E164" s="35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7"/>
      <c r="D165" s="38"/>
      <c r="E165" s="35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7"/>
      <c r="D166" s="38"/>
      <c r="E166" s="35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7"/>
      <c r="D167" s="38"/>
      <c r="E167" s="35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7"/>
      <c r="D168" s="38"/>
      <c r="E168" s="35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7"/>
      <c r="D169" s="38"/>
      <c r="E169" s="35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7"/>
      <c r="D170" s="38"/>
      <c r="E170" s="35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7"/>
      <c r="D171" s="38"/>
      <c r="E171" s="35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7"/>
      <c r="D172" s="38"/>
      <c r="E172" s="35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7"/>
      <c r="D173" s="38"/>
      <c r="E173" s="35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7"/>
      <c r="D174" s="38"/>
      <c r="E174" s="35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7"/>
      <c r="D175" s="38"/>
      <c r="E175" s="35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7"/>
      <c r="D176" s="38"/>
      <c r="E176" s="35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7"/>
      <c r="D177" s="38"/>
      <c r="E177" s="35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7"/>
      <c r="D178" s="38"/>
      <c r="E178" s="35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7"/>
      <c r="D179" s="38"/>
      <c r="E179" s="35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7"/>
      <c r="D180" s="38"/>
      <c r="E180" s="35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7"/>
      <c r="D181" s="38"/>
      <c r="E181" s="35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7"/>
      <c r="D182" s="38"/>
      <c r="E182" s="35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7"/>
      <c r="D183" s="38"/>
      <c r="E183" s="35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7"/>
      <c r="D184" s="38"/>
      <c r="E184" s="35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7"/>
      <c r="D185" s="38"/>
      <c r="E185" s="35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7"/>
      <c r="D186" s="38"/>
      <c r="E186" s="35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7"/>
      <c r="D187" s="38"/>
      <c r="E187" s="35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7"/>
      <c r="D188" s="38"/>
      <c r="E188" s="35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7"/>
      <c r="D189" s="38"/>
      <c r="E189" s="35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7"/>
      <c r="D190" s="38"/>
      <c r="E190" s="35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7"/>
      <c r="D191" s="38"/>
      <c r="E191" s="35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7"/>
      <c r="D192" s="38"/>
      <c r="E192" s="35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7"/>
      <c r="D193" s="38"/>
      <c r="E193" s="35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7"/>
      <c r="D194" s="38"/>
      <c r="E194" s="35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7"/>
      <c r="D195" s="38"/>
      <c r="E195" s="35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7"/>
      <c r="D196" s="38"/>
      <c r="E196" s="35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7"/>
      <c r="D197" s="38"/>
      <c r="E197" s="35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7"/>
      <c r="D198" s="38"/>
      <c r="E198" s="35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7"/>
      <c r="D199" s="38"/>
      <c r="E199" s="35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7"/>
      <c r="D200" s="38"/>
      <c r="E200" s="35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7"/>
      <c r="D201" s="38"/>
      <c r="E201" s="35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7"/>
      <c r="D202" s="38"/>
      <c r="E202" s="35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7"/>
      <c r="D203" s="38"/>
      <c r="E203" s="35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7"/>
      <c r="D204" s="38"/>
      <c r="E204" s="35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7"/>
      <c r="D205" s="38"/>
      <c r="E205" s="35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7"/>
      <c r="D206" s="38"/>
      <c r="E206" s="35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7"/>
      <c r="D207" s="38"/>
      <c r="E207" s="35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7"/>
      <c r="D208" s="38"/>
      <c r="E208" s="35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7"/>
      <c r="D209" s="38"/>
      <c r="E209" s="35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7"/>
      <c r="D210" s="38"/>
      <c r="E210" s="35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7"/>
      <c r="D211" s="38"/>
      <c r="E211" s="35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7"/>
      <c r="D212" s="38"/>
      <c r="E212" s="35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7"/>
      <c r="D213" s="38"/>
      <c r="E213" s="35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7"/>
      <c r="D214" s="38"/>
      <c r="E214" s="35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7"/>
      <c r="D215" s="38"/>
      <c r="E215" s="35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7"/>
      <c r="D216" s="38"/>
      <c r="E216" s="35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7"/>
      <c r="D217" s="38"/>
      <c r="E217" s="35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7"/>
      <c r="D218" s="38"/>
      <c r="E218" s="35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7"/>
      <c r="D219" s="38"/>
      <c r="E219" s="35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7"/>
      <c r="D220" s="38"/>
      <c r="E220" s="35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7"/>
      <c r="D221" s="38"/>
      <c r="E221" s="35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7"/>
      <c r="D222" s="38"/>
      <c r="E222" s="35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7"/>
      <c r="D223" s="38"/>
      <c r="E223" s="35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7"/>
      <c r="D224" s="38"/>
      <c r="E224" s="35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7"/>
      <c r="D225" s="38"/>
      <c r="E225" s="35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7"/>
      <c r="D226" s="38"/>
      <c r="E226" s="35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7"/>
      <c r="D227" s="38"/>
      <c r="E227" s="35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7"/>
      <c r="D228" s="38"/>
      <c r="E228" s="35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7"/>
      <c r="D229" s="38"/>
      <c r="E229" s="35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7"/>
      <c r="D230" s="38"/>
      <c r="E230" s="35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7"/>
      <c r="D231" s="38"/>
      <c r="E231" s="35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7"/>
      <c r="D232" s="38"/>
      <c r="E232" s="35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7"/>
      <c r="D233" s="38"/>
      <c r="E233" s="35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7"/>
      <c r="D234" s="38"/>
      <c r="E234" s="35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7"/>
      <c r="D235" s="38"/>
      <c r="E235" s="35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7"/>
      <c r="D236" s="38"/>
      <c r="E236" s="35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7"/>
      <c r="D237" s="38"/>
      <c r="E237" s="35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7"/>
      <c r="D238" s="38"/>
      <c r="E238" s="35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7"/>
      <c r="D239" s="38"/>
      <c r="E239" s="35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7"/>
      <c r="D240" s="38"/>
      <c r="E240" s="35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7"/>
      <c r="D241" s="38"/>
      <c r="E241" s="35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7"/>
      <c r="D242" s="38"/>
      <c r="E242" s="35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7"/>
      <c r="D243" s="38"/>
      <c r="E243" s="35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7"/>
      <c r="D244" s="38"/>
      <c r="E244" s="35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7"/>
      <c r="D245" s="38"/>
      <c r="E245" s="35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7"/>
      <c r="D246" s="38"/>
      <c r="E246" s="35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7"/>
      <c r="D247" s="38"/>
      <c r="E247" s="35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7"/>
      <c r="D248" s="38"/>
      <c r="E248" s="35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7"/>
      <c r="D249" s="38"/>
      <c r="E249" s="35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7"/>
      <c r="D250" s="38"/>
      <c r="E250" s="35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7"/>
      <c r="D251" s="38"/>
      <c r="E251" s="35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7"/>
      <c r="D252" s="38"/>
      <c r="E252" s="35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7"/>
      <c r="D253" s="38"/>
      <c r="E253" s="35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7"/>
      <c r="D254" s="38"/>
      <c r="E254" s="35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7"/>
      <c r="D255" s="38"/>
      <c r="E255" s="35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7"/>
      <c r="D256" s="38"/>
      <c r="E256" s="35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7"/>
      <c r="D257" s="38"/>
      <c r="E257" s="35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7"/>
      <c r="D258" s="38"/>
      <c r="E258" s="35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7"/>
      <c r="D259" s="38"/>
      <c r="E259" s="35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7"/>
      <c r="D260" s="38"/>
      <c r="E260" s="35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7"/>
      <c r="D261" s="38"/>
      <c r="E261" s="35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7"/>
      <c r="D262" s="38"/>
      <c r="E262" s="35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7"/>
      <c r="D263" s="38"/>
      <c r="E263" s="35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7"/>
      <c r="D264" s="38"/>
      <c r="E264" s="35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7"/>
      <c r="D265" s="38"/>
      <c r="E265" s="35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7"/>
      <c r="D266" s="38"/>
      <c r="E266" s="35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7"/>
      <c r="D267" s="38"/>
      <c r="E267" s="35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7"/>
      <c r="D268" s="38"/>
      <c r="E268" s="35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7"/>
      <c r="D269" s="38"/>
      <c r="E269" s="35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7"/>
      <c r="D270" s="38"/>
      <c r="E270" s="35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7"/>
      <c r="D271" s="38"/>
      <c r="E271" s="35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7"/>
      <c r="D272" s="38"/>
      <c r="E272" s="35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7"/>
      <c r="D273" s="38"/>
      <c r="E273" s="35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7"/>
      <c r="D274" s="38"/>
      <c r="E274" s="35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7"/>
      <c r="D275" s="38"/>
      <c r="E275" s="35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7"/>
      <c r="D276" s="38"/>
      <c r="E276" s="35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7"/>
      <c r="D277" s="38"/>
      <c r="E277" s="35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7"/>
      <c r="D278" s="38"/>
      <c r="E278" s="35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7"/>
      <c r="D279" s="38"/>
      <c r="E279" s="35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7"/>
      <c r="D280" s="38"/>
      <c r="E280" s="35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7"/>
      <c r="D281" s="38"/>
      <c r="E281" s="35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7"/>
      <c r="D282" s="38"/>
      <c r="E282" s="35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7"/>
      <c r="D283" s="38"/>
      <c r="E283" s="35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7"/>
      <c r="D284" s="38"/>
      <c r="E284" s="35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7"/>
      <c r="D285" s="38"/>
      <c r="E285" s="35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7"/>
      <c r="D286" s="38"/>
      <c r="E286" s="35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7"/>
      <c r="D287" s="38"/>
      <c r="E287" s="35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7"/>
      <c r="D288" s="38"/>
      <c r="E288" s="35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7"/>
      <c r="D289" s="38"/>
      <c r="E289" s="35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7"/>
      <c r="D290" s="38"/>
      <c r="E290" s="35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7"/>
      <c r="D291" s="38"/>
      <c r="E291" s="35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7"/>
      <c r="D292" s="38"/>
      <c r="E292" s="35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7"/>
      <c r="D293" s="38"/>
      <c r="E293" s="35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7"/>
      <c r="D294" s="38"/>
      <c r="E294" s="35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7"/>
      <c r="D295" s="38"/>
      <c r="E295" s="35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7"/>
      <c r="D296" s="38"/>
      <c r="E296" s="35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7"/>
      <c r="D297" s="38"/>
      <c r="E297" s="35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7"/>
      <c r="D298" s="38"/>
      <c r="E298" s="35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7"/>
      <c r="D299" s="38"/>
      <c r="E299" s="35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7"/>
      <c r="D300" s="38"/>
      <c r="E300" s="35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7"/>
      <c r="D301" s="38"/>
      <c r="E301" s="35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