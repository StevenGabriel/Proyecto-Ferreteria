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<sst xmlns="http://schemas.openxmlformats.org/spreadsheetml/2006/main" count="122" uniqueCount="117">
  <si>
    <t>HOJA DE CALCULO FERRETERIA</t>
  </si>
  <si>
    <t>CODIGO</t>
  </si>
  <si>
    <t>CANTIDAD</t>
  </si>
  <si>
    <t>DESCRIPCION</t>
  </si>
  <si>
    <t>TOTAL</t>
  </si>
  <si>
    <t>HORA</t>
  </si>
  <si>
    <t>CUADRAR</t>
  </si>
  <si>
    <t>pico de grsera</t>
  </si>
  <si>
    <t>clefa 1l</t>
  </si>
  <si>
    <t>MONEDAS</t>
  </si>
  <si>
    <t>CAJA CHICA</t>
  </si>
  <si>
    <t>brocha 1</t>
  </si>
  <si>
    <t>BILLETES 10-20</t>
  </si>
  <si>
    <t>TOTAL VENTAS DIA</t>
  </si>
  <si>
    <t>clefa 500ml</t>
  </si>
  <si>
    <t>BILLETES 50-100-200</t>
  </si>
  <si>
    <t>AUMENTO DE DINERO</t>
  </si>
  <si>
    <t>escamosita</t>
  </si>
  <si>
    <t>INGRESOS YAPE</t>
  </si>
  <si>
    <t>silicona akfi blsnco</t>
  </si>
  <si>
    <t>INGRESOS TARJETA</t>
  </si>
  <si>
    <t>VADILEJO</t>
  </si>
  <si>
    <t>GASTOS VARIOS</t>
  </si>
  <si>
    <t>PLANCHA CABALLITO</t>
  </si>
  <si>
    <t>FROTACO UYUSTOL</t>
  </si>
  <si>
    <t>DINERO GANADO HOY:</t>
  </si>
  <si>
    <t>CANTIDAD DINERO CAJA:</t>
  </si>
  <si>
    <t xml:space="preserve">FROTACHOS TOSEN </t>
  </si>
  <si>
    <t>pistola soplete uyustool</t>
  </si>
  <si>
    <t>ADAPTATO VOLTGACK</t>
  </si>
  <si>
    <t>M MANGEURA NIVEL 1/4</t>
  </si>
  <si>
    <t>daptdor macho</t>
  </si>
  <si>
    <t>clefa 1/2</t>
  </si>
  <si>
    <t>tapa inodor</t>
  </si>
  <si>
    <t>YAPE MAMÁ</t>
  </si>
  <si>
    <t>YAPE PAPÁ</t>
  </si>
  <si>
    <t>YAPE</t>
  </si>
  <si>
    <t>5 mt</t>
  </si>
  <si>
    <t>hilo</t>
  </si>
  <si>
    <t>Monto Total YAPE (No tocar):</t>
  </si>
  <si>
    <t>placa simple schener toma</t>
  </si>
  <si>
    <t xml:space="preserve">caja de grampa uyusto </t>
  </si>
  <si>
    <t>Monto Total Registrado en aplicacion</t>
  </si>
  <si>
    <t xml:space="preserve">alcayate </t>
  </si>
  <si>
    <t>grampa truper</t>
  </si>
  <si>
    <t>ramplus 6</t>
  </si>
  <si>
    <t xml:space="preserve">FLEXO </t>
  </si>
  <si>
    <t>RIEL TELESCOPIAC</t>
  </si>
  <si>
    <t xml:space="preserve">CHAPA TRUPER </t>
  </si>
  <si>
    <t>REM POP</t>
  </si>
  <si>
    <t>REMACHADORA TRUPER</t>
  </si>
  <si>
    <t>PAGOS YAPE</t>
  </si>
  <si>
    <t>DESCRIPCION PAGO</t>
  </si>
  <si>
    <t>ADAPTDRO TRAMKOTNA</t>
  </si>
  <si>
    <t>PICOS 3/4 TOSLE</t>
  </si>
  <si>
    <t>rem pop</t>
  </si>
  <si>
    <t>adaptadro grifo</t>
  </si>
  <si>
    <t>pico de grifio</t>
  </si>
  <si>
    <t>aople de grifio</t>
  </si>
  <si>
    <t>arandelas</t>
  </si>
  <si>
    <t>ara 8</t>
  </si>
  <si>
    <t>per maw ed</t>
  </si>
  <si>
    <t>pelacable truper</t>
  </si>
  <si>
    <t>kl alambre galcaniza</t>
  </si>
  <si>
    <t>tesadores</t>
  </si>
  <si>
    <t>pico de grifo</t>
  </si>
  <si>
    <t>teflon</t>
  </si>
  <si>
    <t>DADO TRAMONTA</t>
  </si>
  <si>
    <t>DADO TAMKOTA</t>
  </si>
  <si>
    <t xml:space="preserve">cautin </t>
  </si>
  <si>
    <t>m hilo catin</t>
  </si>
  <si>
    <t>broca madera 5</t>
  </si>
  <si>
    <t>espatula</t>
  </si>
  <si>
    <t>cmento blanco</t>
  </si>
  <si>
    <t>1m</t>
  </si>
  <si>
    <t>malla soldada 1/4</t>
  </si>
  <si>
    <t>canddo herme</t>
  </si>
  <si>
    <t>1/2m</t>
  </si>
  <si>
    <t>lija 50</t>
  </si>
  <si>
    <t>ocre</t>
  </si>
  <si>
    <t>codo condiy 5/8</t>
  </si>
  <si>
    <t>desarmador</t>
  </si>
  <si>
    <t>desarmador tr</t>
  </si>
  <si>
    <t>alicate de corte</t>
  </si>
  <si>
    <t>aliacte de punta</t>
  </si>
  <si>
    <t>valvulade retencion 3/4</t>
  </si>
  <si>
    <t>llave de paso 3/4</t>
  </si>
  <si>
    <t>sierra mecanica</t>
  </si>
  <si>
    <t>niple fg 3/4</t>
  </si>
  <si>
    <t>disco corte uys</t>
  </si>
  <si>
    <t>kl carburo</t>
  </si>
  <si>
    <t>pie de amigo</t>
  </si>
  <si>
    <t>chip</t>
  </si>
  <si>
    <t>ramplu</t>
  </si>
  <si>
    <t>broca 5 concreto</t>
  </si>
  <si>
    <t>cincel tols</t>
  </si>
  <si>
    <t>bisagras  everleo</t>
  </si>
  <si>
    <t>picaportes induma</t>
  </si>
  <si>
    <t>tarrraja 3/4</t>
  </si>
  <si>
    <t>cuerda de equipaje</t>
  </si>
  <si>
    <t>silicona blanca</t>
  </si>
  <si>
    <t>chapa hermex</t>
  </si>
  <si>
    <t>chip 4,5*40</t>
  </si>
  <si>
    <t>espuma expanciva</t>
  </si>
  <si>
    <t>cemento cola</t>
  </si>
  <si>
    <t>silicona transparente</t>
  </si>
  <si>
    <t>tornillo</t>
  </si>
  <si>
    <t>bolsa de precinto</t>
  </si>
  <si>
    <t>chp</t>
  </si>
  <si>
    <t>broca clarga madera</t>
  </si>
  <si>
    <t>espiga</t>
  </si>
  <si>
    <t>abrazaderas</t>
  </si>
  <si>
    <t>amoladora</t>
  </si>
  <si>
    <t>disco madera</t>
  </si>
  <si>
    <t>disco conret</t>
  </si>
  <si>
    <t>kl clavo</t>
  </si>
  <si>
    <t>rastrillo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</si>
</sst>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4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sz val="12.0"/>
      <color rgb="FF990000"/>
      <name val="Impact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0" fontId="8" numFmtId="0" xfId="0" applyAlignment="1" applyBorder="1" applyFont="1">
      <alignment horizontal="center" readingOrder="0" shrinkToFit="0" vertical="center" wrapText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" fillId="6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1" numFmtId="0" xfId="0" applyAlignment="1" applyFill="1" applyFont="1">
      <alignment horizontal="center" readingOrder="0" vertical="center"/>
    </xf>
    <xf borderId="0" fillId="3" fontId="1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3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8">
        <v>50.0</v>
      </c>
      <c r="E8" s="9">
        <v>46205.36775521991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8">
        <v>78.0</v>
      </c>
      <c r="E9" s="9">
        <v>46205.384482037036</v>
      </c>
      <c r="F9" s="2"/>
      <c r="G9" s="10" t="s">
        <v>9</v>
      </c>
      <c r="H9" s="11">
        <v>137.5</v>
      </c>
      <c r="I9" s="2"/>
      <c r="J9" s="10" t="s">
        <v>10</v>
      </c>
      <c r="K9" s="11">
        <v>442.5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8">
        <v>8.0</v>
      </c>
      <c r="E10" s="9">
        <v>46205.38455822917</v>
      </c>
      <c r="F10" s="2"/>
      <c r="G10" s="10" t="s">
        <v>12</v>
      </c>
      <c r="H10" s="11">
        <v>230.0</v>
      </c>
      <c r="I10" s="2"/>
      <c r="J10" s="10" t="s">
        <v>13</v>
      </c>
      <c r="K10" s="12">
        <f>SUM(PRINCIPAL[TOTAL])</f>
        <v>4029.96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8">
        <v>49.0</v>
      </c>
      <c r="E11" s="9">
        <v>46205.38463084491</v>
      </c>
      <c r="F11" s="2"/>
      <c r="G11" s="10" t="s">
        <v>15</v>
      </c>
      <c r="H11" s="11">
        <v>2250.0</v>
      </c>
      <c r="I11" s="2"/>
      <c r="J11" s="10" t="s">
        <v>16</v>
      </c>
      <c r="K11" s="11">
        <v>300.0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8">
        <v>22.0</v>
      </c>
      <c r="E12" s="9">
        <v>46205.38670560185</v>
      </c>
      <c r="F12" s="2"/>
      <c r="G12" s="10" t="s">
        <v>18</v>
      </c>
      <c r="H12" s="13">
        <f>SUM(G24:H361)</f>
        <v>2053.5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1.0</v>
      </c>
      <c r="C13" s="7" t="s">
        <v>19</v>
      </c>
      <c r="D13" s="8">
        <v>30.0</v>
      </c>
      <c r="E13" s="9">
        <v>46205.39123005787</v>
      </c>
      <c r="F13" s="2"/>
      <c r="G13" s="10" t="s">
        <v>20</v>
      </c>
      <c r="H13" s="11">
        <v>176.0</v>
      </c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21</v>
      </c>
      <c r="D14" s="16">
        <v>14.0</v>
      </c>
      <c r="E14" s="9">
        <v>46205.39588231481</v>
      </c>
      <c r="F14" s="2"/>
      <c r="G14" s="10" t="s">
        <v>22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1.0</v>
      </c>
      <c r="C15" s="7" t="s">
        <v>23</v>
      </c>
      <c r="D15" s="8">
        <v>39.0</v>
      </c>
      <c r="E15" s="9">
        <v>46205.396039907406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2.0</v>
      </c>
      <c r="C16" s="7" t="s">
        <v>24</v>
      </c>
      <c r="D16" s="8">
        <v>88.0</v>
      </c>
      <c r="E16" s="9">
        <v>46205.39620212963</v>
      </c>
      <c r="F16" s="2"/>
      <c r="G16" s="17" t="s">
        <v>25</v>
      </c>
      <c r="H16" s="18">
        <f>SUM(H9:H14)</f>
        <v>4847</v>
      </c>
      <c r="I16" s="3"/>
      <c r="J16" s="17" t="s">
        <v>26</v>
      </c>
      <c r="K16" s="18">
        <f>SUM(K9:K11)</f>
        <v>4772.46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2.0</v>
      </c>
      <c r="C17" s="7" t="s">
        <v>27</v>
      </c>
      <c r="D17" s="8">
        <v>122.0</v>
      </c>
      <c r="E17" s="9">
        <v>46205.39630065972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28</v>
      </c>
      <c r="D18" s="8">
        <v>165.0</v>
      </c>
      <c r="E18" s="9">
        <v>46205.414564606486</v>
      </c>
      <c r="F18" s="2"/>
      <c r="G18" s="19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74,54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29</v>
      </c>
      <c r="D19" s="8">
        <v>14.0</v>
      </c>
      <c r="E19" s="9">
        <v>46205.400592499995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3.0</v>
      </c>
      <c r="C20" s="7" t="s">
        <v>30</v>
      </c>
      <c r="D20" s="8">
        <v>13.5</v>
      </c>
      <c r="E20" s="9">
        <v>46205.40092298611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31</v>
      </c>
      <c r="D21" s="20">
        <v>8.0</v>
      </c>
      <c r="E21" s="9">
        <v>46205.44973983796</v>
      </c>
      <c r="F21" s="2"/>
      <c r="G21" s="21"/>
      <c r="H21" s="21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1.0</v>
      </c>
      <c r="C22" s="7" t="s">
        <v>32</v>
      </c>
      <c r="D22" s="8">
        <v>49.0</v>
      </c>
      <c r="E22" s="9">
        <v>46205.44491523148</v>
      </c>
      <c r="F22" s="2"/>
      <c r="G22" s="21"/>
      <c r="H22" s="21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33</v>
      </c>
      <c r="D23" s="8">
        <v>258.0</v>
      </c>
      <c r="E23" s="9">
        <v>46205.44516822917</v>
      </c>
      <c r="F23" s="2"/>
      <c r="G23" s="22" t="s">
        <v>34</v>
      </c>
      <c r="H23" s="22" t="s">
        <v>35</v>
      </c>
      <c r="I23" s="2"/>
      <c r="J23" s="23" t="s">
        <v>36</v>
      </c>
      <c r="L23" s="24"/>
      <c r="M23" s="2"/>
      <c r="N23" s="2"/>
      <c r="O23" s="2"/>
      <c r="P23" s="2"/>
      <c r="Q23" s="2"/>
    </row>
    <row r="24" ht="22.5" customHeight="1">
      <c r="A24" s="14"/>
      <c r="B24" s="6" t="s">
        <v>37</v>
      </c>
      <c r="C24" s="7" t="s">
        <v>38</v>
      </c>
      <c r="D24" s="8">
        <v>7.5</v>
      </c>
      <c r="E24" s="9">
        <v>46205.4481103125</v>
      </c>
      <c r="F24" s="2"/>
      <c r="G24" s="25">
        <v>135.0</v>
      </c>
      <c r="H24" s="26"/>
      <c r="I24" s="2"/>
      <c r="J24" s="27" t="s">
        <v>39</v>
      </c>
      <c r="K24" s="28">
        <f>SUM(INGRESOS_YAPE[])</f>
        <v>2053.5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40</v>
      </c>
      <c r="D25" s="8">
        <v>25.5</v>
      </c>
      <c r="E25" s="9">
        <v>46205.44922560186</v>
      </c>
      <c r="F25" s="2"/>
      <c r="G25" s="25">
        <v>210.0</v>
      </c>
      <c r="H25" s="26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41</v>
      </c>
      <c r="D26" s="8">
        <v>11.0</v>
      </c>
      <c r="E26" s="9">
        <v>46205.45029119213</v>
      </c>
      <c r="F26" s="2"/>
      <c r="G26" s="29">
        <v>14.0</v>
      </c>
      <c r="H26" s="26"/>
      <c r="I26" s="2"/>
      <c r="J26" s="30" t="s">
        <v>42</v>
      </c>
      <c r="K26" s="31"/>
      <c r="L26" s="2"/>
      <c r="M26" s="2"/>
      <c r="N26" s="2"/>
      <c r="O26" s="2"/>
      <c r="P26" s="2"/>
      <c r="Q26" s="2"/>
    </row>
    <row r="27" ht="22.5" customHeight="1">
      <c r="A27" s="14"/>
      <c r="B27" s="6">
        <v>24.0</v>
      </c>
      <c r="C27" s="7" t="s">
        <v>43</v>
      </c>
      <c r="D27" s="8">
        <v>4.8</v>
      </c>
      <c r="E27" s="9">
        <v>46205.450843819446</v>
      </c>
      <c r="F27" s="2"/>
      <c r="G27" s="25">
        <v>13.5</v>
      </c>
      <c r="H27" s="26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44</v>
      </c>
      <c r="D28" s="8">
        <v>10.0</v>
      </c>
      <c r="E28" s="9">
        <v>46205.45109649305</v>
      </c>
      <c r="F28" s="2"/>
      <c r="G28" s="25">
        <v>7.5</v>
      </c>
      <c r="H28" s="26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24.0</v>
      </c>
      <c r="C29" s="7" t="s">
        <v>45</v>
      </c>
      <c r="D29" s="8">
        <v>2.16</v>
      </c>
      <c r="E29" s="9">
        <v>46205.45156015047</v>
      </c>
      <c r="F29" s="2"/>
      <c r="G29" s="25">
        <v>29.0</v>
      </c>
      <c r="H29" s="26"/>
      <c r="I29" s="2"/>
      <c r="J29" s="32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2053,50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2.0</v>
      </c>
      <c r="C30" s="7" t="s">
        <v>46</v>
      </c>
      <c r="D30" s="8">
        <v>28.0</v>
      </c>
      <c r="E30" s="9">
        <v>46205.45304050926</v>
      </c>
      <c r="F30" s="2"/>
      <c r="G30" s="25">
        <v>49.0</v>
      </c>
      <c r="H30" s="26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47</v>
      </c>
      <c r="D31" s="8">
        <v>37.0</v>
      </c>
      <c r="E31" s="9">
        <v>46205.453279444446</v>
      </c>
      <c r="F31" s="2"/>
      <c r="G31" s="25">
        <v>36.0</v>
      </c>
      <c r="H31" s="26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48</v>
      </c>
      <c r="D32" s="8">
        <v>50.0</v>
      </c>
      <c r="E32" s="9">
        <v>46205.45339978009</v>
      </c>
      <c r="F32" s="2"/>
      <c r="G32" s="25">
        <v>46.0</v>
      </c>
      <c r="H32" s="26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48.0</v>
      </c>
      <c r="C33" s="7" t="s">
        <v>49</v>
      </c>
      <c r="D33" s="8">
        <v>12.0</v>
      </c>
      <c r="E33" s="9">
        <v>46205.45562978009</v>
      </c>
      <c r="F33" s="2"/>
      <c r="G33" s="25">
        <v>40.0</v>
      </c>
      <c r="H33" s="26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50</v>
      </c>
      <c r="D34" s="33">
        <v>90.0</v>
      </c>
      <c r="E34" s="9">
        <v>46205.455723321764</v>
      </c>
      <c r="F34" s="2"/>
      <c r="G34" s="25">
        <v>7.5</v>
      </c>
      <c r="H34" s="26"/>
      <c r="I34" s="2"/>
      <c r="J34" s="34" t="s">
        <v>51</v>
      </c>
      <c r="K34" s="34" t="s">
        <v>52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2.0</v>
      </c>
      <c r="C35" s="7" t="s">
        <v>53</v>
      </c>
      <c r="D35" s="6">
        <v>16.0</v>
      </c>
      <c r="E35" s="9">
        <v>46205.459687256945</v>
      </c>
      <c r="F35" s="2"/>
      <c r="G35" s="25">
        <v>268.0</v>
      </c>
      <c r="H35" s="26"/>
      <c r="I35" s="2"/>
      <c r="J35" s="35"/>
      <c r="K35" s="35"/>
      <c r="L35" s="2"/>
      <c r="M35" s="2"/>
      <c r="N35" s="2"/>
      <c r="O35" s="2"/>
      <c r="P35" s="2"/>
      <c r="Q35" s="2"/>
    </row>
    <row r="36" ht="22.5" customHeight="1">
      <c r="A36" s="14"/>
      <c r="B36" s="6">
        <v>2.0</v>
      </c>
      <c r="C36" s="7" t="s">
        <v>54</v>
      </c>
      <c r="D36" s="8">
        <v>20.0</v>
      </c>
      <c r="E36" s="9">
        <v>46205.45975606481</v>
      </c>
      <c r="F36" s="2"/>
      <c r="G36" s="25">
        <v>30.0</v>
      </c>
      <c r="H36" s="26"/>
      <c r="I36" s="2"/>
      <c r="J36" s="36"/>
      <c r="K36" s="36"/>
      <c r="L36" s="2"/>
      <c r="M36" s="2"/>
      <c r="N36" s="2"/>
      <c r="O36" s="2"/>
      <c r="P36" s="2"/>
      <c r="Q36" s="2"/>
    </row>
    <row r="37" ht="22.5" customHeight="1">
      <c r="A37" s="14"/>
      <c r="B37" s="6">
        <v>48.0</v>
      </c>
      <c r="C37" s="7" t="s">
        <v>55</v>
      </c>
      <c r="D37" s="8">
        <v>12.0</v>
      </c>
      <c r="E37" s="9">
        <v>46205.473358449075</v>
      </c>
      <c r="F37" s="2"/>
      <c r="G37" s="25">
        <v>246.0</v>
      </c>
      <c r="H37" s="26"/>
      <c r="I37" s="2"/>
      <c r="J37" s="35"/>
      <c r="K37" s="35"/>
      <c r="L37" s="2"/>
      <c r="M37" s="2"/>
      <c r="N37" s="2"/>
      <c r="O37" s="2"/>
      <c r="P37" s="2"/>
      <c r="Q37" s="2"/>
    </row>
    <row r="38" ht="22.5" customHeight="1">
      <c r="A38" s="14"/>
      <c r="B38" s="6"/>
      <c r="C38" s="7"/>
      <c r="D38" s="8"/>
      <c r="E38" s="9"/>
      <c r="F38" s="2"/>
      <c r="G38" s="25">
        <v>285.0</v>
      </c>
      <c r="H38" s="26"/>
      <c r="I38" s="2"/>
      <c r="J38" s="36"/>
      <c r="K38" s="36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56</v>
      </c>
      <c r="D39" s="20">
        <v>20.0</v>
      </c>
      <c r="E39" s="9">
        <v>46205.473532013886</v>
      </c>
      <c r="F39" s="2"/>
      <c r="G39" s="25">
        <v>330.0</v>
      </c>
      <c r="H39" s="26"/>
      <c r="I39" s="2"/>
      <c r="J39" s="35"/>
      <c r="K39" s="35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57</v>
      </c>
      <c r="D40" s="6">
        <v>11.0</v>
      </c>
      <c r="E40" s="9">
        <v>46205.4735984838</v>
      </c>
      <c r="F40" s="2"/>
      <c r="G40" s="25">
        <v>273.0</v>
      </c>
      <c r="H40" s="26"/>
      <c r="I40" s="2"/>
      <c r="J40" s="36"/>
      <c r="K40" s="36"/>
      <c r="L40" s="2"/>
      <c r="M40" s="2"/>
      <c r="N40" s="2"/>
      <c r="O40" s="2"/>
      <c r="P40" s="2"/>
      <c r="Q40" s="2"/>
    </row>
    <row r="41" ht="22.5" customHeight="1">
      <c r="A41" s="14"/>
      <c r="B41" s="6">
        <v>1.0</v>
      </c>
      <c r="C41" s="7" t="s">
        <v>58</v>
      </c>
      <c r="D41" s="6">
        <v>9.0</v>
      </c>
      <c r="E41" s="9">
        <v>46205.47367043982</v>
      </c>
      <c r="F41" s="2"/>
      <c r="G41" s="25">
        <v>18.0</v>
      </c>
      <c r="H41" s="26"/>
      <c r="I41" s="2"/>
      <c r="J41" s="35"/>
      <c r="K41" s="35"/>
      <c r="L41" s="2"/>
      <c r="M41" s="2"/>
      <c r="N41" s="2"/>
      <c r="O41" s="2"/>
      <c r="P41" s="2"/>
      <c r="Q41" s="2"/>
    </row>
    <row r="42" ht="22.5" customHeight="1">
      <c r="A42" s="14"/>
      <c r="B42" s="6">
        <v>48.0</v>
      </c>
      <c r="C42" s="7" t="s">
        <v>59</v>
      </c>
      <c r="D42" s="8">
        <v>12.0</v>
      </c>
      <c r="E42" s="9">
        <v>46205.47377556713</v>
      </c>
      <c r="F42" s="2"/>
      <c r="G42" s="25">
        <v>16.0</v>
      </c>
      <c r="H42" s="26"/>
      <c r="I42" s="2"/>
      <c r="J42" s="36"/>
      <c r="K42" s="36"/>
      <c r="L42" s="2"/>
      <c r="M42" s="2"/>
      <c r="N42" s="2"/>
      <c r="O42" s="2"/>
      <c r="P42" s="2"/>
      <c r="Q42" s="2"/>
    </row>
    <row r="43" ht="22.5" customHeight="1">
      <c r="A43" s="14"/>
      <c r="B43" s="6">
        <v>48.0</v>
      </c>
      <c r="C43" s="7" t="s">
        <v>60</v>
      </c>
      <c r="D43" s="8">
        <v>6.0</v>
      </c>
      <c r="E43" s="9">
        <v>46205.47398196759</v>
      </c>
      <c r="F43" s="2"/>
      <c r="G43" s="26"/>
      <c r="H43" s="26"/>
      <c r="I43" s="2"/>
      <c r="J43" s="35"/>
      <c r="K43" s="35"/>
      <c r="L43" s="2"/>
      <c r="M43" s="2"/>
      <c r="N43" s="2"/>
      <c r="O43" s="2"/>
      <c r="P43" s="2"/>
      <c r="Q43" s="2"/>
    </row>
    <row r="44" ht="22.5" customHeight="1">
      <c r="A44" s="14"/>
      <c r="B44" s="6">
        <v>48.0</v>
      </c>
      <c r="C44" s="7" t="s">
        <v>61</v>
      </c>
      <c r="D44" s="8">
        <v>16.0</v>
      </c>
      <c r="E44" s="9">
        <v>46205.47391681713</v>
      </c>
      <c r="F44" s="2"/>
      <c r="G44" s="26"/>
      <c r="H44" s="26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1.0</v>
      </c>
      <c r="C45" s="7" t="s">
        <v>62</v>
      </c>
      <c r="D45" s="8">
        <v>83.0</v>
      </c>
      <c r="E45" s="9">
        <v>46205.4780303125</v>
      </c>
      <c r="F45" s="2"/>
      <c r="G45" s="26"/>
      <c r="H45" s="26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63</v>
      </c>
      <c r="D46" s="8">
        <v>30.0</v>
      </c>
      <c r="E46" s="9">
        <v>46205.478115949074</v>
      </c>
      <c r="F46" s="2"/>
      <c r="G46" s="26"/>
      <c r="H46" s="26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6.0</v>
      </c>
      <c r="C47" s="7" t="s">
        <v>64</v>
      </c>
      <c r="D47" s="8">
        <v>57.0</v>
      </c>
      <c r="E47" s="9">
        <v>46205.478176874996</v>
      </c>
      <c r="F47" s="2"/>
      <c r="G47" s="26"/>
      <c r="H47" s="26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65</v>
      </c>
      <c r="D48" s="6">
        <v>8.0</v>
      </c>
      <c r="E48" s="9">
        <v>46205.481142627315</v>
      </c>
      <c r="F48" s="2"/>
      <c r="G48" s="26"/>
      <c r="H48" s="26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66</v>
      </c>
      <c r="D49" s="8">
        <v>2.5</v>
      </c>
      <c r="E49" s="9">
        <v>46205.481211342594</v>
      </c>
      <c r="F49" s="2"/>
      <c r="G49" s="26"/>
      <c r="H49" s="26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1.0</v>
      </c>
      <c r="C50" s="7" t="s">
        <v>67</v>
      </c>
      <c r="D50" s="8">
        <v>24.0</v>
      </c>
      <c r="E50" s="9">
        <v>46205.492148680554</v>
      </c>
      <c r="F50" s="2"/>
      <c r="G50" s="26"/>
      <c r="H50" s="26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1.0</v>
      </c>
      <c r="C51" s="7" t="s">
        <v>68</v>
      </c>
      <c r="D51" s="8">
        <v>22.0</v>
      </c>
      <c r="E51" s="9">
        <v>46205.492184456016</v>
      </c>
      <c r="F51" s="2"/>
      <c r="G51" s="26"/>
      <c r="H51" s="26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1.0</v>
      </c>
      <c r="C52" s="7" t="s">
        <v>69</v>
      </c>
      <c r="D52" s="8">
        <v>26.0</v>
      </c>
      <c r="E52" s="9">
        <v>46205.50896063657</v>
      </c>
      <c r="F52" s="2"/>
      <c r="G52" s="26"/>
      <c r="H52" s="26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1.0</v>
      </c>
      <c r="C53" s="7" t="s">
        <v>70</v>
      </c>
      <c r="D53" s="8">
        <v>8.0</v>
      </c>
      <c r="E53" s="9">
        <v>46205.50904582176</v>
      </c>
      <c r="F53" s="2"/>
      <c r="G53" s="26"/>
      <c r="H53" s="26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1.0</v>
      </c>
      <c r="C54" s="7" t="s">
        <v>71</v>
      </c>
      <c r="D54" s="6">
        <v>7.5</v>
      </c>
      <c r="E54" s="9">
        <v>46205.55145903935</v>
      </c>
      <c r="F54" s="2"/>
      <c r="G54" s="26"/>
      <c r="H54" s="26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1.0</v>
      </c>
      <c r="C55" s="7" t="s">
        <v>72</v>
      </c>
      <c r="D55" s="6">
        <v>16.0</v>
      </c>
      <c r="E55" s="9">
        <v>46205.556288912034</v>
      </c>
      <c r="F55" s="2"/>
      <c r="G55" s="26"/>
      <c r="H55" s="26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1.0</v>
      </c>
      <c r="C56" s="7" t="s">
        <v>73</v>
      </c>
      <c r="D56" s="6">
        <v>12.0</v>
      </c>
      <c r="E56" s="9">
        <v>46205.55639925926</v>
      </c>
      <c r="F56" s="2"/>
      <c r="G56" s="26"/>
      <c r="H56" s="26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 t="s">
        <v>74</v>
      </c>
      <c r="C57" s="7" t="s">
        <v>75</v>
      </c>
      <c r="D57" s="6">
        <v>40.0</v>
      </c>
      <c r="E57" s="9">
        <v>46205.55684322916</v>
      </c>
      <c r="F57" s="2"/>
      <c r="G57" s="26"/>
      <c r="H57" s="26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1.0</v>
      </c>
      <c r="C58" s="7" t="s">
        <v>76</v>
      </c>
      <c r="D58" s="6">
        <v>30.0</v>
      </c>
      <c r="E58" s="9">
        <v>46205.57463321759</v>
      </c>
      <c r="F58" s="2"/>
      <c r="G58" s="26"/>
      <c r="H58" s="26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 t="s">
        <v>77</v>
      </c>
      <c r="C59" s="7" t="s">
        <v>78</v>
      </c>
      <c r="D59" s="6">
        <v>6.0</v>
      </c>
      <c r="E59" s="9">
        <v>46205.58309375</v>
      </c>
      <c r="F59" s="2"/>
      <c r="G59" s="26"/>
      <c r="H59" s="26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2.0</v>
      </c>
      <c r="C60" s="7" t="s">
        <v>79</v>
      </c>
      <c r="D60" s="6">
        <v>12.0</v>
      </c>
      <c r="E60" s="9">
        <v>46205.58315640046</v>
      </c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2.0</v>
      </c>
      <c r="C61" s="7" t="s">
        <v>80</v>
      </c>
      <c r="D61" s="6">
        <v>2.0</v>
      </c>
      <c r="E61" s="9">
        <v>46205.584399618056</v>
      </c>
      <c r="F61" s="2"/>
      <c r="G61" s="26"/>
      <c r="H61" s="26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1.0</v>
      </c>
      <c r="C62" s="7" t="s">
        <v>81</v>
      </c>
      <c r="D62" s="6">
        <v>16.0</v>
      </c>
      <c r="E62" s="9">
        <v>46205.60159644676</v>
      </c>
      <c r="F62" s="2"/>
      <c r="G62" s="26"/>
      <c r="H62" s="26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82</v>
      </c>
      <c r="D63" s="6">
        <v>24.0</v>
      </c>
      <c r="E63" s="9">
        <v>46205.60171234954</v>
      </c>
      <c r="F63" s="2"/>
      <c r="G63" s="26"/>
      <c r="H63" s="26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1.0</v>
      </c>
      <c r="C64" s="7" t="s">
        <v>83</v>
      </c>
      <c r="D64" s="6">
        <v>112.0</v>
      </c>
      <c r="E64" s="9">
        <v>46205.60176820602</v>
      </c>
      <c r="F64" s="2"/>
      <c r="G64" s="26"/>
      <c r="H64" s="26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1.0</v>
      </c>
      <c r="C65" s="7" t="s">
        <v>84</v>
      </c>
      <c r="D65" s="6">
        <v>94.0</v>
      </c>
      <c r="E65" s="9">
        <v>46205.601838726856</v>
      </c>
      <c r="F65" s="2"/>
      <c r="G65" s="26"/>
      <c r="H65" s="26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85</v>
      </c>
      <c r="D66" s="6">
        <v>78.0</v>
      </c>
      <c r="E66" s="9">
        <v>46205.64780011574</v>
      </c>
      <c r="F66" s="2"/>
      <c r="G66" s="26"/>
      <c r="H66" s="26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86</v>
      </c>
      <c r="D67" s="6">
        <v>95.0</v>
      </c>
      <c r="E67" s="9">
        <v>46205.64788467593</v>
      </c>
      <c r="F67" s="2"/>
      <c r="G67" s="26"/>
      <c r="H67" s="26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66</v>
      </c>
      <c r="D68" s="6">
        <v>3.0</v>
      </c>
      <c r="E68" s="9">
        <v>46205.64803497685</v>
      </c>
      <c r="F68" s="2"/>
      <c r="G68" s="26"/>
      <c r="H68" s="26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1.0</v>
      </c>
      <c r="C69" s="7" t="s">
        <v>87</v>
      </c>
      <c r="D69" s="6">
        <v>15.0</v>
      </c>
      <c r="E69" s="9">
        <v>46205.648282662034</v>
      </c>
      <c r="F69" s="2"/>
      <c r="G69" s="26"/>
      <c r="H69" s="26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1.0</v>
      </c>
      <c r="C70" s="7" t="s">
        <v>88</v>
      </c>
      <c r="D70" s="6">
        <v>16.0</v>
      </c>
      <c r="E70" s="9">
        <v>46205.64846628472</v>
      </c>
      <c r="F70" s="2"/>
      <c r="G70" s="26"/>
      <c r="H70" s="26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2.0</v>
      </c>
      <c r="C71" s="7" t="s">
        <v>89</v>
      </c>
      <c r="D71" s="6">
        <v>9.0</v>
      </c>
      <c r="E71" s="9">
        <v>46205.65195662037</v>
      </c>
      <c r="F71" s="2"/>
      <c r="G71" s="26"/>
      <c r="H71" s="26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>
        <v>2.0</v>
      </c>
      <c r="C72" s="7" t="s">
        <v>90</v>
      </c>
      <c r="D72" s="6">
        <v>25.0</v>
      </c>
      <c r="E72" s="9">
        <v>46205.6520103588</v>
      </c>
      <c r="F72" s="2"/>
      <c r="G72" s="26"/>
      <c r="H72" s="26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6">
        <v>8.0</v>
      </c>
      <c r="C73" s="7" t="s">
        <v>91</v>
      </c>
      <c r="D73" s="6">
        <v>40.0</v>
      </c>
      <c r="E73" s="9">
        <v>46205.657011724536</v>
      </c>
      <c r="F73" s="2"/>
      <c r="G73" s="26"/>
      <c r="H73" s="26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6">
        <v>24.0</v>
      </c>
      <c r="C74" s="7" t="s">
        <v>92</v>
      </c>
      <c r="D74" s="6">
        <v>8.0</v>
      </c>
      <c r="E74" s="9">
        <v>46205.65709001158</v>
      </c>
      <c r="F74" s="2"/>
      <c r="G74" s="26"/>
      <c r="H74" s="26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6">
        <v>24.0</v>
      </c>
      <c r="C75" s="7" t="s">
        <v>93</v>
      </c>
      <c r="D75" s="6">
        <v>2.5</v>
      </c>
      <c r="E75" s="9">
        <v>46205.65712942129</v>
      </c>
      <c r="F75" s="2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6">
        <v>1.0</v>
      </c>
      <c r="C76" s="7" t="s">
        <v>94</v>
      </c>
      <c r="D76" s="6">
        <v>11.0</v>
      </c>
      <c r="E76" s="9">
        <v>46205.65734534722</v>
      </c>
      <c r="F76" s="2"/>
      <c r="G76" s="26"/>
      <c r="H76" s="26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6">
        <v>1.0</v>
      </c>
      <c r="C77" s="7" t="s">
        <v>95</v>
      </c>
      <c r="D77" s="6">
        <v>46.0</v>
      </c>
      <c r="E77" s="9">
        <v>46205.66648274305</v>
      </c>
      <c r="F77" s="2"/>
      <c r="G77" s="26"/>
      <c r="H77" s="26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6">
        <v>7.0</v>
      </c>
      <c r="C78" s="7" t="s">
        <v>96</v>
      </c>
      <c r="D78" s="6">
        <v>189.0</v>
      </c>
      <c r="E78" s="9">
        <v>46205.6732969213</v>
      </c>
      <c r="F78" s="2"/>
      <c r="G78" s="26"/>
      <c r="H78" s="26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6">
        <v>8.0</v>
      </c>
      <c r="C79" s="7" t="s">
        <v>97</v>
      </c>
      <c r="D79" s="6">
        <v>96.0</v>
      </c>
      <c r="E79" s="9">
        <v>46205.673430532406</v>
      </c>
      <c r="F79" s="2"/>
      <c r="G79" s="26"/>
      <c r="H79" s="26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6">
        <v>1.0</v>
      </c>
      <c r="C80" s="7" t="s">
        <v>98</v>
      </c>
      <c r="D80" s="6">
        <v>61.0</v>
      </c>
      <c r="E80" s="9">
        <v>46205.674651678244</v>
      </c>
      <c r="F80" s="2"/>
      <c r="G80" s="26"/>
      <c r="H80" s="26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6">
        <v>1.0</v>
      </c>
      <c r="C81" s="7" t="s">
        <v>99</v>
      </c>
      <c r="D81" s="6">
        <v>40.0</v>
      </c>
      <c r="E81" s="9">
        <v>46205.676578287035</v>
      </c>
      <c r="F81" s="2"/>
      <c r="G81" s="26"/>
      <c r="H81" s="26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6">
        <v>3.0</v>
      </c>
      <c r="C82" s="7" t="s">
        <v>100</v>
      </c>
      <c r="D82" s="6">
        <v>75.0</v>
      </c>
      <c r="E82" s="9">
        <v>46205.68328253472</v>
      </c>
      <c r="F82" s="2"/>
      <c r="G82" s="26"/>
      <c r="H82" s="26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6">
        <v>1.0</v>
      </c>
      <c r="C83" s="7" t="s">
        <v>101</v>
      </c>
      <c r="D83" s="6">
        <v>330.0</v>
      </c>
      <c r="E83" s="9">
        <v>46205.690467569446</v>
      </c>
      <c r="F83" s="2"/>
      <c r="G83" s="26"/>
      <c r="H83" s="26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6">
        <v>48.0</v>
      </c>
      <c r="C84" s="7" t="s">
        <v>102</v>
      </c>
      <c r="D84" s="6">
        <v>16.0</v>
      </c>
      <c r="E84" s="9">
        <v>46205.69330587963</v>
      </c>
      <c r="F84" s="2"/>
      <c r="G84" s="26"/>
      <c r="H84" s="26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6">
        <v>2.0</v>
      </c>
      <c r="C85" s="7" t="s">
        <v>103</v>
      </c>
      <c r="D85" s="6">
        <v>164.0</v>
      </c>
      <c r="E85" s="9">
        <v>46205.69590329861</v>
      </c>
      <c r="F85" s="2"/>
      <c r="G85" s="26"/>
      <c r="H85" s="26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6">
        <v>1.0</v>
      </c>
      <c r="C86" s="7" t="s">
        <v>104</v>
      </c>
      <c r="D86" s="6">
        <v>31.0</v>
      </c>
      <c r="E86" s="9">
        <v>46205.69604630787</v>
      </c>
      <c r="F86" s="2"/>
      <c r="G86" s="26"/>
      <c r="H86" s="26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6">
        <v>3.0</v>
      </c>
      <c r="C87" s="7" t="s">
        <v>105</v>
      </c>
      <c r="D87" s="6">
        <v>78.0</v>
      </c>
      <c r="E87" s="9">
        <v>46205.696145625</v>
      </c>
      <c r="F87" s="2"/>
      <c r="G87" s="26"/>
      <c r="H87" s="26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6">
        <v>48.0</v>
      </c>
      <c r="C88" s="7" t="s">
        <v>106</v>
      </c>
      <c r="D88" s="6">
        <v>12.0</v>
      </c>
      <c r="E88" s="9">
        <v>46205.71496616898</v>
      </c>
      <c r="F88" s="2"/>
      <c r="G88" s="26"/>
      <c r="H88" s="26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6">
        <v>48.0</v>
      </c>
      <c r="C89" s="7" t="s">
        <v>93</v>
      </c>
      <c r="D89" s="6">
        <v>6.0</v>
      </c>
      <c r="E89" s="9">
        <v>46205.7151625</v>
      </c>
      <c r="F89" s="2"/>
      <c r="G89" s="26"/>
      <c r="H89" s="26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6">
        <v>1.0</v>
      </c>
      <c r="C90" s="7" t="s">
        <v>107</v>
      </c>
      <c r="D90" s="6">
        <v>13.0</v>
      </c>
      <c r="E90" s="9">
        <v>46205.715942939816</v>
      </c>
      <c r="F90" s="2"/>
      <c r="G90" s="26"/>
      <c r="H90" s="26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6">
        <v>12.0</v>
      </c>
      <c r="C91" s="7" t="s">
        <v>92</v>
      </c>
      <c r="D91" s="6">
        <v>3.0</v>
      </c>
      <c r="E91" s="9">
        <v>46205.721025023144</v>
      </c>
      <c r="F91" s="2"/>
      <c r="G91" s="26"/>
      <c r="H91" s="26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6">
        <v>6.0</v>
      </c>
      <c r="C92" s="7" t="s">
        <v>108</v>
      </c>
      <c r="D92" s="6">
        <v>1.5</v>
      </c>
      <c r="E92" s="9">
        <v>46205.72108203704</v>
      </c>
      <c r="F92" s="2"/>
      <c r="G92" s="26"/>
      <c r="H92" s="26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6">
        <v>6.0</v>
      </c>
      <c r="C93" s="7" t="s">
        <v>92</v>
      </c>
      <c r="D93" s="6">
        <v>2.5</v>
      </c>
      <c r="E93" s="9">
        <v>46205.72111961806</v>
      </c>
      <c r="F93" s="2"/>
      <c r="G93" s="26"/>
      <c r="H93" s="26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6">
        <v>1.0</v>
      </c>
      <c r="C94" s="7" t="s">
        <v>109</v>
      </c>
      <c r="D94" s="6">
        <v>28.0</v>
      </c>
      <c r="E94" s="9">
        <v>46205.7209709375</v>
      </c>
      <c r="F94" s="2"/>
      <c r="G94" s="26"/>
      <c r="H94" s="26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6">
        <v>2.0</v>
      </c>
      <c r="C95" s="7" t="s">
        <v>110</v>
      </c>
      <c r="D95" s="6">
        <v>10.0</v>
      </c>
      <c r="E95" s="9">
        <v>46205.72572832176</v>
      </c>
      <c r="F95" s="2"/>
      <c r="G95" s="26"/>
      <c r="H95" s="26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6">
        <v>2.0</v>
      </c>
      <c r="C96" s="7" t="s">
        <v>111</v>
      </c>
      <c r="D96" s="6">
        <v>6.0</v>
      </c>
      <c r="E96" s="9">
        <v>46205.725855578705</v>
      </c>
      <c r="F96" s="2"/>
      <c r="G96" s="26"/>
      <c r="H96" s="26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6">
        <v>1.0</v>
      </c>
      <c r="C97" s="7" t="s">
        <v>112</v>
      </c>
      <c r="D97" s="6">
        <v>255.0</v>
      </c>
      <c r="E97" s="9">
        <v>46205.76307560185</v>
      </c>
      <c r="F97" s="2"/>
      <c r="G97" s="26"/>
      <c r="H97" s="26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6">
        <v>1.0</v>
      </c>
      <c r="C98" s="7" t="s">
        <v>113</v>
      </c>
      <c r="D98" s="6">
        <v>30.0</v>
      </c>
      <c r="E98" s="9">
        <v>46205.76327787037</v>
      </c>
      <c r="F98" s="2"/>
      <c r="G98" s="26"/>
      <c r="H98" s="26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6">
        <v>1.0</v>
      </c>
      <c r="C99" s="7" t="s">
        <v>114</v>
      </c>
      <c r="D99" s="6">
        <v>22.0</v>
      </c>
      <c r="E99" s="9">
        <v>46205.763315324075</v>
      </c>
      <c r="F99" s="2"/>
      <c r="G99" s="26"/>
      <c r="H99" s="26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6">
        <v>2.0</v>
      </c>
      <c r="C100" s="7" t="s">
        <v>63</v>
      </c>
      <c r="D100" s="6">
        <v>38.0</v>
      </c>
      <c r="E100" s="9">
        <v>46205.76337479167</v>
      </c>
      <c r="F100" s="2"/>
      <c r="G100" s="26"/>
      <c r="H100" s="26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6">
        <v>2.0</v>
      </c>
      <c r="C101" s="7" t="s">
        <v>115</v>
      </c>
      <c r="D101" s="6">
        <v>40.0</v>
      </c>
      <c r="E101" s="9">
        <v>46205.76341443287</v>
      </c>
      <c r="F101" s="2"/>
      <c r="G101" s="26"/>
      <c r="H101" s="26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6">
        <v>1.0</v>
      </c>
      <c r="C102" s="7" t="s">
        <v>116</v>
      </c>
      <c r="D102" s="6">
        <v>95.0</v>
      </c>
      <c r="E102" s="9">
        <v>46205.76346423611</v>
      </c>
      <c r="F102" s="2"/>
      <c r="G102" s="26"/>
      <c r="H102" s="26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7"/>
      <c r="D103" s="38"/>
      <c r="E103" s="39"/>
      <c r="F103" s="2"/>
      <c r="G103" s="26"/>
      <c r="H103" s="26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7"/>
      <c r="D104" s="38"/>
      <c r="E104" s="39"/>
      <c r="F104" s="2"/>
      <c r="G104" s="26"/>
      <c r="H104" s="26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7"/>
      <c r="D105" s="38"/>
      <c r="E105" s="39"/>
      <c r="F105" s="2"/>
      <c r="G105" s="26"/>
      <c r="H105" s="26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7"/>
      <c r="D106" s="38"/>
      <c r="E106" s="39"/>
      <c r="F106" s="2"/>
      <c r="G106" s="26"/>
      <c r="H106" s="26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7"/>
      <c r="D107" s="38"/>
      <c r="E107" s="39"/>
      <c r="F107" s="2"/>
      <c r="G107" s="26"/>
      <c r="H107" s="26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7"/>
      <c r="D108" s="38"/>
      <c r="E108" s="39"/>
      <c r="F108" s="2"/>
      <c r="G108" s="26"/>
      <c r="H108" s="26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7"/>
      <c r="D109" s="38"/>
      <c r="E109" s="39"/>
      <c r="F109" s="2"/>
      <c r="G109" s="26"/>
      <c r="H109" s="26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7"/>
      <c r="D110" s="38"/>
      <c r="E110" s="39"/>
      <c r="F110" s="2"/>
      <c r="G110" s="26"/>
      <c r="H110" s="26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7"/>
      <c r="D111" s="38"/>
      <c r="E111" s="39"/>
      <c r="F111" s="2"/>
      <c r="G111" s="26"/>
      <c r="H111" s="26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7"/>
      <c r="D112" s="38"/>
      <c r="E112" s="39"/>
      <c r="F112" s="2"/>
      <c r="G112" s="26"/>
      <c r="H112" s="26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7"/>
      <c r="D113" s="38"/>
      <c r="E113" s="39"/>
      <c r="F113" s="2"/>
      <c r="G113" s="26"/>
      <c r="H113" s="26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7"/>
      <c r="D114" s="38"/>
      <c r="E114" s="39"/>
      <c r="F114" s="2"/>
      <c r="G114" s="26"/>
      <c r="H114" s="26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7"/>
      <c r="D115" s="38"/>
      <c r="E115" s="39"/>
      <c r="F115" s="2"/>
      <c r="G115" s="26"/>
      <c r="H115" s="26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7"/>
      <c r="D116" s="38"/>
      <c r="E116" s="39"/>
      <c r="F116" s="2"/>
      <c r="G116" s="26"/>
      <c r="H116" s="26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7"/>
      <c r="D117" s="38"/>
      <c r="E117" s="39"/>
      <c r="F117" s="2"/>
      <c r="G117" s="26"/>
      <c r="H117" s="26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7"/>
      <c r="D118" s="38"/>
      <c r="E118" s="39"/>
      <c r="F118" s="2"/>
      <c r="G118" s="26"/>
      <c r="H118" s="26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7"/>
      <c r="D119" s="38"/>
      <c r="E119" s="39"/>
      <c r="F119" s="2"/>
      <c r="G119" s="26"/>
      <c r="H119" s="26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7"/>
      <c r="D120" s="38"/>
      <c r="E120" s="39"/>
      <c r="F120" s="2"/>
      <c r="G120" s="26"/>
      <c r="H120" s="26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7"/>
      <c r="D121" s="38"/>
      <c r="E121" s="39"/>
      <c r="F121" s="2"/>
      <c r="G121" s="26"/>
      <c r="H121" s="26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7"/>
      <c r="D122" s="38"/>
      <c r="E122" s="39"/>
      <c r="F122" s="2"/>
      <c r="G122" s="26"/>
      <c r="H122" s="26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7"/>
      <c r="D123" s="38"/>
      <c r="E123" s="39"/>
      <c r="F123" s="2"/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7"/>
      <c r="D124" s="38"/>
      <c r="E124" s="39"/>
      <c r="F124" s="2"/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7"/>
      <c r="D125" s="38"/>
      <c r="E125" s="39"/>
      <c r="F125" s="2"/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7"/>
      <c r="D126" s="38"/>
      <c r="E126" s="39"/>
      <c r="F126" s="2"/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7"/>
      <c r="D127" s="38"/>
      <c r="E127" s="39"/>
      <c r="F127" s="2"/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7"/>
      <c r="D128" s="38"/>
      <c r="E128" s="39"/>
      <c r="F128" s="2"/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7"/>
      <c r="D129" s="38"/>
      <c r="E129" s="39"/>
      <c r="F129" s="2"/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7"/>
      <c r="D130" s="38"/>
      <c r="E130" s="39"/>
      <c r="F130" s="2"/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7"/>
      <c r="D131" s="38"/>
      <c r="E131" s="39"/>
      <c r="F131" s="2"/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7"/>
      <c r="D132" s="38"/>
      <c r="E132" s="39"/>
      <c r="F132" s="2"/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7"/>
      <c r="D133" s="38"/>
      <c r="E133" s="39"/>
      <c r="F133" s="2"/>
      <c r="G133" s="26"/>
      <c r="H133" s="26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7"/>
      <c r="D134" s="38"/>
      <c r="E134" s="39"/>
      <c r="F134" s="2"/>
      <c r="G134" s="26"/>
      <c r="H134" s="26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7"/>
      <c r="D135" s="38"/>
      <c r="E135" s="39"/>
      <c r="F135" s="2"/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7"/>
      <c r="D136" s="38"/>
      <c r="E136" s="39"/>
      <c r="F136" s="2"/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7"/>
      <c r="D137" s="38"/>
      <c r="E137" s="39"/>
      <c r="F137" s="2"/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7"/>
      <c r="D138" s="38"/>
      <c r="E138" s="39"/>
      <c r="F138" s="2"/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7"/>
      <c r="D139" s="38"/>
      <c r="E139" s="39"/>
      <c r="F139" s="2"/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7"/>
      <c r="D140" s="38"/>
      <c r="E140" s="39"/>
      <c r="F140" s="2"/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7"/>
      <c r="D141" s="38"/>
      <c r="E141" s="39"/>
      <c r="F141" s="2"/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7"/>
      <c r="D142" s="38"/>
      <c r="E142" s="39"/>
      <c r="F142" s="2"/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7"/>
      <c r="D143" s="38"/>
      <c r="E143" s="39"/>
      <c r="F143" s="2"/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7"/>
      <c r="D144" s="38"/>
      <c r="E144" s="39"/>
      <c r="F144" s="2"/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7"/>
      <c r="D145" s="38"/>
      <c r="E145" s="39"/>
      <c r="F145" s="2"/>
      <c r="G145" s="26"/>
      <c r="H145" s="26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7"/>
      <c r="D146" s="38"/>
      <c r="E146" s="39"/>
      <c r="F146" s="2"/>
      <c r="G146" s="26"/>
      <c r="H146" s="26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7"/>
      <c r="D147" s="38"/>
      <c r="E147" s="39"/>
      <c r="F147" s="2"/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7"/>
      <c r="D148" s="38"/>
      <c r="E148" s="39"/>
      <c r="F148" s="2"/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7"/>
      <c r="D149" s="38"/>
      <c r="E149" s="39"/>
      <c r="F149" s="2"/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7"/>
      <c r="D150" s="38"/>
      <c r="E150" s="39"/>
      <c r="F150" s="2"/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7"/>
      <c r="D151" s="38"/>
      <c r="E151" s="39"/>
      <c r="F151" s="2"/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7"/>
      <c r="D152" s="38"/>
      <c r="E152" s="39"/>
      <c r="F152" s="2"/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7"/>
      <c r="D153" s="38"/>
      <c r="E153" s="39"/>
      <c r="F153" s="2"/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7"/>
      <c r="D154" s="38"/>
      <c r="E154" s="39"/>
      <c r="F154" s="2"/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7"/>
      <c r="D155" s="38"/>
      <c r="E155" s="39"/>
      <c r="F155" s="2"/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7"/>
      <c r="D156" s="38"/>
      <c r="E156" s="39"/>
      <c r="F156" s="2"/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7"/>
      <c r="D157" s="38"/>
      <c r="E157" s="39"/>
      <c r="F157" s="2"/>
      <c r="G157" s="26"/>
      <c r="H157" s="26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7"/>
      <c r="D158" s="38"/>
      <c r="E158" s="39"/>
      <c r="F158" s="2"/>
      <c r="G158" s="26"/>
      <c r="H158" s="26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7"/>
      <c r="D159" s="38"/>
      <c r="E159" s="39"/>
      <c r="F159" s="2"/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7"/>
      <c r="D160" s="38"/>
      <c r="E160" s="39"/>
      <c r="F160" s="2"/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7"/>
      <c r="D161" s="38"/>
      <c r="E161" s="39"/>
      <c r="F161" s="2"/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7"/>
      <c r="D162" s="38"/>
      <c r="E162" s="39"/>
      <c r="F162" s="2"/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7"/>
      <c r="D163" s="38"/>
      <c r="E163" s="39"/>
      <c r="F163" s="2"/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7"/>
      <c r="D164" s="38"/>
      <c r="E164" s="39"/>
      <c r="F164" s="2"/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7"/>
      <c r="D165" s="38"/>
      <c r="E165" s="39"/>
      <c r="F165" s="2"/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7"/>
      <c r="D166" s="38"/>
      <c r="E166" s="39"/>
      <c r="F166" s="2"/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7"/>
      <c r="D167" s="38"/>
      <c r="E167" s="39"/>
      <c r="F167" s="2"/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7"/>
      <c r="D168" s="38"/>
      <c r="E168" s="39"/>
      <c r="F168" s="2"/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7"/>
      <c r="D169" s="38"/>
      <c r="E169" s="39"/>
      <c r="F169" s="2"/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7"/>
      <c r="D170" s="38"/>
      <c r="E170" s="39"/>
      <c r="F170" s="2"/>
      <c r="G170" s="26"/>
      <c r="H170" s="26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7"/>
      <c r="D171" s="38"/>
      <c r="E171" s="39"/>
      <c r="F171" s="2"/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7"/>
      <c r="D172" s="38"/>
      <c r="E172" s="39"/>
      <c r="F172" s="2"/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7"/>
      <c r="D173" s="38"/>
      <c r="E173" s="39"/>
      <c r="F173" s="2"/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7"/>
      <c r="D174" s="38"/>
      <c r="E174" s="39"/>
      <c r="F174" s="2"/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7"/>
      <c r="D175" s="38"/>
      <c r="E175" s="39"/>
      <c r="F175" s="2"/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7"/>
      <c r="D176" s="38"/>
      <c r="E176" s="39"/>
      <c r="F176" s="2"/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7"/>
      <c r="D177" s="38"/>
      <c r="E177" s="39"/>
      <c r="F177" s="2"/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7"/>
      <c r="D178" s="38"/>
      <c r="E178" s="39"/>
      <c r="F178" s="2"/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7"/>
      <c r="D179" s="38"/>
      <c r="E179" s="39"/>
      <c r="F179" s="2"/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7"/>
      <c r="D180" s="38"/>
      <c r="E180" s="39"/>
      <c r="F180" s="2"/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7"/>
      <c r="D181" s="38"/>
      <c r="E181" s="39"/>
      <c r="F181" s="2"/>
      <c r="G181" s="26"/>
      <c r="H181" s="26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7"/>
      <c r="D182" s="38"/>
      <c r="E182" s="39"/>
      <c r="F182" s="2"/>
      <c r="G182" s="26"/>
      <c r="H182" s="26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7"/>
      <c r="D183" s="38"/>
      <c r="E183" s="39"/>
      <c r="F183" s="2"/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7"/>
      <c r="D184" s="38"/>
      <c r="E184" s="39"/>
      <c r="F184" s="2"/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7"/>
      <c r="D185" s="38"/>
      <c r="E185" s="39"/>
      <c r="F185" s="2"/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7"/>
      <c r="D186" s="38"/>
      <c r="E186" s="39"/>
      <c r="F186" s="2"/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7"/>
      <c r="D187" s="38"/>
      <c r="E187" s="39"/>
      <c r="F187" s="2"/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7"/>
      <c r="D188" s="38"/>
      <c r="E188" s="39"/>
      <c r="F188" s="2"/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7"/>
      <c r="D189" s="38"/>
      <c r="E189" s="39"/>
      <c r="F189" s="2"/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7"/>
      <c r="D190" s="38"/>
      <c r="E190" s="39"/>
      <c r="F190" s="2"/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7"/>
      <c r="D191" s="38"/>
      <c r="E191" s="39"/>
      <c r="F191" s="2"/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7"/>
      <c r="D192" s="38"/>
      <c r="E192" s="39"/>
      <c r="F192" s="2"/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7"/>
      <c r="D193" s="38"/>
      <c r="E193" s="39"/>
      <c r="F193" s="2"/>
      <c r="G193" s="26"/>
      <c r="H193" s="26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7"/>
      <c r="D194" s="38"/>
      <c r="E194" s="39"/>
      <c r="F194" s="2"/>
      <c r="G194" s="26"/>
      <c r="H194" s="26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7"/>
      <c r="D195" s="38"/>
      <c r="E195" s="39"/>
      <c r="F195" s="2"/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7"/>
      <c r="D196" s="38"/>
      <c r="E196" s="39"/>
      <c r="F196" s="2"/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7"/>
      <c r="D197" s="38"/>
      <c r="E197" s="39"/>
      <c r="F197" s="2"/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7"/>
      <c r="D198" s="38"/>
      <c r="E198" s="39"/>
      <c r="F198" s="2"/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7"/>
      <c r="D199" s="38"/>
      <c r="E199" s="39"/>
      <c r="F199" s="2"/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7"/>
      <c r="D200" s="38"/>
      <c r="E200" s="39"/>
      <c r="F200" s="2"/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7"/>
      <c r="D201" s="38"/>
      <c r="E201" s="39"/>
      <c r="F201" s="2"/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7"/>
      <c r="D202" s="38"/>
      <c r="E202" s="39"/>
      <c r="F202" s="2"/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7"/>
      <c r="D203" s="38"/>
      <c r="E203" s="39"/>
      <c r="F203" s="2"/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7"/>
      <c r="D204" s="38"/>
      <c r="E204" s="39"/>
      <c r="F204" s="2"/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7"/>
      <c r="D205" s="38"/>
      <c r="E205" s="39"/>
      <c r="F205" s="2"/>
      <c r="G205" s="26"/>
      <c r="H205" s="26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7"/>
      <c r="D206" s="38"/>
      <c r="E206" s="39"/>
      <c r="F206" s="2"/>
      <c r="G206" s="26"/>
      <c r="H206" s="26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7"/>
      <c r="D207" s="38"/>
      <c r="E207" s="39"/>
      <c r="F207" s="2"/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7"/>
      <c r="D208" s="38"/>
      <c r="E208" s="39"/>
      <c r="F208" s="2"/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7"/>
      <c r="D209" s="38"/>
      <c r="E209" s="39"/>
      <c r="F209" s="2"/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7"/>
      <c r="D210" s="38"/>
      <c r="E210" s="39"/>
      <c r="F210" s="2"/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7"/>
      <c r="D211" s="38"/>
      <c r="E211" s="39"/>
      <c r="F211" s="2"/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7"/>
      <c r="D212" s="38"/>
      <c r="E212" s="39"/>
      <c r="F212" s="2"/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7"/>
      <c r="D213" s="38"/>
      <c r="E213" s="39"/>
      <c r="F213" s="2"/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7"/>
      <c r="D214" s="38"/>
      <c r="E214" s="39"/>
      <c r="F214" s="2"/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7"/>
      <c r="D215" s="38"/>
      <c r="E215" s="39"/>
      <c r="F215" s="2"/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7"/>
      <c r="D216" s="38"/>
      <c r="E216" s="39"/>
      <c r="F216" s="2"/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7"/>
      <c r="D217" s="38"/>
      <c r="E217" s="39"/>
      <c r="F217" s="2"/>
      <c r="G217" s="26"/>
      <c r="H217" s="26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7"/>
      <c r="D218" s="38"/>
      <c r="E218" s="39"/>
      <c r="F218" s="2"/>
      <c r="G218" s="26"/>
      <c r="H218" s="26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7"/>
      <c r="D219" s="38"/>
      <c r="E219" s="39"/>
      <c r="F219" s="2"/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7"/>
      <c r="D220" s="38"/>
      <c r="E220" s="39"/>
      <c r="F220" s="2"/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7"/>
      <c r="D221" s="38"/>
      <c r="E221" s="39"/>
      <c r="F221" s="2"/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7"/>
      <c r="D222" s="38"/>
      <c r="E222" s="39"/>
      <c r="F222" s="2"/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7"/>
      <c r="D223" s="38"/>
      <c r="E223" s="39"/>
      <c r="F223" s="2"/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7"/>
      <c r="D224" s="38"/>
      <c r="E224" s="39"/>
      <c r="F224" s="2"/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7"/>
      <c r="D225" s="38"/>
      <c r="E225" s="39"/>
      <c r="F225" s="2"/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7"/>
      <c r="D226" s="38"/>
      <c r="E226" s="39"/>
      <c r="F226" s="2"/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7"/>
      <c r="D227" s="38"/>
      <c r="E227" s="39"/>
      <c r="F227" s="2"/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7"/>
      <c r="D228" s="38"/>
      <c r="E228" s="39"/>
      <c r="F228" s="2"/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7"/>
      <c r="D229" s="38"/>
      <c r="E229" s="39"/>
      <c r="F229" s="2"/>
      <c r="G229" s="26"/>
      <c r="H229" s="26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7"/>
      <c r="D230" s="38"/>
      <c r="E230" s="39"/>
      <c r="F230" s="2"/>
      <c r="G230" s="26"/>
      <c r="H230" s="26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7"/>
      <c r="D231" s="38"/>
      <c r="E231" s="39"/>
      <c r="F231" s="2"/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7"/>
      <c r="D232" s="38"/>
      <c r="E232" s="39"/>
      <c r="F232" s="2"/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7"/>
      <c r="D233" s="38"/>
      <c r="E233" s="39"/>
      <c r="F233" s="2"/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7"/>
      <c r="D234" s="38"/>
      <c r="E234" s="39"/>
      <c r="F234" s="2"/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7"/>
      <c r="D235" s="38"/>
      <c r="E235" s="39"/>
      <c r="F235" s="2"/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7"/>
      <c r="D236" s="38"/>
      <c r="E236" s="39"/>
      <c r="F236" s="2"/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7"/>
      <c r="D237" s="38"/>
      <c r="E237" s="39"/>
      <c r="F237" s="2"/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7"/>
      <c r="D238" s="38"/>
      <c r="E238" s="39"/>
      <c r="F238" s="2"/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7"/>
      <c r="D239" s="38"/>
      <c r="E239" s="39"/>
      <c r="F239" s="2"/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7"/>
      <c r="D240" s="38"/>
      <c r="E240" s="39"/>
      <c r="F240" s="2"/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7"/>
      <c r="D241" s="38"/>
      <c r="E241" s="39"/>
      <c r="F241" s="2"/>
      <c r="G241" s="26"/>
      <c r="H241" s="26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7"/>
      <c r="D242" s="38"/>
      <c r="E242" s="39"/>
      <c r="F242" s="2"/>
      <c r="G242" s="26"/>
      <c r="H242" s="26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7"/>
      <c r="D243" s="38"/>
      <c r="E243" s="39"/>
      <c r="F243" s="2"/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7"/>
      <c r="D244" s="38"/>
      <c r="E244" s="39"/>
      <c r="F244" s="2"/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7"/>
      <c r="D245" s="38"/>
      <c r="E245" s="39"/>
      <c r="F245" s="2"/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7"/>
      <c r="D246" s="38"/>
      <c r="E246" s="39"/>
      <c r="F246" s="2"/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7"/>
      <c r="D247" s="38"/>
      <c r="E247" s="39"/>
      <c r="F247" s="2"/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7"/>
      <c r="D248" s="38"/>
      <c r="E248" s="39"/>
      <c r="F248" s="2"/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7"/>
      <c r="D249" s="38"/>
      <c r="E249" s="39"/>
      <c r="F249" s="2"/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7"/>
      <c r="D250" s="38"/>
      <c r="E250" s="39"/>
      <c r="F250" s="2"/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7"/>
      <c r="D251" s="38"/>
      <c r="E251" s="39"/>
      <c r="F251" s="2"/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7"/>
      <c r="D252" s="38"/>
      <c r="E252" s="39"/>
      <c r="F252" s="2"/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7"/>
      <c r="D253" s="38"/>
      <c r="E253" s="39"/>
      <c r="F253" s="2"/>
      <c r="G253" s="26"/>
      <c r="H253" s="26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7"/>
      <c r="D254" s="38"/>
      <c r="E254" s="39"/>
      <c r="F254" s="2"/>
      <c r="G254" s="26"/>
      <c r="H254" s="26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7"/>
      <c r="D255" s="38"/>
      <c r="E255" s="39"/>
      <c r="F255" s="2"/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7"/>
      <c r="D256" s="38"/>
      <c r="E256" s="39"/>
      <c r="F256" s="2"/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7"/>
      <c r="D257" s="38"/>
      <c r="E257" s="39"/>
      <c r="F257" s="2"/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7"/>
      <c r="D258" s="38"/>
      <c r="E258" s="39"/>
      <c r="F258" s="2"/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7"/>
      <c r="D259" s="38"/>
      <c r="E259" s="39"/>
      <c r="F259" s="2"/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7"/>
      <c r="D260" s="38"/>
      <c r="E260" s="39"/>
      <c r="F260" s="2"/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7"/>
      <c r="D261" s="38"/>
      <c r="E261" s="39"/>
      <c r="F261" s="2"/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7"/>
      <c r="D262" s="38"/>
      <c r="E262" s="39"/>
      <c r="F262" s="2"/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7"/>
      <c r="D263" s="38"/>
      <c r="E263" s="39"/>
      <c r="F263" s="2"/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7"/>
      <c r="D264" s="38"/>
      <c r="E264" s="39"/>
      <c r="F264" s="2"/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7"/>
      <c r="D265" s="38"/>
      <c r="E265" s="39"/>
      <c r="F265" s="2"/>
      <c r="G265" s="26"/>
      <c r="H265" s="26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7"/>
      <c r="D266" s="38"/>
      <c r="E266" s="39"/>
      <c r="F266" s="2"/>
      <c r="G266" s="26"/>
      <c r="H266" s="26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7"/>
      <c r="D267" s="38"/>
      <c r="E267" s="39"/>
      <c r="F267" s="2"/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7"/>
      <c r="D268" s="38"/>
      <c r="E268" s="39"/>
      <c r="F268" s="2"/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7"/>
      <c r="D269" s="38"/>
      <c r="E269" s="39"/>
      <c r="F269" s="2"/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7"/>
      <c r="D270" s="38"/>
      <c r="E270" s="39"/>
      <c r="F270" s="2"/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7"/>
      <c r="D271" s="38"/>
      <c r="E271" s="39"/>
      <c r="F271" s="2"/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7"/>
      <c r="D272" s="38"/>
      <c r="E272" s="39"/>
      <c r="F272" s="2"/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7"/>
      <c r="D273" s="38"/>
      <c r="E273" s="39"/>
      <c r="F273" s="2"/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7"/>
      <c r="D274" s="38"/>
      <c r="E274" s="39"/>
      <c r="F274" s="2"/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7"/>
      <c r="D275" s="38"/>
      <c r="E275" s="39"/>
      <c r="F275" s="2"/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7"/>
      <c r="D276" s="38"/>
      <c r="E276" s="39"/>
      <c r="F276" s="2"/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7"/>
      <c r="D277" s="38"/>
      <c r="E277" s="39"/>
      <c r="F277" s="2"/>
      <c r="G277" s="26"/>
      <c r="H277" s="26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7"/>
      <c r="D278" s="38"/>
      <c r="E278" s="39"/>
      <c r="F278" s="2"/>
      <c r="G278" s="26"/>
      <c r="H278" s="26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7"/>
      <c r="D279" s="38"/>
      <c r="E279" s="39"/>
      <c r="F279" s="2"/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7"/>
      <c r="D280" s="38"/>
      <c r="E280" s="39"/>
      <c r="F280" s="2"/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7"/>
      <c r="D281" s="38"/>
      <c r="E281" s="39"/>
      <c r="F281" s="2"/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7"/>
      <c r="D282" s="38"/>
      <c r="E282" s="39"/>
      <c r="F282" s="2"/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7"/>
      <c r="D283" s="38"/>
      <c r="E283" s="39"/>
      <c r="F283" s="2"/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7"/>
      <c r="D284" s="38"/>
      <c r="E284" s="39"/>
      <c r="F284" s="2"/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7"/>
      <c r="D285" s="38"/>
      <c r="E285" s="39"/>
      <c r="F285" s="2"/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7"/>
      <c r="D286" s="38"/>
      <c r="E286" s="39"/>
      <c r="F286" s="2"/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7"/>
      <c r="D287" s="38"/>
      <c r="E287" s="39"/>
      <c r="F287" s="2"/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7"/>
      <c r="D288" s="38"/>
      <c r="E288" s="39"/>
      <c r="F288" s="2"/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7"/>
      <c r="D289" s="38"/>
      <c r="E289" s="39"/>
      <c r="F289" s="2"/>
      <c r="G289" s="26"/>
      <c r="H289" s="26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7"/>
      <c r="D290" s="38"/>
      <c r="E290" s="39"/>
      <c r="F290" s="2"/>
      <c r="G290" s="26"/>
      <c r="H290" s="26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7"/>
      <c r="D291" s="38"/>
      <c r="E291" s="39"/>
      <c r="F291" s="2"/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7"/>
      <c r="D292" s="38"/>
      <c r="E292" s="39"/>
      <c r="F292" s="2"/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7"/>
      <c r="D293" s="38"/>
      <c r="E293" s="39"/>
      <c r="F293" s="2"/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7"/>
      <c r="D294" s="38"/>
      <c r="E294" s="39"/>
      <c r="F294" s="2"/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7"/>
      <c r="D295" s="38"/>
      <c r="E295" s="39"/>
      <c r="F295" s="2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7"/>
      <c r="D296" s="38"/>
      <c r="E296" s="39"/>
      <c r="F296" s="2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7"/>
      <c r="D297" s="38"/>
      <c r="E297" s="39"/>
      <c r="F297" s="2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7"/>
      <c r="D298" s="38"/>
      <c r="E298" s="39"/>
      <c r="F298" s="2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7"/>
      <c r="D299" s="38"/>
      <c r="E299" s="39"/>
      <c r="F299" s="2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7"/>
      <c r="D300" s="38"/>
      <c r="E300" s="39"/>
      <c r="F300" s="2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7"/>
      <c r="D301" s="38"/>
      <c r="E301" s="39"/>
      <c r="F301" s="2"/>
      <c r="G301" s="26"/>
      <c r="H301" s="26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  <row r="1000">
      <c r="D1000" s="40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