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<sst xmlns="http://schemas.openxmlformats.org/spreadsheetml/2006/main" count="84" uniqueCount="83">
  <si>
    <t>HOJA DE CALCULO FERRETERIA</t>
  </si>
  <si>
    <t>CODIGO</t>
  </si>
  <si>
    <t>CANTIDAD</t>
  </si>
  <si>
    <t>DESCRIPCION</t>
  </si>
  <si>
    <t>TOTAL</t>
  </si>
  <si>
    <t>HORA</t>
  </si>
  <si>
    <t>CUADRAR</t>
  </si>
  <si>
    <t>llav pipa 12</t>
  </si>
  <si>
    <t>reversible mediano</t>
  </si>
  <si>
    <t>MONEDAS</t>
  </si>
  <si>
    <t>CAJA CHICA</t>
  </si>
  <si>
    <t>llave stilson tr</t>
  </si>
  <si>
    <t>BILLETES 10-20</t>
  </si>
  <si>
    <t>TOTAL VENTAS DIA</t>
  </si>
  <si>
    <t>broca 3 madera</t>
  </si>
  <si>
    <t>BILLETES 50-100-200</t>
  </si>
  <si>
    <t>AUMENTO DE DINERO</t>
  </si>
  <si>
    <t>debor 3 fierro</t>
  </si>
  <si>
    <t>INGRESOS YAPE</t>
  </si>
  <si>
    <t>termico 20x2</t>
  </si>
  <si>
    <t>INGRESOS TARJETA</t>
  </si>
  <si>
    <t xml:space="preserve">chocleta </t>
  </si>
  <si>
    <t>GASTOS VARIOS</t>
  </si>
  <si>
    <t>ocre</t>
  </si>
  <si>
    <t>GUANTE AZUL</t>
  </si>
  <si>
    <t>DINERO GANADO HOY:</t>
  </si>
  <si>
    <t>CANTIDAD DINERO CAJA:</t>
  </si>
  <si>
    <t>GUANTO DOBL GOMA</t>
  </si>
  <si>
    <t>FOCO TRAMONTIA</t>
  </si>
  <si>
    <t>ABRAZADERA REDONDA</t>
  </si>
  <si>
    <t>GUANTE LIGRAS</t>
  </si>
  <si>
    <t>GUANTE FERRAWY</t>
  </si>
  <si>
    <t>GUANTE ASATEX</t>
  </si>
  <si>
    <t>CINTURON TOTAL</t>
  </si>
  <si>
    <t>YAPE MAMÁ</t>
  </si>
  <si>
    <t>YAPE PAPÁ</t>
  </si>
  <si>
    <t>YAPE</t>
  </si>
  <si>
    <t>DISCO GALLETA UYS</t>
  </si>
  <si>
    <t>Monto Total YAPE (No tocar):</t>
  </si>
  <si>
    <t>JUEGO CEPILLOS ACERO</t>
  </si>
  <si>
    <t>LLAVE CRECEN 10 UYUS</t>
  </si>
  <si>
    <t>Monto Total Registrado en aplicacion</t>
  </si>
  <si>
    <t xml:space="preserve">ESPATULA </t>
  </si>
  <si>
    <t>SINTETICA MATE NEGOR 220</t>
  </si>
  <si>
    <t>LLAVE DE PASO 1/2</t>
  </si>
  <si>
    <t>NIPLE FG 1/2</t>
  </si>
  <si>
    <t>UNION PATENTE 1/2</t>
  </si>
  <si>
    <t>6M</t>
  </si>
  <si>
    <t>PERLON 4</t>
  </si>
  <si>
    <t>PUNTAS TR</t>
  </si>
  <si>
    <t>CIERRA CORCULAR</t>
  </si>
  <si>
    <t>PAGOS YAPE</t>
  </si>
  <si>
    <t>DESCRIPCION PAGO</t>
  </si>
  <si>
    <t>ESCUADRA UYUS</t>
  </si>
  <si>
    <t>CHAPA HERMEX</t>
  </si>
  <si>
    <t>NIPLE 1/2</t>
  </si>
  <si>
    <t>REDUCION 3/4X1/2 BUJE</t>
  </si>
  <si>
    <t>TEE 1/12 TIGRE</t>
  </si>
  <si>
    <t>TEFLON</t>
  </si>
  <si>
    <t>IRWIN FIERO 3</t>
  </si>
  <si>
    <t>IRWIN FIERRO 2</t>
  </si>
  <si>
    <t>1 DOC</t>
  </si>
  <si>
    <t>CHIO</t>
  </si>
  <si>
    <t>DOC TOR ROS P</t>
  </si>
  <si>
    <t>GRIFO</t>
  </si>
  <si>
    <t>BROCA IRWIN CONCRETO 8</t>
  </si>
  <si>
    <t>LLAVE COMBINADA 10</t>
  </si>
  <si>
    <t>RAMPLU 8</t>
  </si>
  <si>
    <t>DISCO BOEE7</t>
  </si>
  <si>
    <t>DESARMADOR TR</t>
  </si>
  <si>
    <t>HUANTE OSCARIA</t>
  </si>
  <si>
    <t>ADAPTADOR CORRIENTE</t>
  </si>
  <si>
    <t>YESO</t>
  </si>
  <si>
    <t>PAS BSAGRA 11/2</t>
  </si>
  <si>
    <t>PEGAMENTO AKAFI</t>
  </si>
  <si>
    <t>SUPER GLU</t>
  </si>
  <si>
    <t>TARRAJA 3/4</t>
  </si>
  <si>
    <t>DESARMADO REVER</t>
  </si>
  <si>
    <t>DESARMADOR TR DELGADO</t>
  </si>
  <si>
    <t>ORGANIZADOR TR</t>
  </si>
  <si>
    <t>REJILLAS DE VEMTILACION</t>
  </si>
  <si>
    <t>FUSIBLE 5A</t>
  </si>
  <si>
    <t>JUEGO CIERA PAA CALADORA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</si>
</sst>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35.0</v>
      </c>
      <c r="E8" s="8">
        <v>46169.35373383102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6.0</v>
      </c>
      <c r="E9" s="8">
        <v>46169.354792384256</v>
      </c>
      <c r="F9" s="2"/>
      <c r="G9" s="9" t="s">
        <v>9</v>
      </c>
      <c r="H9" s="10">
        <v>192.5</v>
      </c>
      <c r="I9" s="2"/>
      <c r="J9" s="9" t="s">
        <v>10</v>
      </c>
      <c r="K9" s="10">
        <v>659.0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260.0</v>
      </c>
      <c r="E10" s="8">
        <v>46169.358743136574</v>
      </c>
      <c r="F10" s="2"/>
      <c r="G10" s="9" t="s">
        <v>12</v>
      </c>
      <c r="H10" s="10">
        <v>460.0</v>
      </c>
      <c r="I10" s="2"/>
      <c r="J10" s="9" t="s">
        <v>13</v>
      </c>
      <c r="K10" s="11">
        <f>SUM(PRINCIPAL[TOTAL])</f>
        <v>1928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6.0</v>
      </c>
      <c r="E11" s="8">
        <v>46169.36095393519</v>
      </c>
      <c r="F11" s="2"/>
      <c r="G11" s="9" t="s">
        <v>15</v>
      </c>
      <c r="H11" s="10">
        <v>1300.0</v>
      </c>
      <c r="I11" s="2"/>
      <c r="J11" s="9" t="s">
        <v>16</v>
      </c>
      <c r="K11" s="10">
        <v>160.0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8.5</v>
      </c>
      <c r="E12" s="8">
        <v>46169.36100133102</v>
      </c>
      <c r="F12" s="2"/>
      <c r="G12" s="9" t="s">
        <v>18</v>
      </c>
      <c r="H12" s="12">
        <f>SUM(G24:H361)</f>
        <v>1001.5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55.0</v>
      </c>
      <c r="E13" s="8">
        <v>46169.3685068287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35.0</v>
      </c>
      <c r="E14" s="8">
        <v>46169.369618599536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5.0</v>
      </c>
      <c r="E15" s="8">
        <v>46169.36965466435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13.0</v>
      </c>
      <c r="E16" s="8">
        <v>46169.38198784722</v>
      </c>
      <c r="F16" s="2"/>
      <c r="G16" s="15" t="s">
        <v>25</v>
      </c>
      <c r="H16" s="16">
        <f>SUM(H9:H14)</f>
        <v>2954</v>
      </c>
      <c r="I16" s="3"/>
      <c r="J16" s="15" t="s">
        <v>26</v>
      </c>
      <c r="K16" s="16">
        <f>SUM(K9:K11)</f>
        <v>2747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17.0</v>
      </c>
      <c r="E17" s="8">
        <v>46169.382095636574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19.5</v>
      </c>
      <c r="E18" s="8">
        <v>46169.38225394676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207,00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4.0</v>
      </c>
      <c r="C19" s="7" t="s">
        <v>29</v>
      </c>
      <c r="D19" s="6">
        <v>14.0</v>
      </c>
      <c r="E19" s="8">
        <v>46169.40125809028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20.0</v>
      </c>
      <c r="E20" s="8">
        <v>46169.40483483796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20.0</v>
      </c>
      <c r="E21" s="8">
        <v>46169.40490620371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32</v>
      </c>
      <c r="D22" s="6">
        <v>39.0</v>
      </c>
      <c r="E22" s="8">
        <v>46169.404986249996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115.0</v>
      </c>
      <c r="E23" s="8">
        <v>46169.41320481482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10.0</v>
      </c>
      <c r="C24" s="7" t="s">
        <v>37</v>
      </c>
      <c r="D24" s="6">
        <v>45.0</v>
      </c>
      <c r="E24" s="8">
        <v>46169.41915081019</v>
      </c>
      <c r="F24" s="2"/>
      <c r="G24" s="22">
        <v>35.0</v>
      </c>
      <c r="H24" s="23"/>
      <c r="I24" s="2"/>
      <c r="J24" s="24" t="s">
        <v>38</v>
      </c>
      <c r="K24" s="25">
        <f>SUM(INGRESOS_YAPE[])</f>
        <v>1001.5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10.0</v>
      </c>
      <c r="E25" s="8">
        <v>46169.42946142361</v>
      </c>
      <c r="F25" s="2"/>
      <c r="G25" s="22">
        <v>260.0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49.0</v>
      </c>
      <c r="E26" s="8">
        <v>46169.4295914699</v>
      </c>
      <c r="F26" s="2"/>
      <c r="G26" s="26">
        <v>14.5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13.0</v>
      </c>
      <c r="E27" s="8">
        <v>46169.430791273146</v>
      </c>
      <c r="F27" s="2"/>
      <c r="G27" s="22">
        <v>30.0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21.0</v>
      </c>
      <c r="E28" s="8">
        <v>46169.43088337963</v>
      </c>
      <c r="F28" s="2"/>
      <c r="G28" s="22">
        <v>115.0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56.0</v>
      </c>
      <c r="E29" s="8">
        <v>46169.43426915509</v>
      </c>
      <c r="F29" s="2"/>
      <c r="G29" s="22">
        <v>16.0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1001,50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12.0</v>
      </c>
      <c r="E30" s="8">
        <v>46169.434372662035</v>
      </c>
      <c r="F30" s="2"/>
      <c r="G30" s="22">
        <v>3.0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10.0</v>
      </c>
      <c r="E31" s="8">
        <v>46169.434428796296</v>
      </c>
      <c r="F31" s="2"/>
      <c r="G31" s="22">
        <v>165.0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47</v>
      </c>
      <c r="C32" s="7" t="s">
        <v>48</v>
      </c>
      <c r="D32" s="6">
        <v>12.0</v>
      </c>
      <c r="E32" s="8">
        <v>46169.43698994213</v>
      </c>
      <c r="F32" s="2"/>
      <c r="G32" s="22">
        <v>16.0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49</v>
      </c>
      <c r="D33" s="6">
        <v>12.0</v>
      </c>
      <c r="E33" s="8">
        <v>46169.438544363424</v>
      </c>
      <c r="F33" s="2"/>
      <c r="G33" s="22">
        <v>6.0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105.0</v>
      </c>
      <c r="E34" s="8">
        <v>46169.44054578704</v>
      </c>
      <c r="F34" s="2"/>
      <c r="G34" s="22">
        <v>95.0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25.0</v>
      </c>
      <c r="E35" s="8">
        <v>46169.44342979167</v>
      </c>
      <c r="F35" s="2"/>
      <c r="G35" s="22">
        <v>219.0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140.0</v>
      </c>
      <c r="E36" s="8">
        <v>46169.455582361115</v>
      </c>
      <c r="F36" s="2"/>
      <c r="G36" s="22">
        <v>27.0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3.0</v>
      </c>
      <c r="C37" s="7" t="s">
        <v>55</v>
      </c>
      <c r="D37" s="6">
        <v>6.0</v>
      </c>
      <c r="E37" s="8">
        <v>46169.46850503472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2.0</v>
      </c>
      <c r="E38" s="8">
        <v>46169.46946578704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5.5</v>
      </c>
      <c r="E39" s="8">
        <v>46169.46951108796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2.5</v>
      </c>
      <c r="E40" s="8">
        <v>46169.46960729167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13.0</v>
      </c>
      <c r="E41" s="8">
        <v>46169.47731298611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13.0</v>
      </c>
      <c r="E42" s="8">
        <v>46169.47741912037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 t="s">
        <v>61</v>
      </c>
      <c r="C43" s="7" t="s">
        <v>62</v>
      </c>
      <c r="D43" s="6">
        <v>1.5</v>
      </c>
      <c r="E43" s="8">
        <v>46169.51267041666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1.5</v>
      </c>
      <c r="E44" s="8">
        <v>46169.51293171296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56.0</v>
      </c>
      <c r="E45" s="8">
        <v>46169.527400023144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18.0</v>
      </c>
      <c r="E46" s="8">
        <v>46169.584174131945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17.0</v>
      </c>
      <c r="E47" s="8">
        <v>46169.584298773145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6.0</v>
      </c>
      <c r="C48" s="7" t="s">
        <v>67</v>
      </c>
      <c r="D48" s="6">
        <v>1.0</v>
      </c>
      <c r="E48" s="8">
        <v>46169.58434519676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50.0</v>
      </c>
      <c r="E49" s="8">
        <v>46169.63903475694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135.0</v>
      </c>
      <c r="E50" s="8">
        <v>46169.65996135416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22.0</v>
      </c>
      <c r="E51" s="8">
        <v>46169.66120015046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15.0</v>
      </c>
      <c r="E52" s="8">
        <v>46169.661313449076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16.0</v>
      </c>
      <c r="E53" s="8">
        <v>46169.67486025463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73</v>
      </c>
      <c r="D54" s="6">
        <v>6.0</v>
      </c>
      <c r="E54" s="8">
        <v>46169.69045800926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34.0</v>
      </c>
      <c r="E55" s="8">
        <v>46169.70178751157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46.0</v>
      </c>
      <c r="E56" s="8">
        <v>46169.70184268519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76</v>
      </c>
      <c r="D57" s="6">
        <v>14.0</v>
      </c>
      <c r="E57" s="8">
        <v>46169.70880166667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77</v>
      </c>
      <c r="D58" s="6">
        <v>12.0</v>
      </c>
      <c r="E58" s="8">
        <v>46169.72832188658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15.0</v>
      </c>
      <c r="E59" s="33"/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128.0</v>
      </c>
      <c r="E60" s="33"/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4.0</v>
      </c>
      <c r="C61" s="7" t="s">
        <v>80</v>
      </c>
      <c r="D61" s="6">
        <v>64.0</v>
      </c>
      <c r="E61" s="8">
        <v>46169.7306861574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3.0</v>
      </c>
      <c r="C62" s="7" t="s">
        <v>80</v>
      </c>
      <c r="D62" s="6">
        <v>26.0</v>
      </c>
      <c r="E62" s="33"/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4.0</v>
      </c>
      <c r="E63" s="8">
        <v>46169.74261490741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26.0</v>
      </c>
      <c r="E64" s="33"/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4"/>
      <c r="D65" s="35"/>
      <c r="E65" s="33"/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4"/>
      <c r="D66" s="35"/>
      <c r="E66" s="33"/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4"/>
      <c r="D67" s="35"/>
      <c r="E67" s="33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4"/>
      <c r="D68" s="35"/>
      <c r="E68" s="33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4"/>
      <c r="D69" s="35"/>
      <c r="E69" s="33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4"/>
      <c r="D70" s="35"/>
      <c r="E70" s="33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3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3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3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3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3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3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3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3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3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3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3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3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3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3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3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3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3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3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3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3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3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3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3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3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3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3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3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3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3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3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3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3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3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3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3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3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3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3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3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3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3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3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3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3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3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3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3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3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3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3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3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3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3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3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3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3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3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3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3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3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3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3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3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3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3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3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3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3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3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3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3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3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3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3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3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3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3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3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3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3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3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3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3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3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3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3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3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3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3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3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3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3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3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3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3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3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3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3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3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3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3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3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3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3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3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3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3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3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3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3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3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3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3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3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3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3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3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3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3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3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3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3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3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3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3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3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3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3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3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3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3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3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3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3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3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3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3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3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3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3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3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3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3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3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3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3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3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3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3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3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3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3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3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3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3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3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3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3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3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3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3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3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3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3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3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3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3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3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3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3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3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3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3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3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3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3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3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3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3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3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3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3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3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3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3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3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3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3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3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3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3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3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3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3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3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3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3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3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3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3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3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3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3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3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3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3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3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3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3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3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3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3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3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3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3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3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3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3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3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3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3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3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3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3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3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3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3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3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3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3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3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