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<sst xmlns="http://schemas.openxmlformats.org/spreadsheetml/2006/main" count="120" uniqueCount="118">
  <si>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</si>
  <si>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</si>
  <si>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</si>
  <si>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</si>
  <si>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</si>
  <si>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</si>
  <si>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</si>
  <si>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nivel </t>
  </si>
  <si>
    <t>ramplis ficher 6</t>
  </si>
  <si>
    <t>MONEDAS</t>
  </si>
  <si>
    <t>CAJA CHICA</t>
  </si>
  <si>
    <t xml:space="preserve">bolsa de tamplulladrillo huceco </t>
  </si>
  <si>
    <t>BILLETES 10-20</t>
  </si>
  <si>
    <t>TOTAL VENTAS DIA</t>
  </si>
  <si>
    <t>disco concrto yusto 9</t>
  </si>
  <si>
    <t>BILLETES 50-100-200</t>
  </si>
  <si>
    <t>AUMENTO DE DINERO</t>
  </si>
  <si>
    <t xml:space="preserve">pastina </t>
  </si>
  <si>
    <t>INGRESOS YAPE</t>
  </si>
  <si>
    <t>dusco corte noron 4</t>
  </si>
  <si>
    <t>INGRESOS TARJETA</t>
  </si>
  <si>
    <t>disoc cote conrteto 9</t>
  </si>
  <si>
    <t>GASTOS VARIOS</t>
  </si>
  <si>
    <t>guanes asatex</t>
  </si>
  <si>
    <t xml:space="preserve">perlon </t>
  </si>
  <si>
    <t>DINERO GANADO HOY:</t>
  </si>
  <si>
    <t>CANTIDAD DINERO CAJA:</t>
  </si>
  <si>
    <t>m lija</t>
  </si>
  <si>
    <t>brocha palera</t>
  </si>
  <si>
    <t>3m</t>
  </si>
  <si>
    <t>lija 120</t>
  </si>
  <si>
    <t>sparlak fosco natural</t>
  </si>
  <si>
    <t>accesorion mini drill</t>
  </si>
  <si>
    <t>bandilas rosca</t>
  </si>
  <si>
    <t xml:space="preserve">grifo lavaplatos </t>
  </si>
  <si>
    <t>YAPE MAMÁ</t>
  </si>
  <si>
    <t>YAPE PAPÁ</t>
  </si>
  <si>
    <t>YAPE</t>
  </si>
  <si>
    <t>20m</t>
  </si>
  <si>
    <t>perlon 8</t>
  </si>
  <si>
    <t>Monto Total YAPE (No tocar):</t>
  </si>
  <si>
    <t>candado aever</t>
  </si>
  <si>
    <t>hilo 0,7</t>
  </si>
  <si>
    <t>Monto Total Registrado en aplicacion</t>
  </si>
  <si>
    <t>codo desague 1 1/2</t>
  </si>
  <si>
    <t>1/2m</t>
  </si>
  <si>
    <t>desague 1 1/2</t>
  </si>
  <si>
    <t>sifon corrugado astra</t>
  </si>
  <si>
    <t>adadptaddor ultra</t>
  </si>
  <si>
    <t>amoladora inco</t>
  </si>
  <si>
    <t>adaptador corriente</t>
  </si>
  <si>
    <t>mandil de cuero</t>
  </si>
  <si>
    <t>canaleador tr lateral</t>
  </si>
  <si>
    <t>PAGOS YAPE</t>
  </si>
  <si>
    <t>DESCRIPCION PAGO</t>
  </si>
  <si>
    <t>canaleador tr</t>
  </si>
  <si>
    <t>llave crecen</t>
  </si>
  <si>
    <t>alicset fuerza</t>
  </si>
  <si>
    <t>llave combinada 11</t>
  </si>
  <si>
    <t xml:space="preserve">grifo fv ducha </t>
  </si>
  <si>
    <t>escuadras</t>
  </si>
  <si>
    <t>ramplu 6 + chip</t>
  </si>
  <si>
    <t>disco madera yus</t>
  </si>
  <si>
    <t>adaptador ultr</t>
  </si>
  <si>
    <t>1 k</t>
  </si>
  <si>
    <t>alambre</t>
  </si>
  <si>
    <t>par bisagra</t>
  </si>
  <si>
    <t>candado tr</t>
  </si>
  <si>
    <t>aldaba 2</t>
  </si>
  <si>
    <t>chip 4.x30</t>
  </si>
  <si>
    <t>chip 3.5x16</t>
  </si>
  <si>
    <t>arandela 10</t>
  </si>
  <si>
    <t>broca debor fierro 2</t>
  </si>
  <si>
    <t>broca adera to 4</t>
  </si>
  <si>
    <t>perno 8x1+ aran+tuerca</t>
  </si>
  <si>
    <t>adaptador kontak</t>
  </si>
  <si>
    <t>doble contactro 3/4 tr</t>
  </si>
  <si>
    <t>dado 14 tramon</t>
  </si>
  <si>
    <t>juego adaptyadortes</t>
  </si>
  <si>
    <t>juego puntas tolsen</t>
  </si>
  <si>
    <t xml:space="preserve">gotita </t>
  </si>
  <si>
    <t>CHICOTILLO 40 COFLEX</t>
  </si>
  <si>
    <t>NIPLE 1/2</t>
  </si>
  <si>
    <t>LENTE TR</t>
  </si>
  <si>
    <t>ESCUADRAS TR</t>
  </si>
  <si>
    <t>TEE 1/2</t>
  </si>
  <si>
    <t>ALICATE PREC</t>
  </si>
  <si>
    <t>Broca irwin concreto 6</t>
  </si>
  <si>
    <t>cip 4 x 30</t>
  </si>
  <si>
    <t>silciona balnca</t>
  </si>
  <si>
    <t>chip 4x40</t>
  </si>
  <si>
    <t>clavo 2</t>
  </si>
  <si>
    <t>pupito</t>
  </si>
  <si>
    <t>carbon</t>
  </si>
  <si>
    <t>union patente 3/4</t>
  </si>
  <si>
    <t>copla 3/4</t>
  </si>
  <si>
    <t>niple 3/4</t>
  </si>
  <si>
    <t>desrmadro reversible chato</t>
  </si>
  <si>
    <t>1/2kl</t>
  </si>
  <si>
    <t>alambre gal 20</t>
  </si>
  <si>
    <t>hilo percar</t>
  </si>
  <si>
    <t>grampas 1/4</t>
  </si>
  <si>
    <t>cinta asilante</t>
  </si>
  <si>
    <t>foco tramonita 9w</t>
  </si>
  <si>
    <t xml:space="preserve">palita </t>
  </si>
  <si>
    <t>punta phioloo</t>
  </si>
  <si>
    <t>armellas cerradas</t>
  </si>
  <si>
    <t>toma sobreponer</t>
  </si>
  <si>
    <t>DADO 12 MM</t>
  </si>
  <si>
    <t>JUEGO DE DESARMADOR</t>
  </si>
  <si>
    <t>M MALLA MILIMETRIA</t>
  </si>
  <si>
    <t>ECOLE</t>
  </si>
  <si>
    <t>UNION PTANTE 3/4</t>
  </si>
  <si>
    <t>PARABON</t>
  </si>
  <si>
    <t>TAPON HEMVRA 3/4</t>
  </si>
  <si>
    <t>PRENSAL TOLSEN</t>
  </si>
  <si>
    <t>TIJERA DE AVIACION</t>
  </si>
  <si>
    <t>LLAVE DE AMOLADORA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</si>
</sst>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266.0</v>
      </c>
      <c r="E8" s="8">
        <v>46268.361975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55.0</v>
      </c>
      <c r="C9" s="7" t="s">
        <v>8</v>
      </c>
      <c r="D9" s="6">
        <v>33.0</v>
      </c>
      <c r="E9" s="8">
        <v>46268.362086203706</v>
      </c>
      <c r="F9" s="2"/>
      <c r="G9" s="9" t="s">
        <v>9</v>
      </c>
      <c r="H9" s="10">
        <v>47.0</v>
      </c>
      <c r="I9" s="2"/>
      <c r="J9" s="9" t="s">
        <v>10</v>
      </c>
      <c r="K9" s="10">
        <v>667.5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65.0</v>
      </c>
      <c r="E10" s="8">
        <v>46268.362214629626</v>
      </c>
      <c r="F10" s="2"/>
      <c r="G10" s="9" t="s">
        <v>12</v>
      </c>
      <c r="H10" s="10">
        <v>210.0</v>
      </c>
      <c r="I10" s="2"/>
      <c r="J10" s="9" t="s">
        <v>13</v>
      </c>
      <c r="K10" s="11">
        <f>SUM(PRINCIPAL[TOTAL])</f>
        <v>4359.5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95.0</v>
      </c>
      <c r="E11" s="8">
        <v>46268.36357581019</v>
      </c>
      <c r="F11" s="2"/>
      <c r="G11" s="9" t="s">
        <v>15</v>
      </c>
      <c r="H11" s="10">
        <v>2700.0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46.0</v>
      </c>
      <c r="E12" s="8">
        <v>46268.36451784722</v>
      </c>
      <c r="F12" s="2"/>
      <c r="G12" s="9" t="s">
        <v>18</v>
      </c>
      <c r="H12" s="12">
        <f>SUM(G24:H361)</f>
        <v>1993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20.0</v>
      </c>
      <c r="E13" s="8">
        <v>46268.36463888889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95.0</v>
      </c>
      <c r="E14" s="8">
        <v>46268.36473502315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10.0</v>
      </c>
      <c r="E15" s="8">
        <v>46268.364814305554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10.0</v>
      </c>
      <c r="C16" s="7" t="s">
        <v>24</v>
      </c>
      <c r="D16" s="6">
        <v>25.0</v>
      </c>
      <c r="E16" s="8">
        <v>46268.37542326389</v>
      </c>
      <c r="F16" s="2"/>
      <c r="G16" s="15" t="s">
        <v>25</v>
      </c>
      <c r="H16" s="16">
        <f>SUM(H9:H14)</f>
        <v>4950</v>
      </c>
      <c r="I16" s="3"/>
      <c r="J16" s="15" t="s">
        <v>26</v>
      </c>
      <c r="K16" s="16">
        <f>SUM(K9:K11)</f>
        <v>5027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10.0</v>
      </c>
      <c r="E17" s="8">
        <v>46268.37548993056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29.0</v>
      </c>
      <c r="E18" s="8">
        <v>46268.38163097222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77,00</v>
      </c>
      <c r="L18" s="2"/>
      <c r="M18" s="2"/>
      <c r="N18" s="2"/>
      <c r="O18" s="2"/>
      <c r="P18" s="2"/>
      <c r="Q18" s="2"/>
    </row>
    <row r="19" ht="22.5" customHeight="1">
      <c r="A19" s="13"/>
      <c r="B19" s="6" t="s">
        <v>29</v>
      </c>
      <c r="C19" s="7" t="s">
        <v>30</v>
      </c>
      <c r="D19" s="6">
        <v>30.0</v>
      </c>
      <c r="E19" s="8">
        <v>46268.39244412037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75.0</v>
      </c>
      <c r="E20" s="8">
        <v>46268.397867928245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357.0</v>
      </c>
      <c r="E21" s="8">
        <v>46268.40634703704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6.0</v>
      </c>
      <c r="C22" s="7" t="s">
        <v>33</v>
      </c>
      <c r="D22" s="6">
        <v>54.0</v>
      </c>
      <c r="E22" s="8">
        <v>46268.407102847224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130.0</v>
      </c>
      <c r="E23" s="8">
        <v>46268.41197611111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 t="s">
        <v>38</v>
      </c>
      <c r="C24" s="7" t="s">
        <v>39</v>
      </c>
      <c r="D24" s="6">
        <v>90.0</v>
      </c>
      <c r="E24" s="8">
        <v>46268.42223027778</v>
      </c>
      <c r="F24" s="2"/>
      <c r="G24" s="22">
        <v>364.0</v>
      </c>
      <c r="H24" s="23"/>
      <c r="I24" s="2"/>
      <c r="J24" s="24" t="s">
        <v>40</v>
      </c>
      <c r="K24" s="25">
        <f>SUM(INGRESOS_YAPE[])</f>
        <v>1993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41</v>
      </c>
      <c r="D25" s="6">
        <v>75.0</v>
      </c>
      <c r="E25" s="8">
        <v>46268.42498267361</v>
      </c>
      <c r="F25" s="2"/>
      <c r="G25" s="22">
        <v>29.0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42</v>
      </c>
      <c r="D26" s="6">
        <v>21.0</v>
      </c>
      <c r="E26" s="8">
        <v>46268.427063587966</v>
      </c>
      <c r="F26" s="2"/>
      <c r="G26" s="26">
        <v>75.0</v>
      </c>
      <c r="H26" s="23"/>
      <c r="I26" s="2"/>
      <c r="J26" s="27" t="s">
        <v>43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44</v>
      </c>
      <c r="D27" s="6">
        <v>3.5</v>
      </c>
      <c r="E27" s="8">
        <v>46268.43130804398</v>
      </c>
      <c r="F27" s="2"/>
      <c r="G27" s="22">
        <v>357.0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 t="s">
        <v>45</v>
      </c>
      <c r="C28" s="7" t="s">
        <v>46</v>
      </c>
      <c r="D28" s="6">
        <v>5.0</v>
      </c>
      <c r="E28" s="8">
        <v>46268.43140447917</v>
      </c>
      <c r="F28" s="2"/>
      <c r="G28" s="22">
        <v>100.0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47</v>
      </c>
      <c r="D29" s="6">
        <v>58.0</v>
      </c>
      <c r="E29" s="8">
        <v>46268.431496226855</v>
      </c>
      <c r="F29" s="2"/>
      <c r="G29" s="22">
        <v>386.0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1993,00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48</v>
      </c>
      <c r="D30" s="30">
        <v>8.0</v>
      </c>
      <c r="E30" s="8">
        <v>46268.435369375</v>
      </c>
      <c r="F30" s="2"/>
      <c r="G30" s="22">
        <v>111.5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49</v>
      </c>
      <c r="D31" s="6">
        <v>386.0</v>
      </c>
      <c r="E31" s="8">
        <v>46268.446488472226</v>
      </c>
      <c r="F31" s="2"/>
      <c r="G31" s="22">
        <v>295.0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50</v>
      </c>
      <c r="D32" s="6">
        <v>15.0</v>
      </c>
      <c r="E32" s="8">
        <v>46268.44808998842</v>
      </c>
      <c r="F32" s="2"/>
      <c r="G32" s="22">
        <v>70.0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51</v>
      </c>
      <c r="D33" s="30">
        <v>58.0</v>
      </c>
      <c r="E33" s="8">
        <v>46268.45054774305</v>
      </c>
      <c r="F33" s="2"/>
      <c r="G33" s="22">
        <v>33.0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52</v>
      </c>
      <c r="D34" s="6">
        <v>70.0</v>
      </c>
      <c r="E34" s="8">
        <v>46268.4532406713</v>
      </c>
      <c r="F34" s="2"/>
      <c r="G34" s="22">
        <v>12.0</v>
      </c>
      <c r="H34" s="23"/>
      <c r="I34" s="2"/>
      <c r="J34" s="31" t="s">
        <v>53</v>
      </c>
      <c r="K34" s="31" t="s">
        <v>54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2.0</v>
      </c>
      <c r="C35" s="7" t="s">
        <v>55</v>
      </c>
      <c r="D35" s="6">
        <v>200.0</v>
      </c>
      <c r="E35" s="8">
        <v>46268.45315813657</v>
      </c>
      <c r="F35" s="2"/>
      <c r="G35" s="22">
        <v>42.0</v>
      </c>
      <c r="H35" s="23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56</v>
      </c>
      <c r="D36" s="6">
        <v>51.0</v>
      </c>
      <c r="E36" s="8">
        <v>46268.460436423615</v>
      </c>
      <c r="F36" s="2"/>
      <c r="G36" s="22">
        <v>48.5</v>
      </c>
      <c r="H36" s="23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57</v>
      </c>
      <c r="D37" s="6">
        <v>45.5</v>
      </c>
      <c r="E37" s="8">
        <v>46268.460386701394</v>
      </c>
      <c r="F37" s="2"/>
      <c r="G37" s="22">
        <v>62.0</v>
      </c>
      <c r="H37" s="23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58</v>
      </c>
      <c r="D38" s="6">
        <v>15.0</v>
      </c>
      <c r="E38" s="8">
        <v>46268.46028033565</v>
      </c>
      <c r="F38" s="2"/>
      <c r="G38" s="22">
        <v>8.0</v>
      </c>
      <c r="H38" s="23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59</v>
      </c>
      <c r="D39" s="6">
        <v>295.0</v>
      </c>
      <c r="E39" s="8">
        <v>46268.4679702662</v>
      </c>
      <c r="F39" s="2"/>
      <c r="G39" s="23"/>
      <c r="H39" s="23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60</v>
      </c>
      <c r="D40" s="6">
        <v>16.0</v>
      </c>
      <c r="E40" s="8">
        <v>46268.474599444446</v>
      </c>
      <c r="F40" s="2"/>
      <c r="G40" s="23"/>
      <c r="H40" s="23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>
        <v>18.0</v>
      </c>
      <c r="C41" s="7" t="s">
        <v>61</v>
      </c>
      <c r="D41" s="6">
        <v>5.5</v>
      </c>
      <c r="E41" s="8">
        <v>46268.47478903935</v>
      </c>
      <c r="F41" s="2"/>
      <c r="G41" s="23"/>
      <c r="H41" s="23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62</v>
      </c>
      <c r="D42" s="6">
        <v>70.0</v>
      </c>
      <c r="E42" s="8">
        <v>46268.474906284726</v>
      </c>
      <c r="F42" s="2"/>
      <c r="G42" s="23"/>
      <c r="H42" s="23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63</v>
      </c>
      <c r="D43" s="6">
        <v>6.0</v>
      </c>
      <c r="E43" s="8">
        <v>46268.479654282404</v>
      </c>
      <c r="F43" s="2"/>
      <c r="G43" s="23"/>
      <c r="H43" s="23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 t="s">
        <v>64</v>
      </c>
      <c r="C44" s="7" t="s">
        <v>65</v>
      </c>
      <c r="D44" s="6">
        <v>20.0</v>
      </c>
      <c r="E44" s="8">
        <v>46268.50230989583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66</v>
      </c>
      <c r="D45" s="6">
        <v>3.5</v>
      </c>
      <c r="E45" s="8">
        <v>46268.510341932866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67</v>
      </c>
      <c r="D46" s="6">
        <v>12.0</v>
      </c>
      <c r="E46" s="8">
        <v>46268.510615231484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68</v>
      </c>
      <c r="D47" s="6">
        <v>5.0</v>
      </c>
      <c r="E47" s="8">
        <v>46268.51066605324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6.0</v>
      </c>
      <c r="C48" s="7" t="s">
        <v>61</v>
      </c>
      <c r="D48" s="6">
        <v>0.5</v>
      </c>
      <c r="E48" s="8">
        <v>46268.51073759259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6.0</v>
      </c>
      <c r="C49" s="7" t="s">
        <v>69</v>
      </c>
      <c r="D49" s="6">
        <v>1.5</v>
      </c>
      <c r="E49" s="8">
        <v>46268.51084420139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12.0</v>
      </c>
      <c r="C50" s="7" t="s">
        <v>70</v>
      </c>
      <c r="D50" s="6">
        <v>1.0</v>
      </c>
      <c r="E50" s="8">
        <v>46268.51097969907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12.0</v>
      </c>
      <c r="C51" s="7" t="s">
        <v>71</v>
      </c>
      <c r="D51" s="6">
        <v>2.0</v>
      </c>
      <c r="E51" s="8">
        <v>46268.511043136576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72</v>
      </c>
      <c r="D52" s="6">
        <v>12.5</v>
      </c>
      <c r="E52" s="8">
        <v>46268.51123056713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73</v>
      </c>
      <c r="D53" s="6">
        <v>6.0</v>
      </c>
      <c r="E53" s="8">
        <v>46268.51132469907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7.0</v>
      </c>
      <c r="C54" s="7" t="s">
        <v>74</v>
      </c>
      <c r="D54" s="30">
        <v>4.0</v>
      </c>
      <c r="E54" s="8">
        <v>46268.511684756944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15.0</v>
      </c>
      <c r="E55" s="8">
        <v>46268.51331277778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6">
        <v>33.0</v>
      </c>
      <c r="E56" s="8">
        <v>46268.53464302083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77</v>
      </c>
      <c r="D57" s="6">
        <v>96.0</v>
      </c>
      <c r="E57" s="8">
        <v>46268.5846865162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78</v>
      </c>
      <c r="D58" s="6">
        <v>40.0</v>
      </c>
      <c r="E58" s="8">
        <v>46268.584759375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79</v>
      </c>
      <c r="D59" s="6">
        <v>97.0</v>
      </c>
      <c r="E59" s="8">
        <v>46268.584822777775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11.0</v>
      </c>
      <c r="E60" s="8">
        <v>46268.585043240746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55.0</v>
      </c>
      <c r="E61" s="8">
        <v>46268.591394641204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2.0</v>
      </c>
      <c r="E62" s="8">
        <v>46268.59143959491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83</v>
      </c>
      <c r="D63" s="6">
        <v>17.0</v>
      </c>
      <c r="E63" s="8">
        <v>46268.59150685185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84</v>
      </c>
      <c r="D64" s="30">
        <v>12.0</v>
      </c>
      <c r="E64" s="8">
        <v>46268.61647842593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18.5</v>
      </c>
      <c r="E65" s="8">
        <v>46268.63015891204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86</v>
      </c>
      <c r="D66" s="6">
        <v>42.0</v>
      </c>
      <c r="E66" s="8">
        <v>46268.63726246528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12.0</v>
      </c>
      <c r="C67" s="7" t="s">
        <v>87</v>
      </c>
      <c r="D67" s="6">
        <v>22.0</v>
      </c>
      <c r="E67" s="8">
        <v>46268.638681701384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12.0</v>
      </c>
      <c r="C68" s="7" t="s">
        <v>61</v>
      </c>
      <c r="D68" s="6">
        <v>1.5</v>
      </c>
      <c r="E68" s="8">
        <v>46268.63885344907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12.0</v>
      </c>
      <c r="C69" s="7" t="s">
        <v>88</v>
      </c>
      <c r="D69" s="6">
        <v>2.5</v>
      </c>
      <c r="E69" s="8">
        <v>46268.63890877315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26.0</v>
      </c>
      <c r="E70" s="8">
        <v>46268.63937388889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6.0</v>
      </c>
      <c r="C71" s="7" t="s">
        <v>90</v>
      </c>
      <c r="D71" s="6">
        <v>1.5</v>
      </c>
      <c r="E71" s="8">
        <v>46268.65419717593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91</v>
      </c>
      <c r="D72" s="6">
        <v>20.0</v>
      </c>
      <c r="E72" s="8">
        <v>46268.654128738424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92</v>
      </c>
      <c r="D73" s="6">
        <v>27.0</v>
      </c>
      <c r="E73" s="8">
        <v>46268.65409188658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34">
        <v>23.0</v>
      </c>
      <c r="E74" s="8">
        <v>46268.6828065625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6">
        <v>2.0</v>
      </c>
      <c r="B75" s="6">
        <v>2.0</v>
      </c>
      <c r="C75" s="7" t="s">
        <v>94</v>
      </c>
      <c r="D75" s="6">
        <v>28.0</v>
      </c>
      <c r="E75" s="8">
        <v>46268.700387997684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95</v>
      </c>
      <c r="D76" s="6">
        <v>8.0</v>
      </c>
      <c r="E76" s="8">
        <v>46268.70034805556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96</v>
      </c>
      <c r="D77" s="6">
        <v>6.0</v>
      </c>
      <c r="E77" s="8">
        <v>46268.70030148148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97</v>
      </c>
      <c r="D78" s="6">
        <v>17.0</v>
      </c>
      <c r="E78" s="8">
        <v>46268.70232418981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 t="s">
        <v>98</v>
      </c>
      <c r="C79" s="7" t="s">
        <v>99</v>
      </c>
      <c r="D79" s="6">
        <v>15.0</v>
      </c>
      <c r="E79" s="8">
        <v>46268.70899358796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100</v>
      </c>
      <c r="D80" s="30">
        <v>9.0</v>
      </c>
      <c r="E80" s="8">
        <v>46268.70886351852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3.0</v>
      </c>
      <c r="C81" s="7" t="s">
        <v>101</v>
      </c>
      <c r="D81" s="6">
        <v>24.0</v>
      </c>
      <c r="E81" s="8">
        <v>46268.708810428245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102</v>
      </c>
      <c r="D82" s="6">
        <v>14.0</v>
      </c>
      <c r="E82" s="8">
        <v>46268.70873694445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103</v>
      </c>
      <c r="D83" s="6">
        <v>44.0</v>
      </c>
      <c r="E83" s="8">
        <v>46268.7155703125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104</v>
      </c>
      <c r="D84" s="6">
        <v>90.0</v>
      </c>
      <c r="E84" s="8">
        <v>46268.719233738426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105</v>
      </c>
      <c r="D85" s="6">
        <v>4.0</v>
      </c>
      <c r="E85" s="8">
        <v>46268.73344239584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106</v>
      </c>
      <c r="D86" s="6">
        <v>4.0</v>
      </c>
      <c r="E86" s="8">
        <v>46268.733510729166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107</v>
      </c>
      <c r="D87" s="6">
        <v>20.0</v>
      </c>
      <c r="E87" s="8">
        <v>46268.73617640046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108</v>
      </c>
      <c r="D88" s="6">
        <v>30.0</v>
      </c>
      <c r="E88" s="8">
        <v>46268.74917329861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109</v>
      </c>
      <c r="D89" s="6">
        <v>125.0</v>
      </c>
      <c r="E89" s="8">
        <v>46268.75235574074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110</v>
      </c>
      <c r="D90" s="6">
        <v>19.0</v>
      </c>
      <c r="E90" s="8">
        <v>46268.755602743055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111</v>
      </c>
      <c r="D91" s="6">
        <v>10.0</v>
      </c>
      <c r="E91" s="8">
        <v>46268.76143185185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112</v>
      </c>
      <c r="D92" s="6">
        <v>29.0</v>
      </c>
      <c r="E92" s="8">
        <v>46268.76148880787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113</v>
      </c>
      <c r="D93" s="6">
        <v>68.0</v>
      </c>
      <c r="E93" s="8">
        <v>46268.76152965278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114</v>
      </c>
      <c r="D94" s="6">
        <v>3.0</v>
      </c>
      <c r="E94" s="8">
        <v>46268.761603935185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2.0</v>
      </c>
      <c r="C95" s="7" t="s">
        <v>115</v>
      </c>
      <c r="D95" s="6">
        <v>120.0</v>
      </c>
      <c r="E95" s="8">
        <v>46268.7662074074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116</v>
      </c>
      <c r="D96" s="6">
        <v>148.0</v>
      </c>
      <c r="E96" s="8">
        <v>46268.7669155787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117</v>
      </c>
      <c r="D97" s="6">
        <v>61.0</v>
      </c>
      <c r="E97" s="8">
        <v>46268.767011331016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5"/>
      <c r="D98" s="36"/>
      <c r="E98" s="37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5"/>
      <c r="D99" s="36"/>
      <c r="E99" s="37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5"/>
      <c r="D100" s="36"/>
      <c r="E100" s="37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5"/>
      <c r="D101" s="36"/>
      <c r="E101" s="37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5"/>
      <c r="D102" s="36"/>
      <c r="E102" s="37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5"/>
      <c r="D103" s="36"/>
      <c r="E103" s="37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5"/>
      <c r="D104" s="36"/>
      <c r="E104" s="37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5"/>
      <c r="D105" s="36"/>
      <c r="E105" s="37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5"/>
      <c r="D106" s="36"/>
      <c r="E106" s="37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5"/>
      <c r="D107" s="36"/>
      <c r="E107" s="37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5"/>
      <c r="D108" s="36"/>
      <c r="E108" s="37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5"/>
      <c r="D109" s="36"/>
      <c r="E109" s="37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5"/>
      <c r="D110" s="36"/>
      <c r="E110" s="37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5"/>
      <c r="D111" s="36"/>
      <c r="E111" s="37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5"/>
      <c r="D112" s="36"/>
      <c r="E112" s="37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5"/>
      <c r="D113" s="36"/>
      <c r="E113" s="37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5"/>
      <c r="D114" s="36"/>
      <c r="E114" s="37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5"/>
      <c r="D115" s="36"/>
      <c r="E115" s="37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5"/>
      <c r="D116" s="36"/>
      <c r="E116" s="37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5"/>
      <c r="D117" s="36"/>
      <c r="E117" s="37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5"/>
      <c r="D118" s="36"/>
      <c r="E118" s="37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5"/>
      <c r="D119" s="36"/>
      <c r="E119" s="37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5"/>
      <c r="D120" s="36"/>
      <c r="E120" s="37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5"/>
      <c r="D121" s="36"/>
      <c r="E121" s="37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5"/>
      <c r="D122" s="36"/>
      <c r="E122" s="37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5"/>
      <c r="D123" s="36"/>
      <c r="E123" s="37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5"/>
      <c r="D124" s="36"/>
      <c r="E124" s="37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5"/>
      <c r="D125" s="36"/>
      <c r="E125" s="37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5"/>
      <c r="D126" s="36"/>
      <c r="E126" s="37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5"/>
      <c r="D127" s="36"/>
      <c r="E127" s="37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5"/>
      <c r="D128" s="36"/>
      <c r="E128" s="37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5"/>
      <c r="D129" s="36"/>
      <c r="E129" s="37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5"/>
      <c r="D130" s="36"/>
      <c r="E130" s="37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5"/>
      <c r="D131" s="36"/>
      <c r="E131" s="37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5"/>
      <c r="D132" s="36"/>
      <c r="E132" s="37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5"/>
      <c r="D133" s="36"/>
      <c r="E133" s="37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5"/>
      <c r="D134" s="36"/>
      <c r="E134" s="37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5"/>
      <c r="D135" s="36"/>
      <c r="E135" s="37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5"/>
      <c r="D136" s="36"/>
      <c r="E136" s="37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5"/>
      <c r="D137" s="36"/>
      <c r="E137" s="37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5"/>
      <c r="D138" s="36"/>
      <c r="E138" s="37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5"/>
      <c r="D139" s="36"/>
      <c r="E139" s="37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5"/>
      <c r="D140" s="36"/>
      <c r="E140" s="37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5"/>
      <c r="D141" s="36"/>
      <c r="E141" s="37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5"/>
      <c r="D142" s="36"/>
      <c r="E142" s="37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5"/>
      <c r="D143" s="36"/>
      <c r="E143" s="37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5"/>
      <c r="D144" s="36"/>
      <c r="E144" s="37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5"/>
      <c r="D145" s="36"/>
      <c r="E145" s="37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5"/>
      <c r="D146" s="36"/>
      <c r="E146" s="37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5"/>
      <c r="D147" s="36"/>
      <c r="E147" s="37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5"/>
      <c r="D148" s="36"/>
      <c r="E148" s="37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5"/>
      <c r="D149" s="36"/>
      <c r="E149" s="37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5"/>
      <c r="D150" s="36"/>
      <c r="E150" s="37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5"/>
      <c r="D151" s="36"/>
      <c r="E151" s="37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5"/>
      <c r="D152" s="36"/>
      <c r="E152" s="37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5"/>
      <c r="D153" s="36"/>
      <c r="E153" s="37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5"/>
      <c r="D154" s="36"/>
      <c r="E154" s="37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5"/>
      <c r="D155" s="36"/>
      <c r="E155" s="37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5"/>
      <c r="D156" s="36"/>
      <c r="E156" s="37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5"/>
      <c r="D157" s="36"/>
      <c r="E157" s="37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5"/>
      <c r="D158" s="36"/>
      <c r="E158" s="37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5"/>
      <c r="D159" s="36"/>
      <c r="E159" s="37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5"/>
      <c r="D160" s="36"/>
      <c r="E160" s="37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5"/>
      <c r="D161" s="36"/>
      <c r="E161" s="37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5"/>
      <c r="D162" s="36"/>
      <c r="E162" s="37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5"/>
      <c r="D163" s="36"/>
      <c r="E163" s="37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5"/>
      <c r="D164" s="36"/>
      <c r="E164" s="37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5"/>
      <c r="D165" s="36"/>
      <c r="E165" s="37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5"/>
      <c r="D166" s="36"/>
      <c r="E166" s="37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5"/>
      <c r="D167" s="36"/>
      <c r="E167" s="37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5"/>
      <c r="D168" s="36"/>
      <c r="E168" s="37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5"/>
      <c r="D169" s="36"/>
      <c r="E169" s="37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5"/>
      <c r="D170" s="36"/>
      <c r="E170" s="37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5"/>
      <c r="D171" s="36"/>
      <c r="E171" s="37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5"/>
      <c r="D172" s="36"/>
      <c r="E172" s="37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5"/>
      <c r="D173" s="36"/>
      <c r="E173" s="37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5"/>
      <c r="D174" s="36"/>
      <c r="E174" s="37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5"/>
      <c r="D175" s="36"/>
      <c r="E175" s="37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5"/>
      <c r="D176" s="36"/>
      <c r="E176" s="37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5"/>
      <c r="D177" s="36"/>
      <c r="E177" s="37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5"/>
      <c r="D178" s="36"/>
      <c r="E178" s="37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5"/>
      <c r="D179" s="36"/>
      <c r="E179" s="37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5"/>
      <c r="D180" s="36"/>
      <c r="E180" s="37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5"/>
      <c r="D181" s="36"/>
      <c r="E181" s="37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5"/>
      <c r="D182" s="36"/>
      <c r="E182" s="37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5"/>
      <c r="D183" s="36"/>
      <c r="E183" s="37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5"/>
      <c r="D184" s="36"/>
      <c r="E184" s="37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5"/>
      <c r="D185" s="36"/>
      <c r="E185" s="37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5"/>
      <c r="D186" s="36"/>
      <c r="E186" s="37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5"/>
      <c r="D187" s="36"/>
      <c r="E187" s="37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5"/>
      <c r="D188" s="36"/>
      <c r="E188" s="37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5"/>
      <c r="D189" s="36"/>
      <c r="E189" s="37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5"/>
      <c r="D190" s="36"/>
      <c r="E190" s="37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5"/>
      <c r="D191" s="36"/>
      <c r="E191" s="37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5"/>
      <c r="D192" s="36"/>
      <c r="E192" s="37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5"/>
      <c r="D193" s="36"/>
      <c r="E193" s="37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5"/>
      <c r="D194" s="36"/>
      <c r="E194" s="37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5"/>
      <c r="D195" s="36"/>
      <c r="E195" s="37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5"/>
      <c r="D196" s="36"/>
      <c r="E196" s="37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5"/>
      <c r="D197" s="36"/>
      <c r="E197" s="37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5"/>
      <c r="D198" s="36"/>
      <c r="E198" s="37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5"/>
      <c r="D199" s="36"/>
      <c r="E199" s="37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5"/>
      <c r="D200" s="36"/>
      <c r="E200" s="37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5"/>
      <c r="D201" s="36"/>
      <c r="E201" s="37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5"/>
      <c r="D202" s="36"/>
      <c r="E202" s="37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5"/>
      <c r="D203" s="36"/>
      <c r="E203" s="37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5"/>
      <c r="D204" s="36"/>
      <c r="E204" s="37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5"/>
      <c r="D205" s="36"/>
      <c r="E205" s="37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5"/>
      <c r="D206" s="36"/>
      <c r="E206" s="37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5"/>
      <c r="D207" s="36"/>
      <c r="E207" s="37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5"/>
      <c r="D208" s="36"/>
      <c r="E208" s="37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5"/>
      <c r="D209" s="36"/>
      <c r="E209" s="37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5"/>
      <c r="D210" s="36"/>
      <c r="E210" s="37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5"/>
      <c r="D211" s="36"/>
      <c r="E211" s="37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5"/>
      <c r="D212" s="36"/>
      <c r="E212" s="37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5"/>
      <c r="D213" s="36"/>
      <c r="E213" s="37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5"/>
      <c r="D214" s="36"/>
      <c r="E214" s="37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5"/>
      <c r="D215" s="36"/>
      <c r="E215" s="37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5"/>
      <c r="D216" s="36"/>
      <c r="E216" s="37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5"/>
      <c r="D217" s="36"/>
      <c r="E217" s="37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5"/>
      <c r="D218" s="36"/>
      <c r="E218" s="37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5"/>
      <c r="D219" s="36"/>
      <c r="E219" s="37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5"/>
      <c r="D220" s="36"/>
      <c r="E220" s="37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5"/>
      <c r="D221" s="36"/>
      <c r="E221" s="37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5"/>
      <c r="D222" s="36"/>
      <c r="E222" s="37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5"/>
      <c r="D223" s="36"/>
      <c r="E223" s="37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5"/>
      <c r="D224" s="36"/>
      <c r="E224" s="37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5"/>
      <c r="D225" s="36"/>
      <c r="E225" s="37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5"/>
      <c r="D226" s="36"/>
      <c r="E226" s="37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5"/>
      <c r="D227" s="36"/>
      <c r="E227" s="37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5"/>
      <c r="D228" s="36"/>
      <c r="E228" s="37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5"/>
      <c r="D229" s="36"/>
      <c r="E229" s="37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5"/>
      <c r="D230" s="36"/>
      <c r="E230" s="37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5"/>
      <c r="D231" s="36"/>
      <c r="E231" s="37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5"/>
      <c r="D232" s="36"/>
      <c r="E232" s="37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5"/>
      <c r="D233" s="36"/>
      <c r="E233" s="37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5"/>
      <c r="D234" s="36"/>
      <c r="E234" s="37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5"/>
      <c r="D235" s="36"/>
      <c r="E235" s="37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5"/>
      <c r="D236" s="36"/>
      <c r="E236" s="37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5"/>
      <c r="D237" s="36"/>
      <c r="E237" s="37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5"/>
      <c r="D238" s="36"/>
      <c r="E238" s="37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5"/>
      <c r="D239" s="36"/>
      <c r="E239" s="37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5"/>
      <c r="D240" s="36"/>
      <c r="E240" s="37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5"/>
      <c r="D241" s="36"/>
      <c r="E241" s="37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5"/>
      <c r="D242" s="36"/>
      <c r="E242" s="37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5"/>
      <c r="D243" s="36"/>
      <c r="E243" s="37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5"/>
      <c r="D244" s="36"/>
      <c r="E244" s="37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5"/>
      <c r="D245" s="36"/>
      <c r="E245" s="37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5"/>
      <c r="D246" s="36"/>
      <c r="E246" s="37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5"/>
      <c r="D247" s="36"/>
      <c r="E247" s="37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5"/>
      <c r="D248" s="36"/>
      <c r="E248" s="37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5"/>
      <c r="D249" s="36"/>
      <c r="E249" s="37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5"/>
      <c r="D250" s="36"/>
      <c r="E250" s="37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5"/>
      <c r="D251" s="36"/>
      <c r="E251" s="37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5"/>
      <c r="D252" s="36"/>
      <c r="E252" s="37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5"/>
      <c r="D253" s="36"/>
      <c r="E253" s="37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5"/>
      <c r="D254" s="36"/>
      <c r="E254" s="37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5"/>
      <c r="D255" s="36"/>
      <c r="E255" s="37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5"/>
      <c r="D256" s="36"/>
      <c r="E256" s="37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5"/>
      <c r="D257" s="36"/>
      <c r="E257" s="37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5"/>
      <c r="D258" s="36"/>
      <c r="E258" s="37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5"/>
      <c r="D259" s="36"/>
      <c r="E259" s="37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5"/>
      <c r="D260" s="36"/>
      <c r="E260" s="37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5"/>
      <c r="D261" s="36"/>
      <c r="E261" s="37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5"/>
      <c r="D262" s="36"/>
      <c r="E262" s="37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5"/>
      <c r="D263" s="36"/>
      <c r="E263" s="37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5"/>
      <c r="D264" s="36"/>
      <c r="E264" s="37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5"/>
      <c r="D265" s="36"/>
      <c r="E265" s="37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5"/>
      <c r="D266" s="36"/>
      <c r="E266" s="37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5"/>
      <c r="D267" s="36"/>
      <c r="E267" s="37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5"/>
      <c r="D268" s="36"/>
      <c r="E268" s="37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5"/>
      <c r="D269" s="36"/>
      <c r="E269" s="37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5"/>
      <c r="D270" s="36"/>
      <c r="E270" s="37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5"/>
      <c r="D271" s="36"/>
      <c r="E271" s="37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5"/>
      <c r="D272" s="36"/>
      <c r="E272" s="37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5"/>
      <c r="D273" s="36"/>
      <c r="E273" s="37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5"/>
      <c r="D274" s="36"/>
      <c r="E274" s="37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5"/>
      <c r="D275" s="36"/>
      <c r="E275" s="37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5"/>
      <c r="D276" s="36"/>
      <c r="E276" s="37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5"/>
      <c r="D277" s="36"/>
      <c r="E277" s="37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5"/>
      <c r="D278" s="36"/>
      <c r="E278" s="37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5"/>
      <c r="D279" s="36"/>
      <c r="E279" s="37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5"/>
      <c r="D280" s="36"/>
      <c r="E280" s="37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5"/>
      <c r="D281" s="36"/>
      <c r="E281" s="37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5"/>
      <c r="D282" s="36"/>
      <c r="E282" s="37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5"/>
      <c r="D283" s="36"/>
      <c r="E283" s="37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5"/>
      <c r="D284" s="36"/>
      <c r="E284" s="37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5"/>
      <c r="D285" s="36"/>
      <c r="E285" s="37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5"/>
      <c r="D286" s="36"/>
      <c r="E286" s="37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5"/>
      <c r="D287" s="36"/>
      <c r="E287" s="37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5"/>
      <c r="D288" s="36"/>
      <c r="E288" s="37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5"/>
      <c r="D289" s="36"/>
      <c r="E289" s="37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5"/>
      <c r="D290" s="36"/>
      <c r="E290" s="37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5"/>
      <c r="D291" s="36"/>
      <c r="E291" s="37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5"/>
      <c r="D292" s="36"/>
      <c r="E292" s="37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5"/>
      <c r="D293" s="36"/>
      <c r="E293" s="37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5"/>
      <c r="D294" s="36"/>
      <c r="E294" s="37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5"/>
      <c r="D295" s="36"/>
      <c r="E295" s="37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5"/>
      <c r="D296" s="36"/>
      <c r="E296" s="37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5"/>
      <c r="D297" s="36"/>
      <c r="E297" s="37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5"/>
      <c r="D298" s="36"/>
      <c r="E298" s="37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5"/>
      <c r="D299" s="36"/>
      <c r="E299" s="37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5"/>
      <c r="D300" s="36"/>
      <c r="E300" s="37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5"/>
      <c r="D301" s="36"/>
      <c r="E301" s="37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