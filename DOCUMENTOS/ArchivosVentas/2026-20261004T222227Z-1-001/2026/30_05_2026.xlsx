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<sst xmlns="http://schemas.openxmlformats.org/spreadsheetml/2006/main" count="92" uniqueCount="91">
  <si>
    <t>HOJA DE CALCULO FERRETERIA</t>
  </si>
  <si>
    <t>CODIGO</t>
  </si>
  <si>
    <t>CANTIDAD</t>
  </si>
  <si>
    <t>DESCRIPCION</t>
  </si>
  <si>
    <t>TOTAL</t>
  </si>
  <si>
    <t>HORA</t>
  </si>
  <si>
    <t>CUADRAR</t>
  </si>
  <si>
    <t>llave combinada 10</t>
  </si>
  <si>
    <t>anticorrosivo lumini</t>
  </si>
  <si>
    <t>MONEDAS</t>
  </si>
  <si>
    <t>CAJA CHICA</t>
  </si>
  <si>
    <t>cepillo aceo</t>
  </si>
  <si>
    <t>BILLETES 10-20</t>
  </si>
  <si>
    <t>TOTAL VENTAS DIA</t>
  </si>
  <si>
    <t>linternas hr</t>
  </si>
  <si>
    <t>BILLETES 50-100-200</t>
  </si>
  <si>
    <t>AUMENTO DE DINERO</t>
  </si>
  <si>
    <t>codo 1/2 tigre</t>
  </si>
  <si>
    <t>INGRESOS YAPE</t>
  </si>
  <si>
    <t>union patnete  1/2 tigre</t>
  </si>
  <si>
    <t>INGRESOS TARJETA</t>
  </si>
  <si>
    <t>rastrillo</t>
  </si>
  <si>
    <t>GASTOS VARIOS</t>
  </si>
  <si>
    <t>m enchaquetdo</t>
  </si>
  <si>
    <t>souet</t>
  </si>
  <si>
    <t>DINERO GANADO HOY:</t>
  </si>
  <si>
    <t>CANTIDAD DINERO CAJA:</t>
  </si>
  <si>
    <t>clavija</t>
  </si>
  <si>
    <t>ramplu 6</t>
  </si>
  <si>
    <t>chip</t>
  </si>
  <si>
    <t>broca concreto 6</t>
  </si>
  <si>
    <t>arandelas</t>
  </si>
  <si>
    <t>CARBON</t>
  </si>
  <si>
    <t>MARTILLO DIAMANTE</t>
  </si>
  <si>
    <t>YAPE MAMÁ</t>
  </si>
  <si>
    <t>YAPE PAPÁ</t>
  </si>
  <si>
    <t>YAPE</t>
  </si>
  <si>
    <t>TACHUELAS</t>
  </si>
  <si>
    <t>Monto Total YAPE (No tocar):</t>
  </si>
  <si>
    <t>BROCA CONCRETO 6</t>
  </si>
  <si>
    <t>ADAPTADRO 1/2</t>
  </si>
  <si>
    <t>Monto Total Registrado en aplicacion</t>
  </si>
  <si>
    <t>TAPON1/2 TIGRE</t>
  </si>
  <si>
    <t>ARMELLA + RAMPLU</t>
  </si>
  <si>
    <t>SILICONA AMERICAN</t>
  </si>
  <si>
    <t>PERNOS PARZ INODORO</t>
  </si>
  <si>
    <t>ASPERSOR TRPEF</t>
  </si>
  <si>
    <t>ASÉPERSOR TUREPR</t>
  </si>
  <si>
    <t>JUEGO DE HERRAMIENTA TAMONTA</t>
  </si>
  <si>
    <t>SILICONA NEGRA</t>
  </si>
  <si>
    <t>PAGOS YAPE</t>
  </si>
  <si>
    <t>DESCRIPCION PAGO</t>
  </si>
  <si>
    <t>CLEFA 220</t>
  </si>
  <si>
    <t>THENER</t>
  </si>
  <si>
    <t>SISNTETICA NEGRO L</t>
  </si>
  <si>
    <t>GOTITA</t>
  </si>
  <si>
    <t>JUEGO DE LIJAS</t>
  </si>
  <si>
    <t>CEPILLOC COPA</t>
  </si>
  <si>
    <t>JEUGO DE CEPILLOS</t>
  </si>
  <si>
    <t>DISCO IERRO 7</t>
  </si>
  <si>
    <t>DISCO CORTE UYUST</t>
  </si>
  <si>
    <t>ROLLO CABLE BIPOLAR 18</t>
  </si>
  <si>
    <t>CINTA ASILANTE</t>
  </si>
  <si>
    <t>ELECTODO LUMINIO</t>
  </si>
  <si>
    <t>SILICONA TRNAS</t>
  </si>
  <si>
    <t>placa triaple tramon</t>
  </si>
  <si>
    <t>modulos toma tramon</t>
  </si>
  <si>
    <t>placa doble tramon</t>
  </si>
  <si>
    <t>caja 15x15 con tetones</t>
  </si>
  <si>
    <t>15m</t>
  </si>
  <si>
    <t>cable 7h 14</t>
  </si>
  <si>
    <t>pasa cable 15m</t>
  </si>
  <si>
    <t>ducha corona</t>
  </si>
  <si>
    <t>acople rapido</t>
  </si>
  <si>
    <t>pico tr</t>
  </si>
  <si>
    <t>rollo aluban 10x10</t>
  </si>
  <si>
    <t>broca madera 8 mm</t>
  </si>
  <si>
    <t>codo 1 1/2</t>
  </si>
  <si>
    <t>8m</t>
  </si>
  <si>
    <t>peron 12</t>
  </si>
  <si>
    <t>juego desarmadores de golpe</t>
  </si>
  <si>
    <t>kl alambre de amrrete</t>
  </si>
  <si>
    <t>acoplede riego</t>
  </si>
  <si>
    <t>pico tramon</t>
  </si>
  <si>
    <t>brocha atlas 3</t>
  </si>
  <si>
    <t>chip 5x70</t>
  </si>
  <si>
    <t>ramplu 8 lh</t>
  </si>
  <si>
    <t>1/2 kg</t>
  </si>
  <si>
    <t>eectrodo</t>
  </si>
  <si>
    <t>amoladora 4 truper</t>
  </si>
  <si>
    <t>bateria reargable voltech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</si>
</sst>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16.0</v>
      </c>
      <c r="E8" s="8">
        <v>46172.37126438657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75.0</v>
      </c>
      <c r="E9" s="8">
        <v>46172.373679641205</v>
      </c>
      <c r="F9" s="2"/>
      <c r="G9" s="9" t="s">
        <v>9</v>
      </c>
      <c r="H9" s="10">
        <v>170.0</v>
      </c>
      <c r="I9" s="2"/>
      <c r="J9" s="9" t="s">
        <v>10</v>
      </c>
      <c r="K9" s="10">
        <v>849.0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8.0</v>
      </c>
      <c r="E10" s="8">
        <v>46172.373747708334</v>
      </c>
      <c r="F10" s="2"/>
      <c r="G10" s="9" t="s">
        <v>12</v>
      </c>
      <c r="H10" s="10">
        <v>200.0</v>
      </c>
      <c r="I10" s="2"/>
      <c r="J10" s="9" t="s">
        <v>13</v>
      </c>
      <c r="K10" s="11">
        <f>SUM(PRINCIPAL[TOTAL])</f>
        <v>3963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160.0</v>
      </c>
      <c r="E11" s="8">
        <v>46172.3806384375</v>
      </c>
      <c r="F11" s="2"/>
      <c r="G11" s="9" t="s">
        <v>15</v>
      </c>
      <c r="H11" s="10">
        <v>3150.0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7.5</v>
      </c>
      <c r="E12" s="8">
        <v>46172.39459027778</v>
      </c>
      <c r="F12" s="2"/>
      <c r="G12" s="9" t="s">
        <v>18</v>
      </c>
      <c r="H12" s="12">
        <f>SUM(G24:H361)</f>
        <v>1293.5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9.0</v>
      </c>
      <c r="E13" s="8">
        <v>46172.394666064814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72.0</v>
      </c>
      <c r="E14" s="8">
        <v>46172.40427005787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5.0</v>
      </c>
      <c r="C15" s="7" t="s">
        <v>23</v>
      </c>
      <c r="D15" s="6">
        <v>40.0</v>
      </c>
      <c r="E15" s="8">
        <v>46172.409940219906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5.0</v>
      </c>
      <c r="E16" s="8">
        <v>46172.40997422454</v>
      </c>
      <c r="F16" s="2"/>
      <c r="G16" s="15" t="s">
        <v>25</v>
      </c>
      <c r="H16" s="16">
        <f>SUM(H9:H14)</f>
        <v>4813.5</v>
      </c>
      <c r="I16" s="3"/>
      <c r="J16" s="15" t="s">
        <v>26</v>
      </c>
      <c r="K16" s="16">
        <f>SUM(K9:K11)</f>
        <v>4812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5.0</v>
      </c>
      <c r="E17" s="8">
        <v>46172.410011886575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36.0</v>
      </c>
      <c r="C18" s="7" t="s">
        <v>28</v>
      </c>
      <c r="D18" s="6">
        <v>3.5</v>
      </c>
      <c r="E18" s="8">
        <v>46172.432682743056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36.0</v>
      </c>
      <c r="C19" s="7" t="s">
        <v>29</v>
      </c>
      <c r="D19" s="6">
        <v>10.5</v>
      </c>
      <c r="E19" s="8">
        <v>46172.43276818287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16.0</v>
      </c>
      <c r="E20" s="8">
        <v>46172.432880625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6.0</v>
      </c>
      <c r="C21" s="7" t="s">
        <v>31</v>
      </c>
      <c r="D21" s="6">
        <v>1.5</v>
      </c>
      <c r="E21" s="8">
        <v>46172.43296697916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25.0</v>
      </c>
      <c r="E22" s="8">
        <v>46172.43908049769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25.0</v>
      </c>
      <c r="E23" s="8">
        <v>46172.444965601855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3.0</v>
      </c>
      <c r="E24" s="8">
        <v>46172.44505256944</v>
      </c>
      <c r="F24" s="2"/>
      <c r="G24" s="22">
        <v>50.0</v>
      </c>
      <c r="H24" s="23"/>
      <c r="I24" s="2"/>
      <c r="J24" s="24" t="s">
        <v>38</v>
      </c>
      <c r="K24" s="25">
        <f>SUM(INGRESOS_YAPE[])</f>
        <v>1293.5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16.0</v>
      </c>
      <c r="E25" s="8">
        <v>46172.4455157176</v>
      </c>
      <c r="F25" s="2"/>
      <c r="G25" s="22">
        <v>31.5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2.5</v>
      </c>
      <c r="E26" s="8">
        <v>46172.449856666666</v>
      </c>
      <c r="F26" s="2"/>
      <c r="G26" s="26">
        <v>343.0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42</v>
      </c>
      <c r="D27" s="6">
        <v>2.0</v>
      </c>
      <c r="E27" s="8">
        <v>46172.44992246528</v>
      </c>
      <c r="F27" s="2"/>
      <c r="G27" s="22">
        <v>16.0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6.0</v>
      </c>
      <c r="C28" s="7" t="s">
        <v>43</v>
      </c>
      <c r="D28" s="6">
        <v>2.5</v>
      </c>
      <c r="E28" s="8">
        <v>46172.45529546296</v>
      </c>
      <c r="F28" s="2"/>
      <c r="G28" s="22">
        <v>48.5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26.0</v>
      </c>
      <c r="E29" s="8">
        <v>46172.45544326389</v>
      </c>
      <c r="F29" s="2"/>
      <c r="G29" s="22">
        <v>26.0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1293,50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45</v>
      </c>
      <c r="D30" s="6">
        <v>20.0</v>
      </c>
      <c r="E30" s="8">
        <v>46172.45555234954</v>
      </c>
      <c r="F30" s="2"/>
      <c r="G30" s="22">
        <v>10.0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46</v>
      </c>
      <c r="D31" s="6">
        <v>176.0</v>
      </c>
      <c r="E31" s="8">
        <v>46172.458981550924</v>
      </c>
      <c r="F31" s="2"/>
      <c r="G31" s="22">
        <v>81.0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110.0</v>
      </c>
      <c r="E32" s="8">
        <v>46172.45916607638</v>
      </c>
      <c r="F32" s="2"/>
      <c r="G32" s="22">
        <v>13.0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57.0</v>
      </c>
      <c r="E33" s="8">
        <v>46172.459305358796</v>
      </c>
      <c r="F33" s="2"/>
      <c r="G33" s="22">
        <v>242.5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26.0</v>
      </c>
      <c r="E34" s="8">
        <v>46172.462654849536</v>
      </c>
      <c r="F34" s="2"/>
      <c r="G34" s="22">
        <v>225.0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28.0</v>
      </c>
      <c r="E35" s="8">
        <v>46172.46421938657</v>
      </c>
      <c r="F35" s="2"/>
      <c r="G35" s="22">
        <v>103.0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36.0</v>
      </c>
      <c r="E36" s="8">
        <v>46172.466421307865</v>
      </c>
      <c r="F36" s="2"/>
      <c r="G36" s="22">
        <v>104.0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60.0</v>
      </c>
      <c r="E37" s="8">
        <v>46172.466491666666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11.0</v>
      </c>
      <c r="E38" s="8">
        <v>46172.4668602662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10.0</v>
      </c>
      <c r="E39" s="8">
        <v>46172.46776542824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25.0</v>
      </c>
      <c r="E40" s="8">
        <v>46172.47906064815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36.0</v>
      </c>
      <c r="E41" s="8">
        <v>46172.479114166665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20.0</v>
      </c>
      <c r="E42" s="8">
        <v>46172.47921449074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60</v>
      </c>
      <c r="D43" s="6">
        <v>10.0</v>
      </c>
      <c r="E43" s="8">
        <v>46172.48563592593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665.0</v>
      </c>
      <c r="E44" s="8">
        <v>46172.493130462964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12.0</v>
      </c>
      <c r="E45" s="8">
        <v>46172.49320773148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13.0</v>
      </c>
      <c r="E46" s="8">
        <v>46172.504968333335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26.0</v>
      </c>
      <c r="E47" s="8">
        <v>46172.50537935185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9.5</v>
      </c>
      <c r="E48" s="8">
        <v>46172.523785613426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7.0</v>
      </c>
      <c r="C49" s="7" t="s">
        <v>66</v>
      </c>
      <c r="D49" s="6">
        <v>66.5</v>
      </c>
      <c r="E49" s="8">
        <v>46172.52396821759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67</v>
      </c>
      <c r="D50" s="6">
        <v>19.0</v>
      </c>
      <c r="E50" s="8">
        <v>46172.524059351854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35.0</v>
      </c>
      <c r="E51" s="8">
        <v>46172.52433799769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69</v>
      </c>
      <c r="C52" s="7" t="s">
        <v>70</v>
      </c>
      <c r="D52" s="6">
        <v>112.5</v>
      </c>
      <c r="E52" s="8">
        <v>46172.524442002315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91.0</v>
      </c>
      <c r="E53" s="8">
        <v>46172.53206165509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125.0</v>
      </c>
      <c r="E54" s="8">
        <v>46172.53214136574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7.0</v>
      </c>
      <c r="E55" s="8">
        <v>46172.53226416667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7.0</v>
      </c>
      <c r="E56" s="8">
        <v>46172.53229350694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75</v>
      </c>
      <c r="D57" s="6">
        <v>103.0</v>
      </c>
      <c r="E57" s="8">
        <v>46172.536404687504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76</v>
      </c>
      <c r="D58" s="6">
        <v>18.0</v>
      </c>
      <c r="E58" s="8">
        <v>46172.55043199074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77</v>
      </c>
      <c r="D59" s="6">
        <v>7.0</v>
      </c>
      <c r="E59" s="8">
        <v>46172.55537163194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 t="s">
        <v>78</v>
      </c>
      <c r="C60" s="7" t="s">
        <v>79</v>
      </c>
      <c r="D60" s="6">
        <v>80.0</v>
      </c>
      <c r="E60" s="8">
        <v>46172.57179802083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113.0</v>
      </c>
      <c r="E61" s="8">
        <v>46172.57480585648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5.0</v>
      </c>
      <c r="C62" s="7" t="s">
        <v>81</v>
      </c>
      <c r="D62" s="6">
        <v>95.0</v>
      </c>
      <c r="E62" s="8">
        <v>46172.576253761574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82</v>
      </c>
      <c r="D63" s="6">
        <v>12.0</v>
      </c>
      <c r="E63" s="8">
        <v>46172.580779641205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73</v>
      </c>
      <c r="D64" s="6">
        <v>7.0</v>
      </c>
      <c r="E64" s="8">
        <v>46172.580830011575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83</v>
      </c>
      <c r="D65" s="6">
        <v>14.0</v>
      </c>
      <c r="E65" s="8">
        <v>46172.581342731486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16.0</v>
      </c>
      <c r="E66" s="8">
        <v>46172.58774326389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24.0</v>
      </c>
      <c r="C67" s="7" t="s">
        <v>85</v>
      </c>
      <c r="D67" s="6">
        <v>10.0</v>
      </c>
      <c r="E67" s="8">
        <v>46172.58795179398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24.0</v>
      </c>
      <c r="C68" s="7" t="s">
        <v>86</v>
      </c>
      <c r="D68" s="6">
        <v>12.0</v>
      </c>
      <c r="E68" s="8">
        <v>46172.588052141204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 t="s">
        <v>87</v>
      </c>
      <c r="C69" s="7" t="s">
        <v>88</v>
      </c>
      <c r="D69" s="6">
        <v>27.5</v>
      </c>
      <c r="E69" s="8">
        <v>46172.59848223379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89</v>
      </c>
      <c r="D70" s="6">
        <v>1000.0</v>
      </c>
      <c r="E70" s="8">
        <v>46172.60834131944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90</v>
      </c>
      <c r="D71" s="6">
        <v>104.0</v>
      </c>
      <c r="E71" s="8">
        <v>46172.60846996528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3"/>
      <c r="D72" s="34"/>
      <c r="E72" s="35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3"/>
      <c r="D73" s="34"/>
      <c r="E73" s="35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3"/>
      <c r="D74" s="34"/>
      <c r="E74" s="35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3"/>
      <c r="D75" s="34"/>
      <c r="E75" s="35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3"/>
      <c r="D76" s="34"/>
      <c r="E76" s="35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3"/>
      <c r="D77" s="34"/>
      <c r="E77" s="35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3"/>
      <c r="D78" s="34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