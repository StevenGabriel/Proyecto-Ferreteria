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<sst xmlns="http://schemas.openxmlformats.org/spreadsheetml/2006/main" count="85" uniqueCount="83">
  <si>
    <t>HOJA DE CALCULO FERRETERIA</t>
  </si>
  <si>
    <t>CODIGO</t>
  </si>
  <si>
    <t>CANTIDAD</t>
  </si>
  <si>
    <t>DESCRIPCION</t>
  </si>
  <si>
    <t>TOTAL</t>
  </si>
  <si>
    <t>HORA</t>
  </si>
  <si>
    <t>CUADRAR</t>
  </si>
  <si>
    <t>abrazaderas</t>
  </si>
  <si>
    <t>guantes astez</t>
  </si>
  <si>
    <t>MONEDAS</t>
  </si>
  <si>
    <t>CAJA CHICA</t>
  </si>
  <si>
    <t>union de manguera 1/2</t>
  </si>
  <si>
    <t>BILLETES 10-20</t>
  </si>
  <si>
    <t>TOTAL VENTAS DIA</t>
  </si>
  <si>
    <t>10m</t>
  </si>
  <si>
    <t>hilo de podar 1,8</t>
  </si>
  <si>
    <t>BILLETES 50-100-200</t>
  </si>
  <si>
    <t>AUMENTO DE DINERO</t>
  </si>
  <si>
    <t>3m</t>
  </si>
  <si>
    <t>manguera 1/2</t>
  </si>
  <si>
    <t>INGRESOS YAPE</t>
  </si>
  <si>
    <t>tope goma</t>
  </si>
  <si>
    <t>INGRESOS TARJETA</t>
  </si>
  <si>
    <t>rodillo atlas</t>
  </si>
  <si>
    <t>GASTOS VARIOS</t>
  </si>
  <si>
    <t>media bateria</t>
  </si>
  <si>
    <t>broca encastre</t>
  </si>
  <si>
    <t>DINERO GANADO HOY:</t>
  </si>
  <si>
    <t>CANTIDAD DINERO CAJA:</t>
  </si>
  <si>
    <t>desarmadro reversib</t>
  </si>
  <si>
    <t>m manguera gas</t>
  </si>
  <si>
    <t>abrazades</t>
  </si>
  <si>
    <t>cuchillas truoer</t>
  </si>
  <si>
    <t>dado 12mm largo</t>
  </si>
  <si>
    <t>automatico</t>
  </si>
  <si>
    <t>YAPE MAMÁ</t>
  </si>
  <si>
    <t>YAPE PAPÁ</t>
  </si>
  <si>
    <t>YAPE</t>
  </si>
  <si>
    <t>union patente 1</t>
  </si>
  <si>
    <t>Monto Total YAPE (No tocar):</t>
  </si>
  <si>
    <t>pegatannke pvc</t>
  </si>
  <si>
    <t>adaptador 1</t>
  </si>
  <si>
    <t>Monto Total Registrado en aplicacion</t>
  </si>
  <si>
    <t>cipla pvc 1</t>
  </si>
  <si>
    <t>teknocola</t>
  </si>
  <si>
    <t>wd40</t>
  </si>
  <si>
    <t>disco conreto uyus 7</t>
  </si>
  <si>
    <t>aersool negro mate</t>
  </si>
  <si>
    <t>pico 1/2</t>
  </si>
  <si>
    <t>decrus b</t>
  </si>
  <si>
    <t>alicatr agujrtos</t>
  </si>
  <si>
    <t>PAGOS YAPE</t>
  </si>
  <si>
    <t>DESCRIPCION PAGO</t>
  </si>
  <si>
    <t>jgo desarm</t>
  </si>
  <si>
    <t>respirador np 30</t>
  </si>
  <si>
    <t>gafa  gogle</t>
  </si>
  <si>
    <t>grifoc e lavadora fv</t>
  </si>
  <si>
    <t>martillo chaper</t>
  </si>
  <si>
    <t>cubrecabl</t>
  </si>
  <si>
    <t>guantr</t>
  </si>
  <si>
    <t>pie de amigo</t>
  </si>
  <si>
    <t>ramplu 6</t>
  </si>
  <si>
    <t>licate punta</t>
  </si>
  <si>
    <t>chip 4.5x35</t>
  </si>
  <si>
    <t>grifo fv</t>
  </si>
  <si>
    <t>juasgmode adptdore</t>
  </si>
  <si>
    <t>destornillador de impacto</t>
  </si>
  <si>
    <t>DESARMADOR</t>
  </si>
  <si>
    <t>reduccion buje 3/4*1/2</t>
  </si>
  <si>
    <t>manguera salida labadora</t>
  </si>
  <si>
    <t>niple 3/4</t>
  </si>
  <si>
    <t>niple 1/2</t>
  </si>
  <si>
    <t>1,5m</t>
  </si>
  <si>
    <t>manguera forte 3/4</t>
  </si>
  <si>
    <t>union de mangeura 3/4</t>
  </si>
  <si>
    <t>silicona rtv blanco</t>
  </si>
  <si>
    <t>prein 30cm</t>
  </si>
  <si>
    <t>grifo de lavaplatos</t>
  </si>
  <si>
    <t>combo goma</t>
  </si>
  <si>
    <t>nivel de mano</t>
  </si>
  <si>
    <t>interrupto sobre ponr</t>
  </si>
  <si>
    <t>cando hermex</t>
  </si>
  <si>
    <t>tornillo 1/4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</si>
</sst>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9.0</v>
      </c>
      <c r="E8" s="8">
        <v>46289.35245365741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10.0</v>
      </c>
      <c r="C9" s="7" t="s">
        <v>8</v>
      </c>
      <c r="D9" s="6">
        <v>170.0</v>
      </c>
      <c r="E9" s="8">
        <v>46289.36255635417</v>
      </c>
      <c r="F9" s="2"/>
      <c r="G9" s="9" t="s">
        <v>9</v>
      </c>
      <c r="H9" s="10">
        <v>91.0</v>
      </c>
      <c r="I9" s="2"/>
      <c r="J9" s="9" t="s">
        <v>10</v>
      </c>
      <c r="K9" s="10">
        <v>688.0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18.0</v>
      </c>
      <c r="E10" s="8">
        <v>46289.36759436343</v>
      </c>
      <c r="F10" s="2"/>
      <c r="G10" s="9" t="s">
        <v>12</v>
      </c>
      <c r="H10" s="10">
        <v>310.0</v>
      </c>
      <c r="I10" s="2"/>
      <c r="J10" s="9" t="s">
        <v>13</v>
      </c>
      <c r="K10" s="11">
        <f>SUM(PRINCIPAL[TOTAL])</f>
        <v>3063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14</v>
      </c>
      <c r="C11" s="7" t="s">
        <v>15</v>
      </c>
      <c r="D11" s="6">
        <v>15.0</v>
      </c>
      <c r="E11" s="8">
        <v>46289.367690115745</v>
      </c>
      <c r="F11" s="2"/>
      <c r="G11" s="9" t="s">
        <v>16</v>
      </c>
      <c r="H11" s="10">
        <v>1600.0</v>
      </c>
      <c r="I11" s="2"/>
      <c r="J11" s="9" t="s">
        <v>17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 t="s">
        <v>18</v>
      </c>
      <c r="C12" s="7" t="s">
        <v>19</v>
      </c>
      <c r="D12" s="6">
        <v>30.0</v>
      </c>
      <c r="E12" s="8">
        <v>46289.36777556713</v>
      </c>
      <c r="F12" s="2"/>
      <c r="G12" s="9" t="s">
        <v>20</v>
      </c>
      <c r="H12" s="12">
        <f>SUM(G24:H361)</f>
        <v>1680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21</v>
      </c>
      <c r="D13" s="6">
        <v>20.0</v>
      </c>
      <c r="E13" s="8">
        <v>46289.3753014699</v>
      </c>
      <c r="F13" s="2"/>
      <c r="G13" s="9" t="s">
        <v>22</v>
      </c>
      <c r="H13" s="10">
        <v>99.0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23</v>
      </c>
      <c r="D14" s="6">
        <v>18.0</v>
      </c>
      <c r="E14" s="8">
        <v>46289.37775849537</v>
      </c>
      <c r="F14" s="2"/>
      <c r="G14" s="9" t="s">
        <v>24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25</v>
      </c>
      <c r="D15" s="6">
        <v>80.0</v>
      </c>
      <c r="E15" s="8">
        <v>46289.38884310186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26</v>
      </c>
      <c r="D16" s="6">
        <v>32.0</v>
      </c>
      <c r="E16" s="8">
        <v>46289.38896336805</v>
      </c>
      <c r="F16" s="2"/>
      <c r="G16" s="15" t="s">
        <v>27</v>
      </c>
      <c r="H16" s="16">
        <f>SUM(H9:H14)</f>
        <v>3780</v>
      </c>
      <c r="I16" s="3"/>
      <c r="J16" s="15" t="s">
        <v>28</v>
      </c>
      <c r="K16" s="16">
        <f>SUM(K9:K11)</f>
        <v>3751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26</v>
      </c>
      <c r="D17" s="6">
        <v>27.0</v>
      </c>
      <c r="E17" s="8">
        <v>46289.389013506945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29</v>
      </c>
      <c r="D18" s="6">
        <v>24.0</v>
      </c>
      <c r="E18" s="8">
        <v>46289.38965125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29,00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30</v>
      </c>
      <c r="D19" s="6">
        <v>28.0</v>
      </c>
      <c r="E19" s="8">
        <v>46289.39798872685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31</v>
      </c>
      <c r="D20" s="6">
        <v>6.0</v>
      </c>
      <c r="E20" s="8">
        <v>46289.39803440972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23.0</v>
      </c>
      <c r="E21" s="8">
        <v>46289.39811534723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50.0</v>
      </c>
      <c r="E22" s="8">
        <v>46289.402489375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299.0</v>
      </c>
      <c r="E23" s="8">
        <v>46289.40899743055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38</v>
      </c>
      <c r="D24" s="6">
        <v>44.0</v>
      </c>
      <c r="E24" s="8">
        <v>46289.40913297454</v>
      </c>
      <c r="F24" s="2"/>
      <c r="G24" s="22">
        <v>170.0</v>
      </c>
      <c r="H24" s="23"/>
      <c r="I24" s="2"/>
      <c r="J24" s="24" t="s">
        <v>39</v>
      </c>
      <c r="K24" s="25">
        <f>SUM(INGRESOS_YAPE[])</f>
        <v>1680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41.0</v>
      </c>
      <c r="E25" s="8">
        <v>46289.409214837964</v>
      </c>
      <c r="F25" s="2"/>
      <c r="G25" s="22">
        <v>20.0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41</v>
      </c>
      <c r="D26" s="6">
        <v>12.0</v>
      </c>
      <c r="E26" s="8">
        <v>46289.40932142361</v>
      </c>
      <c r="F26" s="2"/>
      <c r="G26" s="26">
        <v>34.0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43</v>
      </c>
      <c r="D27" s="6">
        <v>16.0</v>
      </c>
      <c r="E27" s="8">
        <v>46289.40936611111</v>
      </c>
      <c r="F27" s="2"/>
      <c r="G27" s="22">
        <v>23.0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3.0</v>
      </c>
      <c r="C28" s="7" t="s">
        <v>44</v>
      </c>
      <c r="D28" s="6">
        <v>99.0</v>
      </c>
      <c r="E28" s="8">
        <v>46289.43187439815</v>
      </c>
      <c r="F28" s="2"/>
      <c r="G28" s="22">
        <v>50.0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90.0</v>
      </c>
      <c r="E29" s="8">
        <v>46289.43316451389</v>
      </c>
      <c r="F29" s="2"/>
      <c r="G29" s="22">
        <v>412.0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1680,00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58.0</v>
      </c>
      <c r="E30" s="8">
        <v>46289.43388064815</v>
      </c>
      <c r="F30" s="2"/>
      <c r="G30" s="22">
        <v>99.0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20.0</v>
      </c>
      <c r="E31" s="8">
        <v>46289.4339458912</v>
      </c>
      <c r="F31" s="2"/>
      <c r="G31" s="22">
        <v>58.0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7.0</v>
      </c>
      <c r="E32" s="8">
        <v>46289.43920582176</v>
      </c>
      <c r="F32" s="2"/>
      <c r="G32" s="22">
        <v>58.0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65.0</v>
      </c>
      <c r="E33" s="8">
        <v>46289.46406788194</v>
      </c>
      <c r="F33" s="2"/>
      <c r="G33" s="22">
        <v>35.0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43.0</v>
      </c>
      <c r="E34" s="8">
        <v>46289.48037675926</v>
      </c>
      <c r="F34" s="2"/>
      <c r="G34" s="22">
        <v>40.0</v>
      </c>
      <c r="H34" s="23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125.0</v>
      </c>
      <c r="E35" s="8">
        <v>46289.48129704861</v>
      </c>
      <c r="F35" s="2"/>
      <c r="G35" s="22">
        <v>400.0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58.0</v>
      </c>
      <c r="E36" s="8">
        <v>46289.48942033565</v>
      </c>
      <c r="F36" s="2"/>
      <c r="G36" s="22">
        <v>179.0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55</v>
      </c>
      <c r="D37" s="6">
        <v>41.0</v>
      </c>
      <c r="E37" s="8">
        <v>46289.48977518518</v>
      </c>
      <c r="F37" s="2"/>
      <c r="G37" s="22">
        <v>37.0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56</v>
      </c>
      <c r="D38" s="33">
        <v>105.0</v>
      </c>
      <c r="E38" s="8">
        <v>46289.509027141205</v>
      </c>
      <c r="F38" s="2"/>
      <c r="G38" s="22">
        <v>65.0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110.0</v>
      </c>
      <c r="E39" s="8">
        <v>46289.522817812496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4.0</v>
      </c>
      <c r="C40" s="7" t="s">
        <v>58</v>
      </c>
      <c r="D40" s="6">
        <v>28.0</v>
      </c>
      <c r="E40" s="8">
        <v>46289.52317717593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41</v>
      </c>
      <c r="D41" s="6">
        <v>30.0</v>
      </c>
      <c r="E41" s="8">
        <v>46289.52357506944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23.0</v>
      </c>
      <c r="E42" s="8">
        <v>46289.5388762963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8.0</v>
      </c>
      <c r="C43" s="7" t="s">
        <v>60</v>
      </c>
      <c r="D43" s="34">
        <v>72.0</v>
      </c>
      <c r="E43" s="8">
        <v>46289.56639241899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24.0</v>
      </c>
      <c r="C44" s="7" t="s">
        <v>61</v>
      </c>
      <c r="D44" s="34">
        <v>3.0</v>
      </c>
      <c r="E44" s="8">
        <v>46289.56643528935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34">
        <v>35.0</v>
      </c>
      <c r="E45" s="8">
        <v>46289.567301863426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24.0</v>
      </c>
      <c r="C46" s="7" t="s">
        <v>63</v>
      </c>
      <c r="D46" s="34">
        <v>6.0</v>
      </c>
      <c r="E46" s="8">
        <v>46289.5681328125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34">
        <v>360.0</v>
      </c>
      <c r="E47" s="8">
        <v>46289.57661927083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40.0</v>
      </c>
      <c r="E48" s="8">
        <v>46289.5994358912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180.0</v>
      </c>
      <c r="E49" s="8">
        <v>46289.62061883102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67</v>
      </c>
      <c r="D50" s="6">
        <v>32.0</v>
      </c>
      <c r="E50" s="8">
        <v>46289.63318576389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2.0</v>
      </c>
      <c r="E51" s="8">
        <v>46289.67154815972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69</v>
      </c>
      <c r="D52" s="6">
        <v>110.0</v>
      </c>
      <c r="E52" s="8">
        <v>46289.67163881945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3.0</v>
      </c>
      <c r="C53" s="7" t="s">
        <v>70</v>
      </c>
      <c r="D53" s="6">
        <v>7.0</v>
      </c>
      <c r="E53" s="8">
        <v>46289.67173646991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71</v>
      </c>
      <c r="D54" s="6">
        <v>2.5</v>
      </c>
      <c r="E54" s="8">
        <v>46289.671848275466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 t="s">
        <v>72</v>
      </c>
      <c r="C55" s="7" t="s">
        <v>73</v>
      </c>
      <c r="D55" s="6">
        <v>22.5</v>
      </c>
      <c r="E55" s="8">
        <v>46289.672040034726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74</v>
      </c>
      <c r="D56" s="6">
        <v>35.0</v>
      </c>
      <c r="E56" s="8">
        <v>46289.67219952546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75</v>
      </c>
      <c r="D57" s="6">
        <v>36.0</v>
      </c>
      <c r="E57" s="8">
        <v>46289.67807335648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6">
        <v>37.0</v>
      </c>
      <c r="E58" s="8">
        <v>46289.68633134259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77</v>
      </c>
      <c r="D59" s="6">
        <v>80.0</v>
      </c>
      <c r="E59" s="8">
        <v>46289.69020469907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78</v>
      </c>
      <c r="D60" s="6">
        <v>25.0</v>
      </c>
      <c r="E60" s="8">
        <v>46289.7107834375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79</v>
      </c>
      <c r="D61" s="6">
        <v>45.0</v>
      </c>
      <c r="E61" s="8">
        <v>46289.71100401621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7.0</v>
      </c>
      <c r="E62" s="8">
        <v>46289.721596944444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6">
        <v>58.0</v>
      </c>
      <c r="E63" s="8">
        <v>46289.725651817134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4.0</v>
      </c>
      <c r="C64" s="7" t="s">
        <v>82</v>
      </c>
      <c r="D64" s="6">
        <v>4.0</v>
      </c>
      <c r="E64" s="8">
        <v>46289.7333215625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35"/>
      <c r="D65" s="36"/>
      <c r="E65" s="37"/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35"/>
      <c r="D66" s="36"/>
      <c r="E66" s="37"/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35"/>
      <c r="D67" s="36"/>
      <c r="E67" s="37"/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5"/>
      <c r="D68" s="36"/>
      <c r="E68" s="37"/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5"/>
      <c r="D69" s="36"/>
      <c r="E69" s="37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5"/>
      <c r="D70" s="36"/>
      <c r="E70" s="37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5"/>
      <c r="D71" s="36"/>
      <c r="E71" s="37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5"/>
      <c r="D72" s="36"/>
      <c r="E72" s="37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5"/>
      <c r="D73" s="36"/>
      <c r="E73" s="37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5"/>
      <c r="D74" s="36"/>
      <c r="E74" s="37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5"/>
      <c r="D75" s="36"/>
      <c r="E75" s="37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5"/>
      <c r="D76" s="36"/>
      <c r="E76" s="37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5"/>
      <c r="D77" s="36"/>
      <c r="E77" s="37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5"/>
      <c r="D78" s="36"/>
      <c r="E78" s="37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5"/>
      <c r="D79" s="36"/>
      <c r="E79" s="37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5"/>
      <c r="D80" s="36"/>
      <c r="E80" s="37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5"/>
      <c r="D81" s="36"/>
      <c r="E81" s="37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5"/>
      <c r="D82" s="36"/>
      <c r="E82" s="37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5"/>
      <c r="D83" s="36"/>
      <c r="E83" s="37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5"/>
      <c r="D84" s="36"/>
      <c r="E84" s="37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5"/>
      <c r="D85" s="36"/>
      <c r="E85" s="37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5"/>
      <c r="D86" s="36"/>
      <c r="E86" s="37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5"/>
      <c r="D87" s="36"/>
      <c r="E87" s="37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5"/>
      <c r="D88" s="36"/>
      <c r="E88" s="37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5"/>
      <c r="D89" s="36"/>
      <c r="E89" s="37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5"/>
      <c r="D90" s="36"/>
      <c r="E90" s="37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5"/>
      <c r="D91" s="36"/>
      <c r="E91" s="37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37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7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7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