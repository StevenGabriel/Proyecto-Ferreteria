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<sst xmlns="http://schemas.openxmlformats.org/spreadsheetml/2006/main" count="93" uniqueCount="90">
  <si>
    <t>HOJA DE CALCULO FERRETERIA</t>
  </si>
  <si>
    <t>CODIGO</t>
  </si>
  <si>
    <t>CANTIDAD</t>
  </si>
  <si>
    <t>DESCRIPCION</t>
  </si>
  <si>
    <t>TOTAL</t>
  </si>
  <si>
    <t>HORA</t>
  </si>
  <si>
    <t>CUADRAR</t>
  </si>
  <si>
    <t>kl tiza</t>
  </si>
  <si>
    <t>2m</t>
  </si>
  <si>
    <t>manguera nivl</t>
  </si>
  <si>
    <t>MONEDAS</t>
  </si>
  <si>
    <t>CAJA CHICA</t>
  </si>
  <si>
    <t>5m</t>
  </si>
  <si>
    <t>cable utp</t>
  </si>
  <si>
    <t>BILLETES 10-20</t>
  </si>
  <si>
    <t>TOTAL VENTAS DIA</t>
  </si>
  <si>
    <t>manguera nivel</t>
  </si>
  <si>
    <t>BILLETES 50-100-200</t>
  </si>
  <si>
    <t>AUMENTO DE DINERO</t>
  </si>
  <si>
    <t>estielte</t>
  </si>
  <si>
    <t>INGRESOS YAPE</t>
  </si>
  <si>
    <t>repuesto estilete</t>
  </si>
  <si>
    <t>INGRESOS TARJETA</t>
  </si>
  <si>
    <t>tesadores</t>
  </si>
  <si>
    <t>GASTOS VARIOS</t>
  </si>
  <si>
    <t>pistola para silicona</t>
  </si>
  <si>
    <t>disco flap</t>
  </si>
  <si>
    <t>DINERO GANADO HOY:</t>
  </si>
  <si>
    <t>CANTIDAD DINERO CAJA:</t>
  </si>
  <si>
    <t>cubrecable 39x19</t>
  </si>
  <si>
    <t>jalador</t>
  </si>
  <si>
    <t>picaporte</t>
  </si>
  <si>
    <t>bateria boton central</t>
  </si>
  <si>
    <t xml:space="preserve">jalador </t>
  </si>
  <si>
    <t>1/2kl</t>
  </si>
  <si>
    <t>alambre 20</t>
  </si>
  <si>
    <t>ramplu 8</t>
  </si>
  <si>
    <t>YAPE MAMÁ</t>
  </si>
  <si>
    <t>YAPE PAPÁ</t>
  </si>
  <si>
    <t>YAPE</t>
  </si>
  <si>
    <t>chip 3.5x25</t>
  </si>
  <si>
    <t>Monto Total YAPE (No tocar):</t>
  </si>
  <si>
    <t>punta estrella taladro</t>
  </si>
  <si>
    <t>presostato</t>
  </si>
  <si>
    <t>Monto Total Registrado en aplicacion</t>
  </si>
  <si>
    <t>bisagra pispot</t>
  </si>
  <si>
    <t>jalador boton</t>
  </si>
  <si>
    <t>flexo 5m</t>
  </si>
  <si>
    <t>boca 2.5 fierro</t>
  </si>
  <si>
    <t>gotita</t>
  </si>
  <si>
    <t>1m</t>
  </si>
  <si>
    <t>cañeria 34</t>
  </si>
  <si>
    <t>union patente 3/4</t>
  </si>
  <si>
    <t>copla 3/4 pvc</t>
  </si>
  <si>
    <t>PAGOS YAPE</t>
  </si>
  <si>
    <t>DESCRIPCION PAGO</t>
  </si>
  <si>
    <t>diablito</t>
  </si>
  <si>
    <t>grampa</t>
  </si>
  <si>
    <t>membrana boba</t>
  </si>
  <si>
    <t>desarmador rever</t>
  </si>
  <si>
    <t>dsco ceramica</t>
  </si>
  <si>
    <t>pinta cincel</t>
  </si>
  <si>
    <t>reduccopm 1 x 3/4</t>
  </si>
  <si>
    <t>codo pvc 3/4</t>
  </si>
  <si>
    <t>juegod puntas</t>
  </si>
  <si>
    <t>regeta dos entradas</t>
  </si>
  <si>
    <t>clavija</t>
  </si>
  <si>
    <t>cinta asilante</t>
  </si>
  <si>
    <t>estractor de tonillo</t>
  </si>
  <si>
    <t>cubre cable 19*39</t>
  </si>
  <si>
    <t>juego de cepillo diamane</t>
  </si>
  <si>
    <t>poxilina</t>
  </si>
  <si>
    <t>caja termico l2</t>
  </si>
  <si>
    <t>termico 25x2</t>
  </si>
  <si>
    <t>BATERIA 9V</t>
  </si>
  <si>
    <t>1,5m</t>
  </si>
  <si>
    <t>alambre 12</t>
  </si>
  <si>
    <t>perno</t>
  </si>
  <si>
    <t>termc 32x2</t>
  </si>
  <si>
    <t>4kl</t>
  </si>
  <si>
    <t>clavo 1 1/2</t>
  </si>
  <si>
    <t>alicate precion c</t>
  </si>
  <si>
    <t>guante lana t goma</t>
  </si>
  <si>
    <t>LLANTA DE CARRETILLA</t>
  </si>
  <si>
    <t>CAMARA DE CARREETERILLA</t>
  </si>
  <si>
    <t>FOCO 20</t>
  </si>
  <si>
    <t>ADAPTDRO TOLSE</t>
  </si>
  <si>
    <t>ADAPTOADRO TRAMONTIA</t>
  </si>
  <si>
    <t>M MANGURA FORTE</t>
  </si>
  <si>
    <t>ALARGADOR DE CORRIENTE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</si>
</sst>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5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3.0</v>
      </c>
      <c r="E8" s="8">
        <v>46191.3539494213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10.0</v>
      </c>
      <c r="E9" s="8">
        <v>46191.36555555556</v>
      </c>
      <c r="F9" s="2"/>
      <c r="G9" s="9" t="s">
        <v>10</v>
      </c>
      <c r="H9" s="10">
        <v>151.5</v>
      </c>
      <c r="I9" s="2"/>
      <c r="J9" s="9" t="s">
        <v>11</v>
      </c>
      <c r="K9" s="10">
        <v>525.0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12</v>
      </c>
      <c r="C10" s="7" t="s">
        <v>13</v>
      </c>
      <c r="D10" s="6">
        <v>15.0</v>
      </c>
      <c r="E10" s="8">
        <v>46191.365636076385</v>
      </c>
      <c r="F10" s="2"/>
      <c r="G10" s="9" t="s">
        <v>14</v>
      </c>
      <c r="H10" s="10">
        <v>210.0</v>
      </c>
      <c r="I10" s="2"/>
      <c r="J10" s="9" t="s">
        <v>15</v>
      </c>
      <c r="K10" s="11">
        <f>SUM(PRINCIPAL[TOTAL])</f>
        <v>1910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8</v>
      </c>
      <c r="C11" s="7" t="s">
        <v>16</v>
      </c>
      <c r="D11" s="12">
        <v>28.0</v>
      </c>
      <c r="E11" s="8">
        <v>46191.368038113425</v>
      </c>
      <c r="F11" s="2"/>
      <c r="G11" s="9" t="s">
        <v>17</v>
      </c>
      <c r="H11" s="10">
        <v>1150.0</v>
      </c>
      <c r="I11" s="2"/>
      <c r="J11" s="9" t="s">
        <v>18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19</v>
      </c>
      <c r="D12" s="6">
        <v>20.0</v>
      </c>
      <c r="E12" s="8">
        <v>46191.36809891203</v>
      </c>
      <c r="F12" s="2"/>
      <c r="G12" s="9" t="s">
        <v>20</v>
      </c>
      <c r="H12" s="13">
        <f>SUM(G24:H361)</f>
        <v>726.5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21</v>
      </c>
      <c r="D13" s="6">
        <v>16.0</v>
      </c>
      <c r="E13" s="8">
        <v>46191.36817053241</v>
      </c>
      <c r="F13" s="2"/>
      <c r="G13" s="9" t="s">
        <v>22</v>
      </c>
      <c r="H13" s="10">
        <v>197.0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2.0</v>
      </c>
      <c r="C14" s="7" t="s">
        <v>23</v>
      </c>
      <c r="D14" s="12">
        <v>22.0</v>
      </c>
      <c r="E14" s="8">
        <v>46191.42920271991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25</v>
      </c>
      <c r="D15" s="6">
        <v>25.0</v>
      </c>
      <c r="E15" s="8">
        <v>46191.44523855324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26</v>
      </c>
      <c r="D16" s="6">
        <v>12.0</v>
      </c>
      <c r="E16" s="8">
        <v>46191.44600837963</v>
      </c>
      <c r="F16" s="2"/>
      <c r="G16" s="16" t="s">
        <v>27</v>
      </c>
      <c r="H16" s="17">
        <f>SUM(H9:H14)</f>
        <v>2435</v>
      </c>
      <c r="I16" s="3"/>
      <c r="J16" s="16" t="s">
        <v>28</v>
      </c>
      <c r="K16" s="17">
        <f>SUM(K9:K11)</f>
        <v>2435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29</v>
      </c>
      <c r="D17" s="6">
        <v>23.0</v>
      </c>
      <c r="E17" s="8">
        <v>46191.46294079861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30</v>
      </c>
      <c r="D18" s="6">
        <v>6.0</v>
      </c>
      <c r="E18" s="8">
        <v>46191.47174846065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Las cantidades son iguales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31</v>
      </c>
      <c r="D19" s="6">
        <v>27.0</v>
      </c>
      <c r="E19" s="8">
        <v>46191.47184346065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2.0</v>
      </c>
      <c r="C20" s="7" t="s">
        <v>32</v>
      </c>
      <c r="D20" s="6">
        <v>200.0</v>
      </c>
      <c r="E20" s="8">
        <v>46191.47195209491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33</v>
      </c>
      <c r="D21" s="6">
        <v>15.0</v>
      </c>
      <c r="E21" s="8">
        <v>46191.47504060185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 t="s">
        <v>34</v>
      </c>
      <c r="C22" s="7" t="s">
        <v>35</v>
      </c>
      <c r="D22" s="6">
        <v>15.0</v>
      </c>
      <c r="E22" s="8">
        <v>46191.475156030094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6.0</v>
      </c>
      <c r="C23" s="7" t="s">
        <v>36</v>
      </c>
      <c r="D23" s="6">
        <v>1.0</v>
      </c>
      <c r="E23" s="8">
        <v>46191.47907209491</v>
      </c>
      <c r="F23" s="2"/>
      <c r="G23" s="20" t="s">
        <v>37</v>
      </c>
      <c r="H23" s="20" t="s">
        <v>38</v>
      </c>
      <c r="I23" s="2"/>
      <c r="J23" s="21" t="s">
        <v>39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108.0</v>
      </c>
      <c r="C24" s="7" t="s">
        <v>40</v>
      </c>
      <c r="D24" s="6">
        <v>13.5</v>
      </c>
      <c r="E24" s="8">
        <v>46191.48020493056</v>
      </c>
      <c r="F24" s="2"/>
      <c r="G24" s="23">
        <v>15.0</v>
      </c>
      <c r="H24" s="24"/>
      <c r="I24" s="2"/>
      <c r="J24" s="25" t="s">
        <v>41</v>
      </c>
      <c r="K24" s="26">
        <f>SUM(INGRESOS_YAPE[])</f>
        <v>726.5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42</v>
      </c>
      <c r="D25" s="6">
        <v>4.0</v>
      </c>
      <c r="E25" s="8">
        <v>46191.480309907405</v>
      </c>
      <c r="F25" s="2"/>
      <c r="G25" s="23">
        <v>64.0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43</v>
      </c>
      <c r="D26" s="6">
        <v>70.0</v>
      </c>
      <c r="E26" s="8">
        <v>46191.49460438658</v>
      </c>
      <c r="F26" s="2"/>
      <c r="G26" s="27">
        <v>22.0</v>
      </c>
      <c r="H26" s="24"/>
      <c r="I26" s="2"/>
      <c r="J26" s="28" t="s">
        <v>44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45</v>
      </c>
      <c r="D27" s="6">
        <v>14.0</v>
      </c>
      <c r="E27" s="8">
        <v>46191.49673996528</v>
      </c>
      <c r="F27" s="2"/>
      <c r="G27" s="23">
        <v>12.0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2.0</v>
      </c>
      <c r="C28" s="7" t="s">
        <v>46</v>
      </c>
      <c r="D28" s="6">
        <v>20.0</v>
      </c>
      <c r="E28" s="8">
        <v>46191.49685747686</v>
      </c>
      <c r="F28" s="2"/>
      <c r="G28" s="23">
        <v>70.0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47</v>
      </c>
      <c r="D29" s="6">
        <v>20.0</v>
      </c>
      <c r="E29" s="30"/>
      <c r="F29" s="2"/>
      <c r="G29" s="23">
        <v>38.0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726,50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48</v>
      </c>
      <c r="D30" s="6">
        <v>10.0</v>
      </c>
      <c r="E30" s="8">
        <v>46191.5139472338</v>
      </c>
      <c r="F30" s="2"/>
      <c r="G30" s="23">
        <v>56.0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49</v>
      </c>
      <c r="D31" s="6">
        <v>11.0</v>
      </c>
      <c r="E31" s="8">
        <v>46191.513990300926</v>
      </c>
      <c r="F31" s="2"/>
      <c r="G31" s="23">
        <v>44.0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 t="s">
        <v>50</v>
      </c>
      <c r="C32" s="7" t="s">
        <v>51</v>
      </c>
      <c r="D32" s="32">
        <v>13.0</v>
      </c>
      <c r="E32" s="8">
        <v>46191.55055472223</v>
      </c>
      <c r="F32" s="2"/>
      <c r="G32" s="23">
        <v>40.0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52</v>
      </c>
      <c r="D33" s="6">
        <v>29.0</v>
      </c>
      <c r="E33" s="8">
        <v>46191.55123197917</v>
      </c>
      <c r="F33" s="2"/>
      <c r="G33" s="23">
        <v>138.0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53</v>
      </c>
      <c r="D34" s="6">
        <v>4.5</v>
      </c>
      <c r="E34" s="8">
        <v>46191.55137940972</v>
      </c>
      <c r="F34" s="2"/>
      <c r="G34" s="23">
        <v>210.0</v>
      </c>
      <c r="H34" s="24"/>
      <c r="I34" s="2"/>
      <c r="J34" s="33" t="s">
        <v>54</v>
      </c>
      <c r="K34" s="33" t="s">
        <v>55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2.0</v>
      </c>
      <c r="C35" s="7" t="s">
        <v>56</v>
      </c>
      <c r="D35" s="12">
        <v>20.0</v>
      </c>
      <c r="E35" s="8">
        <v>46191.55587163194</v>
      </c>
      <c r="F35" s="2"/>
      <c r="G35" s="23">
        <v>17.5</v>
      </c>
      <c r="H35" s="24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4"/>
      <c r="B36" s="6">
        <v>3.0</v>
      </c>
      <c r="C36" s="7" t="s">
        <v>57</v>
      </c>
      <c r="D36" s="6">
        <v>24.0</v>
      </c>
      <c r="E36" s="8">
        <v>46191.562675821755</v>
      </c>
      <c r="F36" s="2"/>
      <c r="G36" s="24"/>
      <c r="H36" s="24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58</v>
      </c>
      <c r="D37" s="6">
        <v>70.0</v>
      </c>
      <c r="E37" s="8">
        <v>46191.56850252315</v>
      </c>
      <c r="F37" s="2"/>
      <c r="G37" s="24"/>
      <c r="H37" s="24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59</v>
      </c>
      <c r="D38" s="6">
        <v>10.0</v>
      </c>
      <c r="E38" s="8">
        <v>46191.57605905093</v>
      </c>
      <c r="F38" s="2"/>
      <c r="G38" s="24"/>
      <c r="H38" s="24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59</v>
      </c>
      <c r="D39" s="6">
        <v>8.0</v>
      </c>
      <c r="E39" s="8">
        <v>46191.57609166666</v>
      </c>
      <c r="F39" s="2"/>
      <c r="G39" s="24"/>
      <c r="H39" s="24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60</v>
      </c>
      <c r="D40" s="6">
        <v>28.0</v>
      </c>
      <c r="E40" s="8">
        <v>46191.57615228009</v>
      </c>
      <c r="F40" s="2"/>
      <c r="G40" s="24"/>
      <c r="H40" s="24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61</v>
      </c>
      <c r="D41" s="6">
        <v>18.0</v>
      </c>
      <c r="E41" s="8">
        <v>46191.57623324074</v>
      </c>
      <c r="F41" s="2"/>
      <c r="G41" s="24"/>
      <c r="H41" s="24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4"/>
      <c r="B42" s="6">
        <v>2.0</v>
      </c>
      <c r="C42" s="7" t="s">
        <v>62</v>
      </c>
      <c r="D42" s="6">
        <v>8.0</v>
      </c>
      <c r="E42" s="8">
        <v>46191.57918267361</v>
      </c>
      <c r="F42" s="2"/>
      <c r="G42" s="24"/>
      <c r="H42" s="24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63</v>
      </c>
      <c r="D43" s="6">
        <v>5.0</v>
      </c>
      <c r="E43" s="8">
        <v>46191.57924313657</v>
      </c>
      <c r="F43" s="2"/>
      <c r="G43" s="24"/>
      <c r="H43" s="24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64</v>
      </c>
      <c r="D44" s="6">
        <v>38.0</v>
      </c>
      <c r="E44" s="8">
        <v>46191.598548229165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2.0</v>
      </c>
      <c r="C45" s="7" t="s">
        <v>65</v>
      </c>
      <c r="D45" s="6">
        <v>32.0</v>
      </c>
      <c r="E45" s="8">
        <v>46191.60757064815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2.0</v>
      </c>
      <c r="C46" s="7" t="s">
        <v>66</v>
      </c>
      <c r="D46" s="6">
        <v>10.0</v>
      </c>
      <c r="E46" s="8">
        <v>46191.607632025465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67</v>
      </c>
      <c r="D47" s="6">
        <v>9.0</v>
      </c>
      <c r="E47" s="8">
        <v>46191.60767604166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68</v>
      </c>
      <c r="D48" s="6">
        <v>56.0</v>
      </c>
      <c r="E48" s="8">
        <v>46191.61371482639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69</v>
      </c>
      <c r="D49" s="12">
        <v>24.0</v>
      </c>
      <c r="E49" s="8">
        <v>46191.61600342592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70</v>
      </c>
      <c r="D50" s="6">
        <v>10.0</v>
      </c>
      <c r="E50" s="8">
        <v>46191.621353078706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71</v>
      </c>
      <c r="D51" s="6">
        <v>38.0</v>
      </c>
      <c r="E51" s="8">
        <v>46191.621449756945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72</v>
      </c>
      <c r="D52" s="6">
        <v>16.0</v>
      </c>
      <c r="E52" s="8">
        <v>46191.6246114699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73</v>
      </c>
      <c r="D53" s="6">
        <v>53.0</v>
      </c>
      <c r="E53" s="8">
        <v>46191.6247265625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2.0</v>
      </c>
      <c r="C54" s="7" t="s">
        <v>74</v>
      </c>
      <c r="D54" s="6">
        <v>44.0</v>
      </c>
      <c r="E54" s="8">
        <v>46191.62960221065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 t="s">
        <v>75</v>
      </c>
      <c r="C55" s="7" t="s">
        <v>76</v>
      </c>
      <c r="D55" s="6">
        <v>15.5</v>
      </c>
      <c r="E55" s="8">
        <v>46191.64364768518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67</v>
      </c>
      <c r="D56" s="6">
        <v>12.0</v>
      </c>
      <c r="E56" s="8">
        <v>46191.643716527775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77</v>
      </c>
      <c r="D57" s="32">
        <v>0.5</v>
      </c>
      <c r="E57" s="8">
        <v>46191.6438130787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78</v>
      </c>
      <c r="D58" s="6">
        <v>40.0</v>
      </c>
      <c r="E58" s="8">
        <v>46191.65206083334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 t="s">
        <v>79</v>
      </c>
      <c r="C59" s="7" t="s">
        <v>80</v>
      </c>
      <c r="D59" s="6">
        <v>80.0</v>
      </c>
      <c r="E59" s="8">
        <v>46191.66363443287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81</v>
      </c>
      <c r="D60" s="6">
        <v>138.0</v>
      </c>
      <c r="E60" s="8">
        <v>46191.671094375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2.0</v>
      </c>
      <c r="C61" s="7" t="s">
        <v>82</v>
      </c>
      <c r="D61" s="6">
        <v>26.0</v>
      </c>
      <c r="E61" s="8">
        <v>46191.67295832176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83</v>
      </c>
      <c r="D62" s="6">
        <v>65.0</v>
      </c>
      <c r="E62" s="8">
        <v>46191.68725768519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84</v>
      </c>
      <c r="D63" s="6">
        <v>145.0</v>
      </c>
      <c r="E63" s="8">
        <v>46191.6873181713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85</v>
      </c>
      <c r="D64" s="6">
        <v>23.0</v>
      </c>
      <c r="E64" s="8">
        <v>46191.73195084491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86</v>
      </c>
      <c r="D65" s="6">
        <v>9.0</v>
      </c>
      <c r="E65" s="8">
        <v>46191.745912488426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2.0</v>
      </c>
      <c r="C66" s="7" t="s">
        <v>87</v>
      </c>
      <c r="D66" s="6">
        <v>16.0</v>
      </c>
      <c r="E66" s="8">
        <v>46191.74598465278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12.0</v>
      </c>
      <c r="C67" s="7" t="s">
        <v>88</v>
      </c>
      <c r="D67" s="6">
        <v>96.0</v>
      </c>
      <c r="E67" s="8">
        <v>46191.746061620375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89</v>
      </c>
      <c r="D68" s="6">
        <v>76.0</v>
      </c>
      <c r="E68" s="8">
        <v>46191.74611755787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14"/>
      <c r="C69" s="36"/>
      <c r="D69" s="37"/>
      <c r="E69" s="30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14"/>
      <c r="C70" s="36"/>
      <c r="D70" s="37"/>
      <c r="E70" s="30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14"/>
      <c r="C71" s="36"/>
      <c r="D71" s="37"/>
      <c r="E71" s="30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14"/>
      <c r="C72" s="36"/>
      <c r="D72" s="37"/>
      <c r="E72" s="30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6"/>
      <c r="D73" s="37"/>
      <c r="E73" s="30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6"/>
      <c r="D74" s="37"/>
      <c r="E74" s="30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6"/>
      <c r="D75" s="37"/>
      <c r="E75" s="30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6"/>
      <c r="D76" s="37"/>
      <c r="E76" s="30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6"/>
      <c r="D77" s="37"/>
      <c r="E77" s="30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6"/>
      <c r="D78" s="37"/>
      <c r="E78" s="30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6"/>
      <c r="D79" s="37"/>
      <c r="E79" s="30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6"/>
      <c r="D80" s="37"/>
      <c r="E80" s="30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6"/>
      <c r="D81" s="37"/>
      <c r="E81" s="30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6"/>
      <c r="D82" s="37"/>
      <c r="E82" s="30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6"/>
      <c r="D83" s="37"/>
      <c r="E83" s="30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6"/>
      <c r="D84" s="37"/>
      <c r="E84" s="30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6"/>
      <c r="D85" s="37"/>
      <c r="E85" s="30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6"/>
      <c r="D86" s="37"/>
      <c r="E86" s="30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6"/>
      <c r="D87" s="37"/>
      <c r="E87" s="30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6"/>
      <c r="D88" s="37"/>
      <c r="E88" s="30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6"/>
      <c r="D89" s="37"/>
      <c r="E89" s="30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6"/>
      <c r="D90" s="37"/>
      <c r="E90" s="30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6"/>
      <c r="D91" s="37"/>
      <c r="E91" s="30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6"/>
      <c r="D92" s="37"/>
      <c r="E92" s="30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6"/>
      <c r="D93" s="37"/>
      <c r="E93" s="30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6"/>
      <c r="D94" s="37"/>
      <c r="E94" s="30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6"/>
      <c r="D95" s="37"/>
      <c r="E95" s="30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6"/>
      <c r="D96" s="37"/>
      <c r="E96" s="30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6"/>
      <c r="D97" s="37"/>
      <c r="E97" s="30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6"/>
      <c r="D98" s="37"/>
      <c r="E98" s="30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6"/>
      <c r="D99" s="37"/>
      <c r="E99" s="30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6"/>
      <c r="D100" s="37"/>
      <c r="E100" s="30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6"/>
      <c r="D101" s="37"/>
      <c r="E101" s="30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6"/>
      <c r="D102" s="37"/>
      <c r="E102" s="30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6"/>
      <c r="D103" s="37"/>
      <c r="E103" s="30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6"/>
      <c r="D104" s="37"/>
      <c r="E104" s="30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6"/>
      <c r="D105" s="37"/>
      <c r="E105" s="30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6"/>
      <c r="D106" s="37"/>
      <c r="E106" s="30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6"/>
      <c r="D107" s="37"/>
      <c r="E107" s="30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6"/>
      <c r="D108" s="37"/>
      <c r="E108" s="30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6"/>
      <c r="D109" s="37"/>
      <c r="E109" s="30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6"/>
      <c r="D110" s="37"/>
      <c r="E110" s="30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6"/>
      <c r="D111" s="37"/>
      <c r="E111" s="30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6"/>
      <c r="D112" s="37"/>
      <c r="E112" s="30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6"/>
      <c r="D113" s="37"/>
      <c r="E113" s="30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6"/>
      <c r="D114" s="37"/>
      <c r="E114" s="30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6"/>
      <c r="D115" s="37"/>
      <c r="E115" s="30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6"/>
      <c r="D116" s="37"/>
      <c r="E116" s="30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6"/>
      <c r="D117" s="37"/>
      <c r="E117" s="30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6"/>
      <c r="D118" s="37"/>
      <c r="E118" s="30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6"/>
      <c r="D119" s="37"/>
      <c r="E119" s="30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6"/>
      <c r="D120" s="37"/>
      <c r="E120" s="30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6"/>
      <c r="D121" s="37"/>
      <c r="E121" s="30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6"/>
      <c r="D122" s="37"/>
      <c r="E122" s="30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6"/>
      <c r="D123" s="37"/>
      <c r="E123" s="30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6"/>
      <c r="D124" s="37"/>
      <c r="E124" s="30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6"/>
      <c r="D125" s="37"/>
      <c r="E125" s="30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6"/>
      <c r="D126" s="37"/>
      <c r="E126" s="30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6"/>
      <c r="D127" s="37"/>
      <c r="E127" s="30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6"/>
      <c r="D128" s="37"/>
      <c r="E128" s="30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6"/>
      <c r="D129" s="37"/>
      <c r="E129" s="30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6"/>
      <c r="D130" s="37"/>
      <c r="E130" s="30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0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0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0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0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0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0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0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0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0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0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0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0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0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0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0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0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0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0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0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0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0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0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0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0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0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0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0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0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0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0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0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0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0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0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0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0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0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0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0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0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0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0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0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0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0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0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0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0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0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0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0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0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0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0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0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0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0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0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0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0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0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0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0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0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0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0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0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0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0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0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0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0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0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0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0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0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0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0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0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0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0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0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0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0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0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0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0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0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0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0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0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0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0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0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0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0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0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0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0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0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0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0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0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0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0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0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0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0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0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0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0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0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0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0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0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0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0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0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0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0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0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0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0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0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0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0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0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0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0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0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0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0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0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0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0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0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0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0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0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0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0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0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0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0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0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0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0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0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0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0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0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0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0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0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0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0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0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0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0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0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0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0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0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0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0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0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0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0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0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0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7"/>
      <c r="E301" s="30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