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<sst xmlns="http://schemas.openxmlformats.org/spreadsheetml/2006/main" count="94" uniqueCount="91">
  <si>
    <t>HOJA DE CALCULO FERRETERIA</t>
  </si>
  <si>
    <t>CODIGO</t>
  </si>
  <si>
    <t>CANTIDAD</t>
  </si>
  <si>
    <t>DESCRIPCION</t>
  </si>
  <si>
    <t>TOTAL</t>
  </si>
  <si>
    <t>HORA</t>
  </si>
  <si>
    <t>CUADRAR</t>
  </si>
  <si>
    <t>pigmentos</t>
  </si>
  <si>
    <t>PASA CABLE</t>
  </si>
  <si>
    <t>MONEDAS</t>
  </si>
  <si>
    <t>CAJA CHICA</t>
  </si>
  <si>
    <t>ALICATE COMBINADTIO</t>
  </si>
  <si>
    <t>BILLETES 10-20</t>
  </si>
  <si>
    <t>TOTAL VENTAS DIA</t>
  </si>
  <si>
    <t>BROCA AVELNADORA 10</t>
  </si>
  <si>
    <t>BILLETES 50-100-200</t>
  </si>
  <si>
    <t>AUMENTO DE DINERO</t>
  </si>
  <si>
    <t>SIFON LABAMANOS</t>
  </si>
  <si>
    <t>INGRESOS YAPE</t>
  </si>
  <si>
    <t>CHICCOTILLO PLASTICO 50</t>
  </si>
  <si>
    <t>INGRESOS TARJETA</t>
  </si>
  <si>
    <t>ELECTRODO DELGADO</t>
  </si>
  <si>
    <t>GASTOS VARIOS</t>
  </si>
  <si>
    <t>CINTA AISLANTE</t>
  </si>
  <si>
    <t>20M</t>
  </si>
  <si>
    <t>HILO PORDAR 2.4</t>
  </si>
  <si>
    <t>DINERO GANADO HOY:</t>
  </si>
  <si>
    <t>CANTIDAD DINERO CAJA:</t>
  </si>
  <si>
    <t>CANDADO TR</t>
  </si>
  <si>
    <t>CANDAD TR</t>
  </si>
  <si>
    <t>DEOR FIERRO 12</t>
  </si>
  <si>
    <t>BROCA MADERA LARGA 1/2</t>
  </si>
  <si>
    <t>TERMICO 32X2</t>
  </si>
  <si>
    <t>JEUGO DESARMADOR TR</t>
  </si>
  <si>
    <t>CHIP 4X3 + RANPLU 6</t>
  </si>
  <si>
    <t>YAPE MAMÁ</t>
  </si>
  <si>
    <t>YAPE PAPÁ</t>
  </si>
  <si>
    <t>YAPE</t>
  </si>
  <si>
    <t>2M</t>
  </si>
  <si>
    <t>LIJA MADERA</t>
  </si>
  <si>
    <t>Monto Total YAPE (No tocar):</t>
  </si>
  <si>
    <t>PIE E AMIGO 10X12</t>
  </si>
  <si>
    <t>CLAVIJA SHUCO</t>
  </si>
  <si>
    <t>Monto Total Registrado en aplicacion</t>
  </si>
  <si>
    <t>IRWIN CONCRETO 6</t>
  </si>
  <si>
    <t>CODO FG 3/4</t>
  </si>
  <si>
    <t>TEE PVC 1/2</t>
  </si>
  <si>
    <t>LIJA 2000</t>
  </si>
  <si>
    <t>BROCA 2</t>
  </si>
  <si>
    <t>KIT TALADRO TOTAL</t>
  </si>
  <si>
    <t>BATERIA JADEVER</t>
  </si>
  <si>
    <t>YEE 3</t>
  </si>
  <si>
    <t>PAGOS YAPE</t>
  </si>
  <si>
    <t>DESCRIPCION PAGO</t>
  </si>
  <si>
    <t>SEMICODO 11/2</t>
  </si>
  <si>
    <t>CODO 11/2</t>
  </si>
  <si>
    <t>CODO 2</t>
  </si>
  <si>
    <t>SEMICODO 2</t>
  </si>
  <si>
    <t>REDUCCION 3 X 4</t>
  </si>
  <si>
    <t>DESAGUE 3</t>
  </si>
  <si>
    <t>DESAGUE 2</t>
  </si>
  <si>
    <t>DESAGE 1 1/2</t>
  </si>
  <si>
    <t xml:space="preserve">CAJA SIFONADA </t>
  </si>
  <si>
    <t>30M</t>
  </si>
  <si>
    <t>GUANTE AZUL</t>
  </si>
  <si>
    <t>INFLADOR TRAMN</t>
  </si>
  <si>
    <t>INFLADOR UYUS</t>
  </si>
  <si>
    <t>WD40</t>
  </si>
  <si>
    <t>GOTITA</t>
  </si>
  <si>
    <t>RAMPLU 5</t>
  </si>
  <si>
    <t>7M</t>
  </si>
  <si>
    <t>MALLA SOLDADA</t>
  </si>
  <si>
    <t>1K</t>
  </si>
  <si>
    <t>ALAMBRE DE AMARRE</t>
  </si>
  <si>
    <t>RASTRILLO</t>
  </si>
  <si>
    <t>CITA VULCANZATE</t>
  </si>
  <si>
    <t>CANDAD HR</t>
  </si>
  <si>
    <t>OCRE</t>
  </si>
  <si>
    <t>TAPON MANCHO1/2 FG</t>
  </si>
  <si>
    <t>TAPON MACHO 3/4 FG</t>
  </si>
  <si>
    <t>REDUCCION 3/11/2</t>
  </si>
  <si>
    <t>TEFLO</t>
  </si>
  <si>
    <t>CODO COLONIAL 3/4</t>
  </si>
  <si>
    <t>COMBO GOMA</t>
  </si>
  <si>
    <t>EMPAQUETADURA</t>
  </si>
  <si>
    <t>CINTA TELA</t>
  </si>
  <si>
    <t>PAS BISAGRA 2</t>
  </si>
  <si>
    <t>JUEGOD E LLAVES ALEN</t>
  </si>
  <si>
    <t>TAPA INODORO ASTRAS</t>
  </si>
  <si>
    <t>GRIFO ITAP 1/2</t>
  </si>
  <si>
    <t>TEFLON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</si>
</sst>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20.0</v>
      </c>
      <c r="E8" s="8">
        <v>46170.354781064816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133.0</v>
      </c>
      <c r="E9" s="8">
        <v>46170.35987671296</v>
      </c>
      <c r="F9" s="2"/>
      <c r="G9" s="9" t="s">
        <v>9</v>
      </c>
      <c r="H9" s="10">
        <v>136.0</v>
      </c>
      <c r="I9" s="2"/>
      <c r="J9" s="9" t="s">
        <v>10</v>
      </c>
      <c r="K9" s="10">
        <v>852.5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28.0</v>
      </c>
      <c r="E10" s="8">
        <v>46170.37605791667</v>
      </c>
      <c r="F10" s="2"/>
      <c r="G10" s="9" t="s">
        <v>12</v>
      </c>
      <c r="H10" s="10">
        <v>550.0</v>
      </c>
      <c r="I10" s="2"/>
      <c r="J10" s="9" t="s">
        <v>13</v>
      </c>
      <c r="K10" s="11">
        <f>SUM(PRINCIPAL[TOTAL])</f>
        <v>3819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54.0</v>
      </c>
      <c r="E11" s="8">
        <v>46170.37770575231</v>
      </c>
      <c r="F11" s="2"/>
      <c r="G11" s="9" t="s">
        <v>15</v>
      </c>
      <c r="H11" s="10">
        <v>1850.0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57.0</v>
      </c>
      <c r="E12" s="8">
        <v>46170.379925497684</v>
      </c>
      <c r="F12" s="2"/>
      <c r="G12" s="9" t="s">
        <v>18</v>
      </c>
      <c r="H12" s="12">
        <f>SUM(G24:H361)</f>
        <v>2198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14.0</v>
      </c>
      <c r="E13" s="8">
        <v>46170.380045405094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6" t="s">
        <v>21</v>
      </c>
      <c r="D14" s="6">
        <v>58.0</v>
      </c>
      <c r="E14" s="15"/>
      <c r="F14" s="2"/>
      <c r="G14" s="9" t="s">
        <v>22</v>
      </c>
      <c r="H14" s="10">
        <v>25.5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24.0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 t="s">
        <v>24</v>
      </c>
      <c r="C16" s="7" t="s">
        <v>25</v>
      </c>
      <c r="D16" s="6">
        <v>30.0</v>
      </c>
      <c r="E16" s="8">
        <v>46170.42728025463</v>
      </c>
      <c r="F16" s="2"/>
      <c r="G16" s="16" t="s">
        <v>26</v>
      </c>
      <c r="H16" s="17">
        <f>SUM(H9:H14)</f>
        <v>4759.5</v>
      </c>
      <c r="I16" s="3"/>
      <c r="J16" s="16" t="s">
        <v>27</v>
      </c>
      <c r="K16" s="17">
        <f>SUM(K9:K11)</f>
        <v>4671.5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90.0</v>
      </c>
      <c r="E17" s="8">
        <v>46170.43121113426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300.0</v>
      </c>
      <c r="E18" s="8">
        <v>46170.431248356486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88,00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75.0</v>
      </c>
      <c r="E19" s="8">
        <v>46170.431661400464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30.0</v>
      </c>
      <c r="E20" s="8">
        <v>46170.43173846065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40.0</v>
      </c>
      <c r="E21" s="8">
        <v>46170.44791328703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50.0</v>
      </c>
      <c r="E22" s="8">
        <v>46170.448031817126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12.0</v>
      </c>
      <c r="C23" s="7" t="s">
        <v>34</v>
      </c>
      <c r="D23" s="6">
        <v>3.5</v>
      </c>
      <c r="E23" s="8">
        <v>46170.45407878472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 t="s">
        <v>38</v>
      </c>
      <c r="C24" s="7" t="s">
        <v>39</v>
      </c>
      <c r="D24" s="6">
        <v>20.0</v>
      </c>
      <c r="E24" s="8">
        <v>46170.45414084491</v>
      </c>
      <c r="F24" s="2"/>
      <c r="G24" s="23">
        <v>133.0</v>
      </c>
      <c r="H24" s="24"/>
      <c r="I24" s="2"/>
      <c r="J24" s="25" t="s">
        <v>40</v>
      </c>
      <c r="K24" s="26">
        <f>SUM(INGRESOS_YAPE[])</f>
        <v>2198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4.0</v>
      </c>
      <c r="C25" s="7" t="s">
        <v>41</v>
      </c>
      <c r="D25" s="6">
        <v>28.0</v>
      </c>
      <c r="E25" s="8">
        <v>46170.464224270836</v>
      </c>
      <c r="F25" s="2"/>
      <c r="G25" s="23">
        <v>90.0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6">
        <v>40.0</v>
      </c>
      <c r="E26" s="8">
        <v>46170.46988105324</v>
      </c>
      <c r="F26" s="2"/>
      <c r="G26" s="27">
        <v>40.0</v>
      </c>
      <c r="H26" s="24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44</v>
      </c>
      <c r="D27" s="6">
        <v>16.0</v>
      </c>
      <c r="E27" s="8">
        <v>46170.47522703704</v>
      </c>
      <c r="F27" s="2"/>
      <c r="G27" s="23">
        <v>895.0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45</v>
      </c>
      <c r="D28" s="6">
        <v>38.0</v>
      </c>
      <c r="E28" s="8">
        <v>46170.48368622686</v>
      </c>
      <c r="F28" s="2"/>
      <c r="G28" s="23">
        <v>107.0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5.0</v>
      </c>
      <c r="E29" s="8">
        <v>46170.483746666665</v>
      </c>
      <c r="F29" s="2"/>
      <c r="G29" s="23">
        <v>71.0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2198,00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47</v>
      </c>
      <c r="D30" s="6">
        <v>24.0</v>
      </c>
      <c r="E30" s="8">
        <v>46170.483876388884</v>
      </c>
      <c r="F30" s="2"/>
      <c r="G30" s="23">
        <v>11.0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48</v>
      </c>
      <c r="D31" s="6">
        <v>16.0</v>
      </c>
      <c r="E31" s="8">
        <v>46170.48399652778</v>
      </c>
      <c r="F31" s="2"/>
      <c r="G31" s="23">
        <v>447.0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740.0</v>
      </c>
      <c r="E32" s="8">
        <v>46170.489906319446</v>
      </c>
      <c r="F32" s="2"/>
      <c r="G32" s="23">
        <v>10.0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155.0</v>
      </c>
      <c r="E33" s="8">
        <v>46170.49002159722</v>
      </c>
      <c r="F33" s="2"/>
      <c r="G33" s="23">
        <v>18.0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14.0</v>
      </c>
      <c r="E34" s="8">
        <v>46170.50239385417</v>
      </c>
      <c r="F34" s="2"/>
      <c r="G34" s="23">
        <v>48.0</v>
      </c>
      <c r="H34" s="24"/>
      <c r="I34" s="2"/>
      <c r="J34" s="31" t="s">
        <v>52</v>
      </c>
      <c r="K34" s="31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3.5</v>
      </c>
      <c r="E35" s="8">
        <v>46170.50297420139</v>
      </c>
      <c r="F35" s="2"/>
      <c r="G35" s="23">
        <v>258.0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3.5</v>
      </c>
      <c r="E36" s="8">
        <v>46170.50300064815</v>
      </c>
      <c r="F36" s="2"/>
      <c r="G36" s="23">
        <v>70.0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4.5</v>
      </c>
      <c r="E37" s="8">
        <v>46170.50441552083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4.0</v>
      </c>
      <c r="E38" s="8">
        <v>46170.50449194445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6.0</v>
      </c>
      <c r="E39" s="8">
        <v>46170.504626435184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 t="s">
        <v>38</v>
      </c>
      <c r="C40" s="7" t="s">
        <v>59</v>
      </c>
      <c r="D40" s="6">
        <v>36.0</v>
      </c>
      <c r="E40" s="8">
        <v>46170.50485324074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1.5</v>
      </c>
      <c r="C41" s="7" t="s">
        <v>60</v>
      </c>
      <c r="D41" s="6">
        <v>16.5</v>
      </c>
      <c r="E41" s="8">
        <v>46170.50500262732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1.5</v>
      </c>
      <c r="C42" s="7" t="s">
        <v>61</v>
      </c>
      <c r="D42" s="6">
        <v>12.0</v>
      </c>
      <c r="E42" s="8">
        <v>46170.50512482639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40.0</v>
      </c>
      <c r="E43" s="8">
        <v>46170.50524737268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 t="s">
        <v>63</v>
      </c>
      <c r="C44" s="7" t="s">
        <v>25</v>
      </c>
      <c r="D44" s="6">
        <v>45.0</v>
      </c>
      <c r="E44" s="8">
        <v>46170.50959418982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64</v>
      </c>
      <c r="D45" s="6">
        <v>26.0</v>
      </c>
      <c r="E45" s="8">
        <v>46170.50969479167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113.0</v>
      </c>
      <c r="E46" s="8">
        <v>46170.51150057871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70.0</v>
      </c>
      <c r="E47" s="8">
        <v>46170.51159646991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150.0</v>
      </c>
      <c r="E48" s="8">
        <v>46170.51166013889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11</v>
      </c>
      <c r="D49" s="6">
        <v>34.0</v>
      </c>
      <c r="E49" s="8">
        <v>46170.51269108796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68</v>
      </c>
      <c r="D50" s="6">
        <v>22.0</v>
      </c>
      <c r="E50" s="8">
        <v>46170.51276804398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18.0</v>
      </c>
      <c r="C51" s="7" t="s">
        <v>69</v>
      </c>
      <c r="D51" s="6">
        <v>2.0</v>
      </c>
      <c r="E51" s="8">
        <v>46170.51283009259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70</v>
      </c>
      <c r="C52" s="7" t="s">
        <v>71</v>
      </c>
      <c r="D52" s="6">
        <v>315.0</v>
      </c>
      <c r="E52" s="8">
        <v>46170.586285613426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 t="s">
        <v>72</v>
      </c>
      <c r="C53" s="7" t="s">
        <v>73</v>
      </c>
      <c r="D53" s="6">
        <v>19.0</v>
      </c>
      <c r="E53" s="8">
        <v>46170.59420222222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74</v>
      </c>
      <c r="D54" s="6">
        <v>113.0</v>
      </c>
      <c r="E54" s="8">
        <v>46170.59433125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73.0</v>
      </c>
      <c r="E55" s="8">
        <v>46170.60069150463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76</v>
      </c>
      <c r="D56" s="6">
        <v>36.0</v>
      </c>
      <c r="E56" s="8">
        <v>46170.61025023148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77</v>
      </c>
      <c r="D57" s="6">
        <v>10.0</v>
      </c>
      <c r="E57" s="8">
        <v>46170.61520172453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4.0</v>
      </c>
      <c r="C58" s="7" t="s">
        <v>78</v>
      </c>
      <c r="D58" s="6">
        <v>42.0</v>
      </c>
      <c r="E58" s="8">
        <v>46170.62267215278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79</v>
      </c>
      <c r="D59" s="6">
        <v>16.0</v>
      </c>
      <c r="E59" s="8">
        <v>46170.62276871528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80</v>
      </c>
      <c r="D60" s="6">
        <v>4.0</v>
      </c>
      <c r="E60" s="8">
        <v>46170.623015613426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81</v>
      </c>
      <c r="D61" s="6">
        <v>3.0</v>
      </c>
      <c r="E61" s="8">
        <v>46170.62308471065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5.0</v>
      </c>
      <c r="E62" s="8">
        <v>46170.62315520833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30.0</v>
      </c>
      <c r="E63" s="8">
        <v>46170.64582171296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3.0</v>
      </c>
      <c r="C64" s="7" t="s">
        <v>84</v>
      </c>
      <c r="D64" s="6">
        <v>3.0</v>
      </c>
      <c r="E64" s="8">
        <v>46170.65372891204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18.0</v>
      </c>
      <c r="E65" s="8">
        <v>46170.66730825232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12.0</v>
      </c>
      <c r="C66" s="7" t="s">
        <v>86</v>
      </c>
      <c r="D66" s="6">
        <v>48.0</v>
      </c>
      <c r="E66" s="8">
        <v>46170.69132079861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87</v>
      </c>
      <c r="D67" s="6">
        <v>53.0</v>
      </c>
      <c r="E67" s="8">
        <v>46170.69644679398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88</v>
      </c>
      <c r="D68" s="6">
        <v>258.0</v>
      </c>
      <c r="E68" s="8">
        <v>46170.69765422454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89</v>
      </c>
      <c r="D69" s="6">
        <v>80.0</v>
      </c>
      <c r="E69" s="8">
        <v>46170.72470056713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90</v>
      </c>
      <c r="D70" s="6">
        <v>2.5</v>
      </c>
      <c r="E70" s="8">
        <v>46170.72445008102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