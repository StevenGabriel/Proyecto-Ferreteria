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<sst xmlns="http://schemas.openxmlformats.org/spreadsheetml/2006/main" count="111" uniqueCount="107">
  <si>
    <t>HOJA DE CALCULO FERRETERIA</t>
  </si>
  <si>
    <t>CODIGO</t>
  </si>
  <si>
    <t>CANTIDAD</t>
  </si>
  <si>
    <t>DESCRIPCION</t>
  </si>
  <si>
    <t>TOTAL</t>
  </si>
  <si>
    <t>HORA</t>
  </si>
  <si>
    <t>CUADRAR</t>
  </si>
  <si>
    <t>cinta</t>
  </si>
  <si>
    <t>fresa</t>
  </si>
  <si>
    <t>MONEDAS</t>
  </si>
  <si>
    <t>CAJA CHICA</t>
  </si>
  <si>
    <t>4m</t>
  </si>
  <si>
    <t>plastico1.5m</t>
  </si>
  <si>
    <t>BILLETES 10-20</t>
  </si>
  <si>
    <t>TOTAL VENTAS DIA</t>
  </si>
  <si>
    <t>disco concreto 4</t>
  </si>
  <si>
    <t>BILLETES 50-100-200</t>
  </si>
  <si>
    <t>AUMENTO DE DINERO</t>
  </si>
  <si>
    <t>PERNOS CARROCERO 3/8</t>
  </si>
  <si>
    <t>INGRESOS YAPE</t>
  </si>
  <si>
    <t>31M</t>
  </si>
  <si>
    <t>HILO PARA PODAR CUADRADO 2.6</t>
  </si>
  <si>
    <t>INGRESOS TARJETA</t>
  </si>
  <si>
    <t>REDUCCION 4 X 3 DESAGUE</t>
  </si>
  <si>
    <t>GASTOS VARIOS</t>
  </si>
  <si>
    <t>DISCCO GALLETA</t>
  </si>
  <si>
    <t>RODAPIE PLASTICO TR</t>
  </si>
  <si>
    <t>DINERO GANADO HOY:</t>
  </si>
  <si>
    <t>CANTIDAD DINERO CAJA:</t>
  </si>
  <si>
    <t>HIDROPISTOLA</t>
  </si>
  <si>
    <t xml:space="preserve">ACOOLE RAPIDO </t>
  </si>
  <si>
    <t>PICO DE GRIFO</t>
  </si>
  <si>
    <t>RASTILLO TRMAON</t>
  </si>
  <si>
    <t>SUPER GLU</t>
  </si>
  <si>
    <t>GRAMPAS 6.5MM</t>
  </si>
  <si>
    <t>1M</t>
  </si>
  <si>
    <t>MANGUERA NIVEL 1/3</t>
  </si>
  <si>
    <t>YAPE MAMÁ</t>
  </si>
  <si>
    <t>YAPE PAPÁ</t>
  </si>
  <si>
    <t>YAPE</t>
  </si>
  <si>
    <t>GRIFO FLEXIBLE LAVAPLATOS</t>
  </si>
  <si>
    <t>Monto Total YAPE (No tocar):</t>
  </si>
  <si>
    <t>DOC CHIP</t>
  </si>
  <si>
    <t>Monto Total Registrado en aplicacion</t>
  </si>
  <si>
    <t>DOC RAMPLU</t>
  </si>
  <si>
    <t xml:space="preserve">LIGAS </t>
  </si>
  <si>
    <t>RLLO ALUBAN DF 25</t>
  </si>
  <si>
    <t>TAPA INOD</t>
  </si>
  <si>
    <t>1/4 KG</t>
  </si>
  <si>
    <t>ALMBR</t>
  </si>
  <si>
    <t>CHIP 3X30</t>
  </si>
  <si>
    <t>INTERRUPTOR SOBREPONER</t>
  </si>
  <si>
    <t>CARBON 388</t>
  </si>
  <si>
    <t>PAGOS YAPE</t>
  </si>
  <si>
    <t>DESCRIPCION PAGO</t>
  </si>
  <si>
    <t>REPUESTO DE ESTILTE</t>
  </si>
  <si>
    <t>YESO</t>
  </si>
  <si>
    <t>PLACA DOBLE BLANCO</t>
  </si>
  <si>
    <t>MODULO INTERRUPTOR BLANCO</t>
  </si>
  <si>
    <t>SINTETILA MATE NEGRO</t>
  </si>
  <si>
    <t>DUCHA LORENZETE</t>
  </si>
  <si>
    <t>ADAPTADOR  TRAMONTIAN</t>
  </si>
  <si>
    <t>TAPN MACO TIGRE 1/2</t>
  </si>
  <si>
    <t>JGO BROCAS</t>
  </si>
  <si>
    <t>ADAPTDOR 11/4</t>
  </si>
  <si>
    <t>SEMI CODO 11/2</t>
  </si>
  <si>
    <t>TEE 11/2</t>
  </si>
  <si>
    <t>REDUCON 11/*1</t>
  </si>
  <si>
    <t xml:space="preserve">SEMICO DODO </t>
  </si>
  <si>
    <t>CPLA 11/2</t>
  </si>
  <si>
    <t>COPLA 1</t>
  </si>
  <si>
    <t>TEFLON</t>
  </si>
  <si>
    <t xml:space="preserve">SELLA ROSACA </t>
  </si>
  <si>
    <t>LIPIADORA</t>
  </si>
  <si>
    <t>M CAÑERIA 1</t>
  </si>
  <si>
    <t xml:space="preserve">SEMICODO </t>
  </si>
  <si>
    <t>PARFOVNS</t>
  </si>
  <si>
    <t>CAÑERIA 11/2</t>
  </si>
  <si>
    <t>CAÑERIA 11/4</t>
  </si>
  <si>
    <t>COPLA 1184</t>
  </si>
  <si>
    <t xml:space="preserve">JUEGO DE ACCESOIA </t>
  </si>
  <si>
    <t>PICAPIRTE 3</t>
  </si>
  <si>
    <t>LENTE TRUPER</t>
  </si>
  <si>
    <t>CANDOO HERMEX</t>
  </si>
  <si>
    <t xml:space="preserve">M CADENA </t>
  </si>
  <si>
    <t>CPOUTER</t>
  </si>
  <si>
    <t>CINTA AISLANTE</t>
  </si>
  <si>
    <t>CANDADO</t>
  </si>
  <si>
    <t>PISTOLA DE CALOR</t>
  </si>
  <si>
    <t>MANGUERA GAS</t>
  </si>
  <si>
    <t>ABRAZADERAS</t>
  </si>
  <si>
    <t>TIJERA</t>
  </si>
  <si>
    <t>GUANTES TRUOER</t>
  </si>
  <si>
    <t>JALDOROR</t>
  </si>
  <si>
    <t xml:space="preserve">REGLETA </t>
  </si>
  <si>
    <t xml:space="preserve">GOMA </t>
  </si>
  <si>
    <t>SERRUCHO</t>
  </si>
  <si>
    <t>KG ALAMBRE</t>
  </si>
  <si>
    <t>MINI ARCO TRUPER</t>
  </si>
  <si>
    <t>ADAPATDOR KONTAK</t>
  </si>
  <si>
    <t>ADAPTDOR ULTRA</t>
  </si>
  <si>
    <t>DUCHA ATLAS</t>
  </si>
  <si>
    <t>ARNADELAS  10</t>
  </si>
  <si>
    <t>SACASILICONA</t>
  </si>
  <si>
    <t>AKFIX 705</t>
  </si>
  <si>
    <t>PIST DE IRRIGAC</t>
  </si>
  <si>
    <t>DISCO UYUSTOL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</si>
</sst>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readingOrder="0" shrinkToFit="0" vertical="center" wrapText="0"/>
    </xf>
    <xf borderId="0" fillId="3" fontId="2" numFmtId="0" xfId="0" applyAlignment="1" applyFill="1" applyFont="1">
      <alignment readingOrder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12.0</v>
      </c>
      <c r="E8" s="8">
        <v>46220.37037025463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46.0</v>
      </c>
      <c r="E9" s="8">
        <v>46220.37220462963</v>
      </c>
      <c r="F9" s="2"/>
      <c r="G9" s="9" t="s">
        <v>9</v>
      </c>
      <c r="H9" s="10">
        <v>62.0</v>
      </c>
      <c r="I9" s="2"/>
      <c r="J9" s="9" t="s">
        <v>10</v>
      </c>
      <c r="K9" s="10">
        <v>711.0</v>
      </c>
      <c r="L9" s="2"/>
      <c r="M9" s="2"/>
      <c r="N9" s="2"/>
      <c r="O9" s="2"/>
      <c r="P9" s="2"/>
      <c r="Q9" s="2"/>
    </row>
    <row r="10" ht="22.5" customHeight="1">
      <c r="A10" s="6"/>
      <c r="B10" s="6" t="s">
        <v>11</v>
      </c>
      <c r="C10" s="7" t="s">
        <v>12</v>
      </c>
      <c r="D10" s="6">
        <v>32.0</v>
      </c>
      <c r="E10" s="8">
        <v>46220.37553584491</v>
      </c>
      <c r="F10" s="2"/>
      <c r="G10" s="9" t="s">
        <v>13</v>
      </c>
      <c r="H10" s="10">
        <v>180.0</v>
      </c>
      <c r="I10" s="2"/>
      <c r="J10" s="9" t="s">
        <v>14</v>
      </c>
      <c r="K10" s="11">
        <f>SUM(PRINCIPAL[TOTAL])</f>
        <v>3435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15</v>
      </c>
      <c r="D11" s="6">
        <v>22.0</v>
      </c>
      <c r="E11" s="8">
        <v>46220.37626734954</v>
      </c>
      <c r="F11" s="2"/>
      <c r="G11" s="9" t="s">
        <v>16</v>
      </c>
      <c r="H11" s="10">
        <v>2400.0</v>
      </c>
      <c r="I11" s="2"/>
      <c r="J11" s="9" t="s">
        <v>17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18</v>
      </c>
      <c r="D12" s="6">
        <v>18.0</v>
      </c>
      <c r="E12" s="8">
        <v>46220.39569260417</v>
      </c>
      <c r="F12" s="2"/>
      <c r="G12" s="9" t="s">
        <v>19</v>
      </c>
      <c r="H12" s="12">
        <f>SUM(G24:H361)</f>
        <v>1436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 t="s">
        <v>20</v>
      </c>
      <c r="C13" s="7" t="s">
        <v>21</v>
      </c>
      <c r="D13" s="14">
        <v>46.5</v>
      </c>
      <c r="E13" s="8">
        <v>46220.414139120374</v>
      </c>
      <c r="F13" s="2"/>
      <c r="G13" s="9" t="s">
        <v>22</v>
      </c>
      <c r="H13" s="10"/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23</v>
      </c>
      <c r="D14" s="6">
        <v>8.0</v>
      </c>
      <c r="E14" s="8">
        <v>46220.416391412036</v>
      </c>
      <c r="F14" s="2"/>
      <c r="G14" s="9" t="s">
        <v>24</v>
      </c>
      <c r="H14" s="10">
        <v>50.0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25</v>
      </c>
      <c r="D15" s="6">
        <v>5.0</v>
      </c>
      <c r="E15" s="8">
        <v>46220.416477708335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4.0</v>
      </c>
      <c r="C16" s="7" t="s">
        <v>26</v>
      </c>
      <c r="D16" s="16">
        <v>44.0</v>
      </c>
      <c r="E16" s="8">
        <v>46220.42145822917</v>
      </c>
      <c r="F16" s="2"/>
      <c r="G16" s="17" t="s">
        <v>27</v>
      </c>
      <c r="H16" s="18">
        <f>SUM(H9:H14)</f>
        <v>4128</v>
      </c>
      <c r="I16" s="3"/>
      <c r="J16" s="17" t="s">
        <v>28</v>
      </c>
      <c r="K16" s="18">
        <f>SUM(K9:K11)</f>
        <v>4146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29</v>
      </c>
      <c r="D17" s="6">
        <v>78.0</v>
      </c>
      <c r="E17" s="8">
        <v>46220.43046988426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30</v>
      </c>
      <c r="D18" s="6">
        <v>7.0</v>
      </c>
      <c r="E18" s="8">
        <v>46220.43054087963</v>
      </c>
      <c r="F18" s="2"/>
      <c r="G18" s="19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18,00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31</v>
      </c>
      <c r="D19" s="6">
        <v>5.0</v>
      </c>
      <c r="E19" s="8">
        <v>46220.43059335648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32</v>
      </c>
      <c r="D20" s="6">
        <v>70.0</v>
      </c>
      <c r="E20" s="8">
        <v>46220.4326925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33</v>
      </c>
      <c r="D21" s="6">
        <v>16.0</v>
      </c>
      <c r="E21" s="8">
        <v>46220.436682175925</v>
      </c>
      <c r="F21" s="2"/>
      <c r="G21" s="20"/>
      <c r="H21" s="20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3.0</v>
      </c>
      <c r="C22" s="7" t="s">
        <v>34</v>
      </c>
      <c r="D22" s="6">
        <v>21.0</v>
      </c>
      <c r="E22" s="8">
        <v>46220.44579895833</v>
      </c>
      <c r="F22" s="2"/>
      <c r="G22" s="20"/>
      <c r="H22" s="20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 t="s">
        <v>35</v>
      </c>
      <c r="C23" s="7" t="s">
        <v>36</v>
      </c>
      <c r="D23" s="6">
        <v>4.5</v>
      </c>
      <c r="E23" s="8">
        <v>46220.44588385416</v>
      </c>
      <c r="F23" s="2"/>
      <c r="G23" s="21" t="s">
        <v>37</v>
      </c>
      <c r="H23" s="21" t="s">
        <v>38</v>
      </c>
      <c r="I23" s="2"/>
      <c r="J23" s="22" t="s">
        <v>39</v>
      </c>
      <c r="L23" s="23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40</v>
      </c>
      <c r="D24" s="6">
        <v>70.0</v>
      </c>
      <c r="E24" s="8">
        <v>46220.446064814816</v>
      </c>
      <c r="F24" s="2"/>
      <c r="G24" s="24">
        <v>12.0</v>
      </c>
      <c r="H24" s="25"/>
      <c r="I24" s="2"/>
      <c r="J24" s="26" t="s">
        <v>41</v>
      </c>
      <c r="K24" s="27">
        <f>SUM(INGRESOS_YAPE[])</f>
        <v>1436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42</v>
      </c>
      <c r="D25" s="6">
        <v>7.0</v>
      </c>
      <c r="E25" s="8">
        <v>46220.46294745371</v>
      </c>
      <c r="F25" s="2"/>
      <c r="G25" s="24">
        <v>22.0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42</v>
      </c>
      <c r="D26" s="6">
        <v>8.0</v>
      </c>
      <c r="E26" s="8">
        <v>46220.46305180556</v>
      </c>
      <c r="F26" s="2"/>
      <c r="G26" s="28">
        <v>44.0</v>
      </c>
      <c r="H26" s="25"/>
      <c r="I26" s="2"/>
      <c r="J26" s="29" t="s">
        <v>43</v>
      </c>
      <c r="K26" s="30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44</v>
      </c>
      <c r="D27" s="6">
        <v>2.0</v>
      </c>
      <c r="E27" s="8">
        <v>46220.463208368055</v>
      </c>
      <c r="F27" s="2"/>
      <c r="G27" s="24">
        <v>90.0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45</v>
      </c>
      <c r="D28" s="6">
        <v>34.0</v>
      </c>
      <c r="E28" s="8">
        <v>46220.47046498842</v>
      </c>
      <c r="F28" s="2"/>
      <c r="G28" s="24">
        <v>227.0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46</v>
      </c>
      <c r="D29" s="6">
        <v>740.0</v>
      </c>
      <c r="E29" s="8">
        <v>46220.483283298614</v>
      </c>
      <c r="F29" s="2"/>
      <c r="G29" s="24">
        <v>61.0</v>
      </c>
      <c r="H29" s="25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1436,00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47</v>
      </c>
      <c r="D30" s="6">
        <v>60.0</v>
      </c>
      <c r="E30" s="8">
        <v>46220.49204179399</v>
      </c>
      <c r="F30" s="2"/>
      <c r="G30" s="24">
        <v>120.0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 t="s">
        <v>48</v>
      </c>
      <c r="C31" s="7" t="s">
        <v>49</v>
      </c>
      <c r="D31" s="6">
        <v>5.0</v>
      </c>
      <c r="E31" s="8">
        <v>46220.50413128472</v>
      </c>
      <c r="F31" s="2"/>
      <c r="G31" s="24">
        <v>680.0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24.0</v>
      </c>
      <c r="C32" s="7" t="s">
        <v>50</v>
      </c>
      <c r="D32" s="6">
        <v>6.0</v>
      </c>
      <c r="E32" s="8">
        <v>46220.52185081018</v>
      </c>
      <c r="F32" s="2"/>
      <c r="G32" s="24">
        <v>18.0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51</v>
      </c>
      <c r="D33" s="6">
        <v>6.0</v>
      </c>
      <c r="E33" s="8">
        <v>46220.52198611111</v>
      </c>
      <c r="F33" s="2"/>
      <c r="G33" s="24">
        <v>24.0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52</v>
      </c>
      <c r="D34" s="6">
        <v>19.0</v>
      </c>
      <c r="E34" s="8">
        <v>46220.53343002315</v>
      </c>
      <c r="F34" s="2"/>
      <c r="G34" s="24">
        <v>57.0</v>
      </c>
      <c r="H34" s="25"/>
      <c r="I34" s="2"/>
      <c r="J34" s="32" t="s">
        <v>53</v>
      </c>
      <c r="K34" s="32" t="s">
        <v>54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55</v>
      </c>
      <c r="D35" s="6">
        <v>17.0</v>
      </c>
      <c r="E35" s="8">
        <v>46220.54431564815</v>
      </c>
      <c r="F35" s="2"/>
      <c r="G35" s="24">
        <v>81.0</v>
      </c>
      <c r="H35" s="25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56</v>
      </c>
      <c r="D36" s="6">
        <v>16.0</v>
      </c>
      <c r="E36" s="8">
        <v>46220.56067003473</v>
      </c>
      <c r="F36" s="2"/>
      <c r="G36" s="25"/>
      <c r="H36" s="25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57</v>
      </c>
      <c r="D37" s="6">
        <v>11.5</v>
      </c>
      <c r="E37" s="8">
        <v>46220.562441030095</v>
      </c>
      <c r="F37" s="2"/>
      <c r="G37" s="25"/>
      <c r="H37" s="25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58</v>
      </c>
      <c r="D38" s="6">
        <v>20.0</v>
      </c>
      <c r="E38" s="8">
        <v>46220.56260497685</v>
      </c>
      <c r="F38" s="2"/>
      <c r="G38" s="25"/>
      <c r="H38" s="25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59</v>
      </c>
      <c r="D39" s="16">
        <v>61.0</v>
      </c>
      <c r="E39" s="8">
        <v>46220.59316636574</v>
      </c>
      <c r="F39" s="2"/>
      <c r="G39" s="25"/>
      <c r="H39" s="25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60</v>
      </c>
      <c r="D40" s="16">
        <v>220.0</v>
      </c>
      <c r="E40" s="8">
        <v>46220.5954512037</v>
      </c>
      <c r="F40" s="2"/>
      <c r="G40" s="25"/>
      <c r="H40" s="25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61</v>
      </c>
      <c r="D41" s="16">
        <v>7.0</v>
      </c>
      <c r="E41" s="8">
        <v>46220.59565644676</v>
      </c>
      <c r="F41" s="2"/>
      <c r="G41" s="25"/>
      <c r="H41" s="25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62</v>
      </c>
      <c r="D42" s="16">
        <v>2.0</v>
      </c>
      <c r="E42" s="8">
        <v>46220.596827291665</v>
      </c>
      <c r="F42" s="2"/>
      <c r="G42" s="25"/>
      <c r="H42" s="25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63</v>
      </c>
      <c r="D43" s="6">
        <v>120.0</v>
      </c>
      <c r="E43" s="8">
        <v>46220.60664079861</v>
      </c>
      <c r="F43" s="2"/>
      <c r="G43" s="25"/>
      <c r="H43" s="25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3"/>
      <c r="B44" s="6">
        <v>3.0</v>
      </c>
      <c r="C44" s="7" t="s">
        <v>64</v>
      </c>
      <c r="D44" s="6">
        <v>30.0</v>
      </c>
      <c r="E44" s="8">
        <v>46220.611899282405</v>
      </c>
      <c r="F44" s="2"/>
      <c r="G44" s="25"/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8.0</v>
      </c>
      <c r="C45" s="7" t="s">
        <v>64</v>
      </c>
      <c r="D45" s="6">
        <v>104.0</v>
      </c>
      <c r="E45" s="8">
        <v>46220.61205483796</v>
      </c>
      <c r="F45" s="2"/>
      <c r="G45" s="25"/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3.0</v>
      </c>
      <c r="C46" s="7" t="s">
        <v>65</v>
      </c>
      <c r="D46" s="6">
        <v>51.0</v>
      </c>
      <c r="E46" s="8">
        <v>46220.61224113426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66</v>
      </c>
      <c r="D47" s="6">
        <v>17.0</v>
      </c>
      <c r="E47" s="8">
        <v>46220.61279516204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67</v>
      </c>
      <c r="D48" s="6">
        <v>9.0</v>
      </c>
      <c r="E48" s="8">
        <v>46220.61298298612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3.0</v>
      </c>
      <c r="C49" s="7" t="s">
        <v>68</v>
      </c>
      <c r="D49" s="6">
        <v>18.0</v>
      </c>
      <c r="E49" s="8">
        <v>46220.61468482639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69</v>
      </c>
      <c r="D50" s="6">
        <v>26.0</v>
      </c>
      <c r="E50" s="8">
        <v>46220.61540581018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70</v>
      </c>
      <c r="D51" s="6">
        <v>7.0</v>
      </c>
      <c r="E51" s="8">
        <v>46220.61558159722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7.0</v>
      </c>
      <c r="C52" s="7" t="s">
        <v>71</v>
      </c>
      <c r="D52" s="6">
        <v>21.0</v>
      </c>
      <c r="E52" s="8">
        <v>46220.61621979167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72</v>
      </c>
      <c r="D53" s="6">
        <v>21.0</v>
      </c>
      <c r="E53" s="8">
        <v>46220.616270046296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73</v>
      </c>
      <c r="D54" s="6">
        <v>60.0</v>
      </c>
      <c r="E54" s="8">
        <v>46220.61665202546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74</v>
      </c>
      <c r="D55" s="6">
        <v>20.0</v>
      </c>
      <c r="E55" s="8">
        <v>46220.618697777776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75</v>
      </c>
      <c r="D56" s="6">
        <v>17.0</v>
      </c>
      <c r="E56" s="8">
        <v>46220.61687789352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76</v>
      </c>
      <c r="D57" s="6">
        <v>180.0</v>
      </c>
      <c r="E57" s="8">
        <v>46220.61696866898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77</v>
      </c>
      <c r="D58" s="6">
        <v>68.0</v>
      </c>
      <c r="E58" s="8">
        <v>46220.61830744213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78</v>
      </c>
      <c r="D59" s="6">
        <v>20.0</v>
      </c>
      <c r="E59" s="8">
        <v>46220.618575416665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79</v>
      </c>
      <c r="D60" s="6">
        <v>13.0</v>
      </c>
      <c r="E60" s="8">
        <v>46220.61964862268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80</v>
      </c>
      <c r="D61" s="6">
        <v>72.0</v>
      </c>
      <c r="E61" s="8">
        <v>46220.622179363425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81</v>
      </c>
      <c r="D62" s="6">
        <v>14.0</v>
      </c>
      <c r="E62" s="8">
        <v>46220.62724579861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82</v>
      </c>
      <c r="D63" s="6">
        <v>24.0</v>
      </c>
      <c r="E63" s="8">
        <v>46220.64080179398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83</v>
      </c>
      <c r="D64" s="6">
        <v>18.0</v>
      </c>
      <c r="E64" s="8">
        <v>46220.64085560185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3.0</v>
      </c>
      <c r="C65" s="7" t="s">
        <v>84</v>
      </c>
      <c r="D65" s="6">
        <v>36.0</v>
      </c>
      <c r="E65" s="8">
        <v>46220.69094663195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85</v>
      </c>
      <c r="D66" s="6">
        <v>10.0</v>
      </c>
      <c r="E66" s="8">
        <v>46220.69100489584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86</v>
      </c>
      <c r="D67" s="6">
        <v>13.0</v>
      </c>
      <c r="E67" s="8">
        <v>46220.69105537037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87</v>
      </c>
      <c r="D68" s="6">
        <v>14.0</v>
      </c>
      <c r="E68" s="8">
        <v>46220.693841886576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88</v>
      </c>
      <c r="D69" s="6">
        <v>137.0</v>
      </c>
      <c r="E69" s="8">
        <v>46220.69390233797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2.5</v>
      </c>
      <c r="C70" s="7" t="s">
        <v>89</v>
      </c>
      <c r="D70" s="6">
        <v>30.0</v>
      </c>
      <c r="E70" s="8">
        <v>46220.70229898149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90</v>
      </c>
      <c r="D71" s="6">
        <v>5.0</v>
      </c>
      <c r="E71" s="8">
        <v>46220.70235056713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91</v>
      </c>
      <c r="D72" s="6">
        <v>15.0</v>
      </c>
      <c r="E72" s="8">
        <v>46220.718509479164</v>
      </c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3.0</v>
      </c>
      <c r="C73" s="7" t="s">
        <v>92</v>
      </c>
      <c r="D73" s="6">
        <v>57.0</v>
      </c>
      <c r="E73" s="8">
        <v>46220.72606266204</v>
      </c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93</v>
      </c>
      <c r="D74" s="6">
        <v>18.0</v>
      </c>
      <c r="E74" s="8">
        <v>46220.727172280094</v>
      </c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94</v>
      </c>
      <c r="D75" s="6">
        <v>11.0</v>
      </c>
      <c r="E75" s="8">
        <v>46220.72724232639</v>
      </c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95</v>
      </c>
      <c r="D76" s="6">
        <v>1.0</v>
      </c>
      <c r="E76" s="8">
        <v>46220.72730012731</v>
      </c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96</v>
      </c>
      <c r="D77" s="6">
        <v>45.0</v>
      </c>
      <c r="E77" s="8">
        <v>46220.74535319445</v>
      </c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35">
        <v>46054.0</v>
      </c>
      <c r="C78" s="7" t="s">
        <v>97</v>
      </c>
      <c r="D78" s="6">
        <v>15.0</v>
      </c>
      <c r="E78" s="8">
        <v>46220.7473415162</v>
      </c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71</v>
      </c>
      <c r="D79" s="6">
        <v>2.5</v>
      </c>
      <c r="E79" s="8">
        <v>46220.74751019676</v>
      </c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98</v>
      </c>
      <c r="D80" s="6">
        <v>49.0</v>
      </c>
      <c r="E80" s="8">
        <v>46220.75461736111</v>
      </c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99</v>
      </c>
      <c r="D81" s="6">
        <v>15.0</v>
      </c>
      <c r="E81" s="8">
        <v>46220.753497303245</v>
      </c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100</v>
      </c>
      <c r="D82" s="6">
        <v>5.0</v>
      </c>
      <c r="E82" s="8">
        <v>46220.75358422454</v>
      </c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101</v>
      </c>
      <c r="D83" s="6">
        <v>128.0</v>
      </c>
      <c r="E83" s="8">
        <v>46220.75366533565</v>
      </c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24.0</v>
      </c>
      <c r="C84" s="7" t="s">
        <v>102</v>
      </c>
      <c r="D84" s="6">
        <v>3.0</v>
      </c>
      <c r="E84" s="8">
        <v>46220.75487689815</v>
      </c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103</v>
      </c>
      <c r="D85" s="6">
        <v>15.0</v>
      </c>
      <c r="E85" s="8">
        <v>46220.769323796296</v>
      </c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104</v>
      </c>
      <c r="D86" s="6">
        <v>34.0</v>
      </c>
      <c r="E86" s="8">
        <v>46220.76975969908</v>
      </c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105</v>
      </c>
      <c r="D87" s="6">
        <v>73.0</v>
      </c>
      <c r="E87" s="8">
        <v>46220.77516684028</v>
      </c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31</v>
      </c>
      <c r="D88" s="6">
        <v>7.0</v>
      </c>
      <c r="E88" s="8">
        <v>46220.775396655095</v>
      </c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4.0</v>
      </c>
      <c r="C89" s="7" t="s">
        <v>106</v>
      </c>
      <c r="D89" s="6">
        <v>20.0</v>
      </c>
      <c r="E89" s="8">
        <v>46220.77950549769</v>
      </c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6"/>
      <c r="D90" s="37"/>
      <c r="E90" s="38"/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6"/>
      <c r="D91" s="37"/>
      <c r="E91" s="38"/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6"/>
      <c r="D92" s="37"/>
      <c r="E92" s="38"/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6"/>
      <c r="D93" s="37"/>
      <c r="E93" s="38"/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6"/>
      <c r="D94" s="37"/>
      <c r="E94" s="38"/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6"/>
      <c r="D95" s="37"/>
      <c r="E95" s="38"/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6"/>
      <c r="D96" s="37"/>
      <c r="E96" s="38"/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6"/>
      <c r="D97" s="37"/>
      <c r="E97" s="38"/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6"/>
      <c r="D98" s="37"/>
      <c r="E98" s="38"/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6"/>
      <c r="D99" s="37"/>
      <c r="E99" s="38"/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6"/>
      <c r="D100" s="37"/>
      <c r="E100" s="38"/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6"/>
      <c r="D101" s="37"/>
      <c r="E101" s="38"/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6"/>
      <c r="D102" s="37"/>
      <c r="E102" s="38"/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6"/>
      <c r="D103" s="37"/>
      <c r="E103" s="38"/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6"/>
      <c r="D104" s="37"/>
      <c r="E104" s="38"/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6"/>
      <c r="D105" s="37"/>
      <c r="E105" s="38"/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6"/>
      <c r="D106" s="37"/>
      <c r="E106" s="38"/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6"/>
      <c r="D107" s="37"/>
      <c r="E107" s="38"/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6"/>
      <c r="D108" s="37"/>
      <c r="E108" s="38"/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6"/>
      <c r="D109" s="37"/>
      <c r="E109" s="38"/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6"/>
      <c r="D110" s="37"/>
      <c r="E110" s="38"/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6"/>
      <c r="D111" s="37"/>
      <c r="E111" s="38"/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6"/>
      <c r="D112" s="37"/>
      <c r="E112" s="38"/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6"/>
      <c r="D113" s="37"/>
      <c r="E113" s="38"/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6"/>
      <c r="D114" s="37"/>
      <c r="E114" s="38"/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6"/>
      <c r="D115" s="37"/>
      <c r="E115" s="38"/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6"/>
      <c r="D116" s="37"/>
      <c r="E116" s="38"/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6"/>
      <c r="D117" s="37"/>
      <c r="E117" s="38"/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6"/>
      <c r="D118" s="37"/>
      <c r="E118" s="38"/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6"/>
      <c r="D119" s="37"/>
      <c r="E119" s="38"/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6"/>
      <c r="D120" s="37"/>
      <c r="E120" s="38"/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6"/>
      <c r="D121" s="37"/>
      <c r="E121" s="38"/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6"/>
      <c r="D122" s="37"/>
      <c r="E122" s="38"/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6"/>
      <c r="D123" s="37"/>
      <c r="E123" s="38"/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6"/>
      <c r="D124" s="37"/>
      <c r="E124" s="38"/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6"/>
      <c r="D125" s="37"/>
      <c r="E125" s="38"/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6"/>
      <c r="D126" s="37"/>
      <c r="E126" s="38"/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6"/>
      <c r="D127" s="37"/>
      <c r="E127" s="38"/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6"/>
      <c r="D128" s="37"/>
      <c r="E128" s="38"/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6"/>
      <c r="D129" s="37"/>
      <c r="E129" s="38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6"/>
      <c r="D130" s="37"/>
      <c r="E130" s="38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6"/>
      <c r="D131" s="37"/>
      <c r="E131" s="38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6"/>
      <c r="D132" s="37"/>
      <c r="E132" s="38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6"/>
      <c r="D133" s="37"/>
      <c r="E133" s="38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6"/>
      <c r="D134" s="37"/>
      <c r="E134" s="38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6"/>
      <c r="D135" s="37"/>
      <c r="E135" s="38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6"/>
      <c r="D136" s="37"/>
      <c r="E136" s="38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6"/>
      <c r="D137" s="37"/>
      <c r="E137" s="38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6"/>
      <c r="D138" s="37"/>
      <c r="E138" s="38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6"/>
      <c r="D139" s="37"/>
      <c r="E139" s="38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6"/>
      <c r="D140" s="37"/>
      <c r="E140" s="38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6"/>
      <c r="D141" s="37"/>
      <c r="E141" s="38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6"/>
      <c r="D142" s="37"/>
      <c r="E142" s="38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6"/>
      <c r="D143" s="37"/>
      <c r="E143" s="38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6"/>
      <c r="D144" s="37"/>
      <c r="E144" s="38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6"/>
      <c r="D145" s="37"/>
      <c r="E145" s="38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6"/>
      <c r="D146" s="37"/>
      <c r="E146" s="38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6"/>
      <c r="D147" s="37"/>
      <c r="E147" s="38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6"/>
      <c r="D148" s="37"/>
      <c r="E148" s="38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6"/>
      <c r="D149" s="37"/>
      <c r="E149" s="38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6"/>
      <c r="D150" s="37"/>
      <c r="E150" s="38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6"/>
      <c r="D151" s="37"/>
      <c r="E151" s="38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6"/>
      <c r="D152" s="37"/>
      <c r="E152" s="38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6"/>
      <c r="D153" s="37"/>
      <c r="E153" s="38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6"/>
      <c r="D154" s="37"/>
      <c r="E154" s="38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6"/>
      <c r="D155" s="37"/>
      <c r="E155" s="38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6"/>
      <c r="D156" s="37"/>
      <c r="E156" s="38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6"/>
      <c r="D157" s="37"/>
      <c r="E157" s="38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6"/>
      <c r="D158" s="37"/>
      <c r="E158" s="38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6"/>
      <c r="D159" s="37"/>
      <c r="E159" s="38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6"/>
      <c r="D160" s="37"/>
      <c r="E160" s="38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6"/>
      <c r="D161" s="37"/>
      <c r="E161" s="38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6"/>
      <c r="D162" s="37"/>
      <c r="E162" s="38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6"/>
      <c r="D163" s="37"/>
      <c r="E163" s="38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6"/>
      <c r="D164" s="37"/>
      <c r="E164" s="38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6"/>
      <c r="D165" s="37"/>
      <c r="E165" s="38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6"/>
      <c r="D166" s="37"/>
      <c r="E166" s="38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6"/>
      <c r="D167" s="37"/>
      <c r="E167" s="38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6"/>
      <c r="D168" s="37"/>
      <c r="E168" s="38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6"/>
      <c r="D169" s="37"/>
      <c r="E169" s="38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6"/>
      <c r="D170" s="37"/>
      <c r="E170" s="38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6"/>
      <c r="D171" s="37"/>
      <c r="E171" s="38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6"/>
      <c r="D172" s="37"/>
      <c r="E172" s="38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6"/>
      <c r="D173" s="37"/>
      <c r="E173" s="38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6"/>
      <c r="D174" s="37"/>
      <c r="E174" s="38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6"/>
      <c r="D175" s="37"/>
      <c r="E175" s="38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6"/>
      <c r="D176" s="37"/>
      <c r="E176" s="38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6"/>
      <c r="D177" s="37"/>
      <c r="E177" s="38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6"/>
      <c r="D178" s="37"/>
      <c r="E178" s="38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6"/>
      <c r="D179" s="37"/>
      <c r="E179" s="38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6"/>
      <c r="D180" s="37"/>
      <c r="E180" s="38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6"/>
      <c r="D181" s="37"/>
      <c r="E181" s="38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6"/>
      <c r="D182" s="37"/>
      <c r="E182" s="38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6"/>
      <c r="D183" s="37"/>
      <c r="E183" s="38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6"/>
      <c r="D184" s="37"/>
      <c r="E184" s="38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6"/>
      <c r="D185" s="37"/>
      <c r="E185" s="38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6"/>
      <c r="D186" s="37"/>
      <c r="E186" s="38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6"/>
      <c r="D187" s="37"/>
      <c r="E187" s="38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6"/>
      <c r="D188" s="37"/>
      <c r="E188" s="38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6"/>
      <c r="D189" s="37"/>
      <c r="E189" s="38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6"/>
      <c r="D190" s="37"/>
      <c r="E190" s="38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6"/>
      <c r="D191" s="37"/>
      <c r="E191" s="38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6"/>
      <c r="D192" s="37"/>
      <c r="E192" s="38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6"/>
      <c r="D193" s="37"/>
      <c r="E193" s="38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6"/>
      <c r="D194" s="37"/>
      <c r="E194" s="38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6"/>
      <c r="D195" s="37"/>
      <c r="E195" s="38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6"/>
      <c r="D196" s="37"/>
      <c r="E196" s="38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6"/>
      <c r="D197" s="37"/>
      <c r="E197" s="38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6"/>
      <c r="D198" s="37"/>
      <c r="E198" s="38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6"/>
      <c r="D199" s="37"/>
      <c r="E199" s="38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6"/>
      <c r="D200" s="37"/>
      <c r="E200" s="38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6"/>
      <c r="D201" s="37"/>
      <c r="E201" s="38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6"/>
      <c r="D202" s="37"/>
      <c r="E202" s="38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6"/>
      <c r="D203" s="37"/>
      <c r="E203" s="38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6"/>
      <c r="D204" s="37"/>
      <c r="E204" s="38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6"/>
      <c r="D205" s="37"/>
      <c r="E205" s="38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6"/>
      <c r="D206" s="37"/>
      <c r="E206" s="38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6"/>
      <c r="D207" s="37"/>
      <c r="E207" s="38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6"/>
      <c r="D208" s="37"/>
      <c r="E208" s="38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6"/>
      <c r="D209" s="37"/>
      <c r="E209" s="38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6"/>
      <c r="D210" s="37"/>
      <c r="E210" s="38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6"/>
      <c r="D211" s="37"/>
      <c r="E211" s="38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6"/>
      <c r="D212" s="37"/>
      <c r="E212" s="38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6"/>
      <c r="D213" s="37"/>
      <c r="E213" s="38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6"/>
      <c r="D214" s="37"/>
      <c r="E214" s="38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6"/>
      <c r="D215" s="37"/>
      <c r="E215" s="38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6"/>
      <c r="D216" s="37"/>
      <c r="E216" s="38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6"/>
      <c r="D217" s="37"/>
      <c r="E217" s="38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6"/>
      <c r="D218" s="37"/>
      <c r="E218" s="38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6"/>
      <c r="D219" s="37"/>
      <c r="E219" s="38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6"/>
      <c r="D220" s="37"/>
      <c r="E220" s="38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6"/>
      <c r="D221" s="37"/>
      <c r="E221" s="38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6"/>
      <c r="D222" s="37"/>
      <c r="E222" s="38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6"/>
      <c r="D223" s="37"/>
      <c r="E223" s="38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6"/>
      <c r="D224" s="37"/>
      <c r="E224" s="38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6"/>
      <c r="D225" s="37"/>
      <c r="E225" s="38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6"/>
      <c r="D226" s="37"/>
      <c r="E226" s="38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6"/>
      <c r="D227" s="37"/>
      <c r="E227" s="38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6"/>
      <c r="D228" s="37"/>
      <c r="E228" s="38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6"/>
      <c r="D229" s="37"/>
      <c r="E229" s="38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6"/>
      <c r="D230" s="37"/>
      <c r="E230" s="38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6"/>
      <c r="D231" s="37"/>
      <c r="E231" s="38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6"/>
      <c r="D232" s="37"/>
      <c r="E232" s="38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6"/>
      <c r="D233" s="37"/>
      <c r="E233" s="38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6"/>
      <c r="D234" s="37"/>
      <c r="E234" s="38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6"/>
      <c r="D235" s="37"/>
      <c r="E235" s="38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6"/>
      <c r="D236" s="37"/>
      <c r="E236" s="38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6"/>
      <c r="D237" s="37"/>
      <c r="E237" s="38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6"/>
      <c r="D238" s="37"/>
      <c r="E238" s="38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6"/>
      <c r="D239" s="37"/>
      <c r="E239" s="38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6"/>
      <c r="D240" s="37"/>
      <c r="E240" s="38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6"/>
      <c r="D241" s="37"/>
      <c r="E241" s="38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6"/>
      <c r="D242" s="37"/>
      <c r="E242" s="38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6"/>
      <c r="D243" s="37"/>
      <c r="E243" s="38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6"/>
      <c r="D244" s="37"/>
      <c r="E244" s="38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6"/>
      <c r="D245" s="37"/>
      <c r="E245" s="38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6"/>
      <c r="D246" s="37"/>
      <c r="E246" s="38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6"/>
      <c r="D247" s="37"/>
      <c r="E247" s="38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6"/>
      <c r="D248" s="37"/>
      <c r="E248" s="38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6"/>
      <c r="D249" s="37"/>
      <c r="E249" s="38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6"/>
      <c r="D250" s="37"/>
      <c r="E250" s="38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6"/>
      <c r="D251" s="37"/>
      <c r="E251" s="38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6"/>
      <c r="D252" s="37"/>
      <c r="E252" s="38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6"/>
      <c r="D253" s="37"/>
      <c r="E253" s="38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6"/>
      <c r="D254" s="37"/>
      <c r="E254" s="38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6"/>
      <c r="D255" s="37"/>
      <c r="E255" s="38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6"/>
      <c r="D256" s="37"/>
      <c r="E256" s="38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6"/>
      <c r="D257" s="37"/>
      <c r="E257" s="38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6"/>
      <c r="D258" s="37"/>
      <c r="E258" s="38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6"/>
      <c r="D259" s="37"/>
      <c r="E259" s="38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6"/>
      <c r="D260" s="37"/>
      <c r="E260" s="38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6"/>
      <c r="D261" s="37"/>
      <c r="E261" s="38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6"/>
      <c r="D262" s="37"/>
      <c r="E262" s="38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6"/>
      <c r="D263" s="37"/>
      <c r="E263" s="38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6"/>
      <c r="D264" s="37"/>
      <c r="E264" s="38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6"/>
      <c r="D265" s="37"/>
      <c r="E265" s="38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6"/>
      <c r="D266" s="37"/>
      <c r="E266" s="38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6"/>
      <c r="D267" s="37"/>
      <c r="E267" s="38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6"/>
      <c r="D268" s="37"/>
      <c r="E268" s="38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6"/>
      <c r="D269" s="37"/>
      <c r="E269" s="38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6"/>
      <c r="D270" s="37"/>
      <c r="E270" s="38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6"/>
      <c r="D271" s="37"/>
      <c r="E271" s="38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6"/>
      <c r="D272" s="37"/>
      <c r="E272" s="38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6"/>
      <c r="D273" s="37"/>
      <c r="E273" s="38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6"/>
      <c r="D274" s="37"/>
      <c r="E274" s="38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6"/>
      <c r="D275" s="37"/>
      <c r="E275" s="38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6"/>
      <c r="D276" s="37"/>
      <c r="E276" s="38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6"/>
      <c r="D277" s="37"/>
      <c r="E277" s="38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6"/>
      <c r="D278" s="37"/>
      <c r="E278" s="38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6"/>
      <c r="D279" s="37"/>
      <c r="E279" s="38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6"/>
      <c r="D280" s="37"/>
      <c r="E280" s="38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6"/>
      <c r="D281" s="37"/>
      <c r="E281" s="38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6"/>
      <c r="D282" s="37"/>
      <c r="E282" s="38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6"/>
      <c r="D283" s="37"/>
      <c r="E283" s="38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6"/>
      <c r="D284" s="37"/>
      <c r="E284" s="38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6"/>
      <c r="D285" s="37"/>
      <c r="E285" s="38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6"/>
      <c r="D286" s="37"/>
      <c r="E286" s="38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6"/>
      <c r="D287" s="37"/>
      <c r="E287" s="38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6"/>
      <c r="D288" s="37"/>
      <c r="E288" s="38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6"/>
      <c r="D289" s="37"/>
      <c r="E289" s="38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6"/>
      <c r="D290" s="37"/>
      <c r="E290" s="38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6"/>
      <c r="D291" s="37"/>
      <c r="E291" s="38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6"/>
      <c r="D292" s="37"/>
      <c r="E292" s="38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6"/>
      <c r="D293" s="37"/>
      <c r="E293" s="38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6"/>
      <c r="D294" s="37"/>
      <c r="E294" s="38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6"/>
      <c r="D295" s="37"/>
      <c r="E295" s="38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6"/>
      <c r="D296" s="37"/>
      <c r="E296" s="38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6"/>
      <c r="D297" s="37"/>
      <c r="E297" s="38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6"/>
      <c r="D298" s="37"/>
      <c r="E298" s="38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6"/>
      <c r="D299" s="37"/>
      <c r="E299" s="38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6"/>
      <c r="D300" s="37"/>
      <c r="E300" s="38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6"/>
      <c r="D301" s="37"/>
      <c r="E301" s="38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