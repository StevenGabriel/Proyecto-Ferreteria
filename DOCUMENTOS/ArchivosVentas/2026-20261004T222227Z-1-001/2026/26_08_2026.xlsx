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<sst xmlns="http://schemas.openxmlformats.org/spreadsheetml/2006/main" count="125" uniqueCount="123">
  <si>
    <t>HOJA DE CALCULO FERRETERIA</t>
  </si>
  <si>
    <t>CODIGO</t>
  </si>
  <si>
    <t>CANTIDAD</t>
  </si>
  <si>
    <t>DESCRIPCION</t>
  </si>
  <si>
    <t>TOTAL</t>
  </si>
  <si>
    <t>HORA</t>
  </si>
  <si>
    <t>CUADRAR</t>
  </si>
  <si>
    <t>limaton</t>
  </si>
  <si>
    <t>broca encastre</t>
  </si>
  <si>
    <t>MONEDAS</t>
  </si>
  <si>
    <t>CAJA CHICA</t>
  </si>
  <si>
    <t>chicotillo hh 40</t>
  </si>
  <si>
    <t>BILLETES 10-20</t>
  </si>
  <si>
    <t>TOTAL VENTAS DIA</t>
  </si>
  <si>
    <t>adaptador rapido</t>
  </si>
  <si>
    <t>BILLETES 50-100-200</t>
  </si>
  <si>
    <t>AUMENTO DE DINERO</t>
  </si>
  <si>
    <t>pico 1/2</t>
  </si>
  <si>
    <t>INGRESOS YAPE</t>
  </si>
  <si>
    <t>adaptador para regar</t>
  </si>
  <si>
    <t>INGRESOS TARJETA</t>
  </si>
  <si>
    <t>aspersor</t>
  </si>
  <si>
    <t>GASTOS VARIOS</t>
  </si>
  <si>
    <t>dado 8 para taladro</t>
  </si>
  <si>
    <t xml:space="preserve">unio patnetas </t>
  </si>
  <si>
    <t>DINERO GANADO HOY:</t>
  </si>
  <si>
    <t>CANTIDAD DINERO CAJA:</t>
  </si>
  <si>
    <t>pela cable</t>
  </si>
  <si>
    <t>gotia</t>
  </si>
  <si>
    <t>desarmadoas</t>
  </si>
  <si>
    <t>chip 4*40</t>
  </si>
  <si>
    <t xml:space="preserve">m manguera </t>
  </si>
  <si>
    <t>adaptador tramkonta</t>
  </si>
  <si>
    <t>YAPE MAMÁ</t>
  </si>
  <si>
    <t>YAPE PAPÁ</t>
  </si>
  <si>
    <t>YAPE</t>
  </si>
  <si>
    <t xml:space="preserve">ducha </t>
  </si>
  <si>
    <t>Monto Total YAPE (No tocar):</t>
  </si>
  <si>
    <t>manguera 15m compresora</t>
  </si>
  <si>
    <t>acoples hembra</t>
  </si>
  <si>
    <t>Monto Total Registrado en aplicacion</t>
  </si>
  <si>
    <t>CHAPA BAÑO</t>
  </si>
  <si>
    <t>BRCA FIERRO 4.5</t>
  </si>
  <si>
    <t>M CABLE BIPOLAR</t>
  </si>
  <si>
    <t>GUANTE LIXRA 10</t>
  </si>
  <si>
    <t>PICAPORTE 2</t>
  </si>
  <si>
    <t>CHIP 3,5*30</t>
  </si>
  <si>
    <t xml:space="preserve">INTERRUPTOR </t>
  </si>
  <si>
    <t>PIE DE AMIGO</t>
  </si>
  <si>
    <t>PAGOS YAPE</t>
  </si>
  <si>
    <t>DESCRIPCION PAGO</t>
  </si>
  <si>
    <t xml:space="preserve">TORNILLO </t>
  </si>
  <si>
    <t>RAMPLUS</t>
  </si>
  <si>
    <t xml:space="preserve">BROKCA </t>
  </si>
  <si>
    <t>MADRIL</t>
  </si>
  <si>
    <t xml:space="preserve">AEROSL </t>
  </si>
  <si>
    <t>TIJERA</t>
  </si>
  <si>
    <t xml:space="preserve">SILICONA </t>
  </si>
  <si>
    <t>DESARMADOR</t>
  </si>
  <si>
    <t>FOCO TRAMKONTA</t>
  </si>
  <si>
    <t>PISTO, SILCON CORONA</t>
  </si>
  <si>
    <t xml:space="preserve">TONILLO </t>
  </si>
  <si>
    <t>10M</t>
  </si>
  <si>
    <t>CABLE BIPOLAR 14</t>
  </si>
  <si>
    <t>CALVIJA</t>
  </si>
  <si>
    <t>REGLETA 3 OMEGA</t>
  </si>
  <si>
    <t>REGLETA 4 IMEGA</t>
  </si>
  <si>
    <t>REGLETA 2 ULTRA</t>
  </si>
  <si>
    <t xml:space="preserve">JUGEO DE DADOS </t>
  </si>
  <si>
    <t>JUEGO DADOS 3/8</t>
  </si>
  <si>
    <t>LIMA REDONDA 8</t>
  </si>
  <si>
    <t>DISCO FLAP</t>
  </si>
  <si>
    <t>11M</t>
  </si>
  <si>
    <t>PLASTICO 1M</t>
  </si>
  <si>
    <t>CINTA EMBALAJE</t>
  </si>
  <si>
    <t>JUEGO DE ACOPLES</t>
  </si>
  <si>
    <t>TIJERA DE PODAR</t>
  </si>
  <si>
    <t>ARMELLAS</t>
  </si>
  <si>
    <t>RAMPLU 8</t>
  </si>
  <si>
    <t>BROCA 8 CONCRETO</t>
  </si>
  <si>
    <t>GRIFO EKO 1/2</t>
  </si>
  <si>
    <t>RODILLO 15CM</t>
  </si>
  <si>
    <t>PARCHE PARA BISI</t>
  </si>
  <si>
    <t>PEGAMENTO PARA PARCHAR</t>
  </si>
  <si>
    <t xml:space="preserve">PISTOLA DE SILICONA </t>
  </si>
  <si>
    <t>SILICONA TRASPARENTE</t>
  </si>
  <si>
    <t>CONDUIT 1/2</t>
  </si>
  <si>
    <t>CUERLLERA 1X 3/4</t>
  </si>
  <si>
    <t>CUELLERA 3/4X1/2</t>
  </si>
  <si>
    <t>CAJA TEFLON</t>
  </si>
  <si>
    <t>REDUCCION 3/4X1/2</t>
  </si>
  <si>
    <t>UNION PATE 1/2</t>
  </si>
  <si>
    <t>PICAPORTE CON CADENA</t>
  </si>
  <si>
    <t>PICAPORTE REDONDO</t>
  </si>
  <si>
    <t>DADO 11</t>
  </si>
  <si>
    <t>reduccion 1x1/2</t>
  </si>
  <si>
    <t>abrazadera redonda</t>
  </si>
  <si>
    <t>niple 1/2 fg 5cm</t>
  </si>
  <si>
    <t>bisagra hidrauloca</t>
  </si>
  <si>
    <t>candadi tr</t>
  </si>
  <si>
    <t>disco madera 4/12</t>
  </si>
  <si>
    <t>calvo 11/2</t>
  </si>
  <si>
    <t>desarmador rever</t>
  </si>
  <si>
    <t>engrampadora</t>
  </si>
  <si>
    <t>juego de regar tolsen</t>
  </si>
  <si>
    <t>desarmador cvhato tr</t>
  </si>
  <si>
    <t>clefa 500ml</t>
  </si>
  <si>
    <t>timbre vera</t>
  </si>
  <si>
    <t>foco 30w</t>
  </si>
  <si>
    <t>juego conectores compresora</t>
  </si>
  <si>
    <t>lija 80</t>
  </si>
  <si>
    <t>lija 600</t>
  </si>
  <si>
    <t>llave de apso 1/2</t>
  </si>
  <si>
    <t>chicotillo 40cm coflex</t>
  </si>
  <si>
    <t xml:space="preserve">tubo condui </t>
  </si>
  <si>
    <t>entes truper</t>
  </si>
  <si>
    <t xml:space="preserve">foco </t>
  </si>
  <si>
    <t>alargdor corriente</t>
  </si>
  <si>
    <t xml:space="preserve">precinto </t>
  </si>
  <si>
    <t>alubanda</t>
  </si>
  <si>
    <t xml:space="preserve">ramplus </t>
  </si>
  <si>
    <t>cuello de cera</t>
  </si>
  <si>
    <t>perno tanque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</si>
</sst>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40.0</v>
      </c>
      <c r="E8" s="8">
        <v>46260.35868612269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27.0</v>
      </c>
      <c r="E9" s="8">
        <v>46260.358745300924</v>
      </c>
      <c r="F9" s="2"/>
      <c r="G9" s="9" t="s">
        <v>9</v>
      </c>
      <c r="H9" s="10">
        <v>45.0</v>
      </c>
      <c r="I9" s="2"/>
      <c r="J9" s="9" t="s">
        <v>10</v>
      </c>
      <c r="K9" s="10">
        <v>490.0</v>
      </c>
      <c r="L9" s="2"/>
      <c r="M9" s="2"/>
      <c r="N9" s="2"/>
      <c r="O9" s="2"/>
      <c r="P9" s="2"/>
      <c r="Q9" s="2"/>
    </row>
    <row r="10" ht="22.5" customHeight="1">
      <c r="A10" s="6"/>
      <c r="B10" s="6">
        <v>3.0</v>
      </c>
      <c r="C10" s="7" t="s">
        <v>11</v>
      </c>
      <c r="D10" s="6">
        <v>150.0</v>
      </c>
      <c r="E10" s="8">
        <v>46260.37928673611</v>
      </c>
      <c r="F10" s="2"/>
      <c r="G10" s="9" t="s">
        <v>12</v>
      </c>
      <c r="H10" s="10">
        <v>230.0</v>
      </c>
      <c r="I10" s="2"/>
      <c r="J10" s="9" t="s">
        <v>13</v>
      </c>
      <c r="K10" s="11">
        <f>SUM(PRINCIPAL[TOTAL])</f>
        <v>4368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4.0</v>
      </c>
      <c r="C11" s="7" t="s">
        <v>14</v>
      </c>
      <c r="D11" s="6">
        <v>32.0</v>
      </c>
      <c r="E11" s="8">
        <v>46260.38639319444</v>
      </c>
      <c r="F11" s="2"/>
      <c r="G11" s="9" t="s">
        <v>15</v>
      </c>
      <c r="H11" s="10">
        <v>2850.0</v>
      </c>
      <c r="I11" s="2"/>
      <c r="J11" s="9" t="s">
        <v>16</v>
      </c>
      <c r="K11" s="10">
        <v>20.0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4.0</v>
      </c>
      <c r="C12" s="7" t="s">
        <v>17</v>
      </c>
      <c r="D12" s="6">
        <v>28.0</v>
      </c>
      <c r="E12" s="8">
        <v>46260.38660099537</v>
      </c>
      <c r="F12" s="2"/>
      <c r="G12" s="9" t="s">
        <v>18</v>
      </c>
      <c r="H12" s="12">
        <f>SUM(G24:H361)</f>
        <v>1415.5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12.0</v>
      </c>
      <c r="E13" s="8">
        <v>46260.38671222222</v>
      </c>
      <c r="F13" s="2"/>
      <c r="G13" s="9" t="s">
        <v>20</v>
      </c>
      <c r="H13" s="10">
        <v>354.0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118.0</v>
      </c>
      <c r="E14" s="8">
        <v>46260.385529756946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10.0</v>
      </c>
      <c r="E15" s="8">
        <v>46260.39562922454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43.0</v>
      </c>
      <c r="E16" s="8">
        <v>46260.40334229167</v>
      </c>
      <c r="F16" s="2"/>
      <c r="G16" s="15" t="s">
        <v>25</v>
      </c>
      <c r="H16" s="16">
        <f>SUM(H9:H14)</f>
        <v>4894.5</v>
      </c>
      <c r="I16" s="3"/>
      <c r="J16" s="15" t="s">
        <v>26</v>
      </c>
      <c r="K16" s="16">
        <f>SUM(K9:K11)</f>
        <v>4878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44.0</v>
      </c>
      <c r="E17" s="8">
        <v>46260.40343831018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11.0</v>
      </c>
      <c r="E18" s="8">
        <v>46260.40355335648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16,50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17.0</v>
      </c>
      <c r="E19" s="8">
        <v>46260.40359855324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28.0</v>
      </c>
      <c r="E20" s="8">
        <v>46260.40363177084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12.0</v>
      </c>
      <c r="C21" s="7" t="s">
        <v>30</v>
      </c>
      <c r="D21" s="6">
        <v>3.0</v>
      </c>
      <c r="E21" s="8">
        <v>46260.40368795139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8.0</v>
      </c>
      <c r="C22" s="7" t="s">
        <v>31</v>
      </c>
      <c r="D22" s="6">
        <v>60.0</v>
      </c>
      <c r="E22" s="8">
        <v>46260.406812534726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7.0</v>
      </c>
      <c r="E23" s="8">
        <v>46260.406890266204</v>
      </c>
      <c r="F23" s="2"/>
      <c r="G23" s="19" t="s">
        <v>33</v>
      </c>
      <c r="H23" s="19" t="s">
        <v>34</v>
      </c>
      <c r="I23" s="2"/>
      <c r="J23" s="20" t="s">
        <v>35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150.0</v>
      </c>
      <c r="E24" s="8">
        <v>46260.41033890046</v>
      </c>
      <c r="F24" s="2"/>
      <c r="G24" s="22">
        <v>177.0</v>
      </c>
      <c r="H24" s="23"/>
      <c r="I24" s="2"/>
      <c r="J24" s="24" t="s">
        <v>37</v>
      </c>
      <c r="K24" s="25">
        <f>SUM(INGRESOS_YAPE[])</f>
        <v>1415.5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229.0</v>
      </c>
      <c r="E25" s="8">
        <v>46260.41327739583</v>
      </c>
      <c r="F25" s="2"/>
      <c r="G25" s="22">
        <v>146.0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104.0</v>
      </c>
      <c r="E26" s="8">
        <v>46260.41333326389</v>
      </c>
      <c r="F26" s="2"/>
      <c r="G26" s="26">
        <v>150.0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145.0</v>
      </c>
      <c r="E27" s="8">
        <v>46260.41721195602</v>
      </c>
      <c r="F27" s="2"/>
      <c r="G27" s="22">
        <v>333.0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42</v>
      </c>
      <c r="D28" s="6">
        <v>38.0</v>
      </c>
      <c r="E28" s="8">
        <v>46260.424421504635</v>
      </c>
      <c r="F28" s="2"/>
      <c r="G28" s="22">
        <v>129.5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9.0</v>
      </c>
      <c r="C29" s="7" t="s">
        <v>43</v>
      </c>
      <c r="D29" s="6">
        <v>30.0</v>
      </c>
      <c r="E29" s="8">
        <v>46260.42710774306</v>
      </c>
      <c r="F29" s="2"/>
      <c r="G29" s="22">
        <v>78.0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1415,50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10.0</v>
      </c>
      <c r="E30" s="8">
        <v>46260.43072978009</v>
      </c>
      <c r="F30" s="2"/>
      <c r="G30" s="22">
        <v>9.0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45</v>
      </c>
      <c r="D31" s="6">
        <v>20.0</v>
      </c>
      <c r="E31" s="8">
        <v>46260.437107418984</v>
      </c>
      <c r="F31" s="2"/>
      <c r="G31" s="22">
        <v>23.0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46</v>
      </c>
      <c r="D32" s="6">
        <v>2.0</v>
      </c>
      <c r="E32" s="8">
        <v>46260.437209027776</v>
      </c>
      <c r="F32" s="2"/>
      <c r="G32" s="22">
        <v>12.0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8.0</v>
      </c>
      <c r="E33" s="8">
        <v>46260.437333842594</v>
      </c>
      <c r="F33" s="2"/>
      <c r="G33" s="22">
        <v>10.0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3.0</v>
      </c>
      <c r="C34" s="7" t="s">
        <v>48</v>
      </c>
      <c r="D34" s="6">
        <v>9.0</v>
      </c>
      <c r="E34" s="8">
        <v>46260.44300648148</v>
      </c>
      <c r="F34" s="2"/>
      <c r="G34" s="22">
        <v>45.0</v>
      </c>
      <c r="H34" s="23"/>
      <c r="I34" s="2"/>
      <c r="J34" s="30" t="s">
        <v>49</v>
      </c>
      <c r="K34" s="30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24.0</v>
      </c>
      <c r="C35" s="7" t="s">
        <v>51</v>
      </c>
      <c r="D35" s="6">
        <v>7.0</v>
      </c>
      <c r="E35" s="8">
        <v>46260.443027870366</v>
      </c>
      <c r="F35" s="2"/>
      <c r="G35" s="22">
        <v>84.0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24.0</v>
      </c>
      <c r="C36" s="7" t="s">
        <v>52</v>
      </c>
      <c r="D36" s="6">
        <v>6.0</v>
      </c>
      <c r="E36" s="8">
        <v>46260.44304965278</v>
      </c>
      <c r="F36" s="2"/>
      <c r="G36" s="22">
        <v>28.0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22.0</v>
      </c>
      <c r="E37" s="8">
        <v>46260.44331681713</v>
      </c>
      <c r="F37" s="2"/>
      <c r="G37" s="22">
        <v>139.0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54</v>
      </c>
      <c r="D38" s="6">
        <v>21.0</v>
      </c>
      <c r="E38" s="8">
        <v>46260.4433375463</v>
      </c>
      <c r="F38" s="2"/>
      <c r="G38" s="22">
        <v>30.0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20.0</v>
      </c>
      <c r="E39" s="8">
        <v>46260.44348945602</v>
      </c>
      <c r="F39" s="2"/>
      <c r="G39" s="22">
        <v>22.0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94.0</v>
      </c>
      <c r="E40" s="8">
        <v>46260.44352393519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5.0</v>
      </c>
      <c r="C41" s="7" t="s">
        <v>57</v>
      </c>
      <c r="D41" s="6">
        <v>12.5</v>
      </c>
      <c r="E41" s="8">
        <v>46260.443665150466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29.0</v>
      </c>
      <c r="E42" s="8">
        <v>46260.44367599537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59</v>
      </c>
      <c r="D43" s="6">
        <v>39.0</v>
      </c>
      <c r="E43" s="8">
        <v>46260.44492515046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95.0</v>
      </c>
      <c r="E44" s="8">
        <v>46260.44518793981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36.0</v>
      </c>
      <c r="C45" s="7" t="s">
        <v>61</v>
      </c>
      <c r="D45" s="6">
        <v>4.5</v>
      </c>
      <c r="E45" s="8">
        <v>46260.44664892361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62</v>
      </c>
      <c r="C46" s="7" t="s">
        <v>63</v>
      </c>
      <c r="D46" s="6">
        <v>170.0</v>
      </c>
      <c r="E46" s="8">
        <v>46260.46032453704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4.0</v>
      </c>
      <c r="C47" s="7" t="s">
        <v>64</v>
      </c>
      <c r="D47" s="6">
        <v>20.0</v>
      </c>
      <c r="E47" s="8">
        <v>46260.460447881946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17.0</v>
      </c>
      <c r="E48" s="8">
        <v>46260.46078987268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20.0</v>
      </c>
      <c r="E49" s="8">
        <v>46260.460880231476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17.0</v>
      </c>
      <c r="E50" s="8">
        <v>46260.46101989583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178.0</v>
      </c>
      <c r="E51" s="8">
        <v>46260.4613058449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135.0</v>
      </c>
      <c r="E52" s="8">
        <v>46260.461475185184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35.0</v>
      </c>
      <c r="E53" s="8">
        <v>46260.46158952547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14.0</v>
      </c>
      <c r="E54" s="8">
        <v>46260.4616331713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72</v>
      </c>
      <c r="C55" s="7" t="s">
        <v>73</v>
      </c>
      <c r="D55" s="6">
        <v>77.0</v>
      </c>
      <c r="E55" s="8">
        <v>46260.461764120366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10.0</v>
      </c>
      <c r="E56" s="8">
        <v>46260.46183811342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75</v>
      </c>
      <c r="D57" s="6">
        <v>32.0</v>
      </c>
      <c r="E57" s="8">
        <v>46260.478041423616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62.0</v>
      </c>
      <c r="E58" s="8">
        <v>46260.478112488425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77</v>
      </c>
      <c r="D59" s="6">
        <v>12.0</v>
      </c>
      <c r="E59" s="8">
        <v>46260.478443252316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6.0</v>
      </c>
      <c r="C60" s="7" t="s">
        <v>78</v>
      </c>
      <c r="D60" s="6">
        <v>1.5</v>
      </c>
      <c r="E60" s="8">
        <v>46260.480153067125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79</v>
      </c>
      <c r="D61" s="6">
        <v>22.0</v>
      </c>
      <c r="E61" s="8">
        <v>46260.47834173611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120.0</v>
      </c>
      <c r="E62" s="8">
        <v>46260.48019988426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23.0</v>
      </c>
      <c r="E63" s="8">
        <v>46260.499504548614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10.0</v>
      </c>
      <c r="E64" s="8">
        <v>46260.5020303125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5.0</v>
      </c>
      <c r="E65" s="8">
        <v>46260.50209664352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26.0</v>
      </c>
      <c r="E66" s="8">
        <v>46260.50336393519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26.0</v>
      </c>
      <c r="E67" s="8">
        <v>46260.50346074074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5.5</v>
      </c>
      <c r="E68" s="8">
        <v>46260.505235439814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30.0</v>
      </c>
      <c r="E69" s="8">
        <v>46260.5125085301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24.0</v>
      </c>
      <c r="E70" s="8">
        <v>46260.5126559375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30.0</v>
      </c>
      <c r="E71" s="8">
        <v>46260.51279474537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2.0</v>
      </c>
      <c r="E72" s="8">
        <v>46260.51502614583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9.0</v>
      </c>
      <c r="E73" s="8">
        <v>46260.51292170139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43.0</v>
      </c>
      <c r="E74" s="8">
        <v>46260.51515388889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35.0</v>
      </c>
      <c r="E75" s="8">
        <v>46260.5152484375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9.0</v>
      </c>
      <c r="E76" s="8">
        <v>46260.52400472222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95</v>
      </c>
      <c r="D77" s="6">
        <v>4.0</v>
      </c>
      <c r="E77" s="8">
        <v>46260.558811863426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96</v>
      </c>
      <c r="D78" s="6">
        <v>4.0</v>
      </c>
      <c r="E78" s="8">
        <v>46260.55887966436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33">
        <v>14.0</v>
      </c>
      <c r="E79" s="8">
        <v>46260.55904953704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33">
        <v>23.0</v>
      </c>
      <c r="E80" s="8">
        <v>46260.56465704861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99</v>
      </c>
      <c r="D81" s="6">
        <v>160.0</v>
      </c>
      <c r="E81" s="8">
        <v>46260.565691724536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100</v>
      </c>
      <c r="D82" s="6">
        <v>32.0</v>
      </c>
      <c r="E82" s="8">
        <v>46260.57878300926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101</v>
      </c>
      <c r="D83" s="6">
        <v>20.0</v>
      </c>
      <c r="E83" s="8">
        <v>46260.578656516205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102</v>
      </c>
      <c r="D84" s="6">
        <v>10.0</v>
      </c>
      <c r="E84" s="8">
        <v>46260.57858952547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103</v>
      </c>
      <c r="D85" s="6">
        <v>164.0</v>
      </c>
      <c r="E85" s="8">
        <v>46260.59226305556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104</v>
      </c>
      <c r="D86" s="6">
        <v>26.0</v>
      </c>
      <c r="E86" s="8">
        <v>46260.594506724534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105</v>
      </c>
      <c r="D87" s="6">
        <v>18.0</v>
      </c>
      <c r="E87" s="8">
        <v>46260.61175966435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106</v>
      </c>
      <c r="D88" s="6">
        <v>53.0</v>
      </c>
      <c r="E88" s="8">
        <v>46260.62314715278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97</v>
      </c>
      <c r="D89" s="6">
        <v>2.0</v>
      </c>
      <c r="E89" s="8">
        <v>46260.637564942124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2.0</v>
      </c>
      <c r="C90" s="7" t="s">
        <v>107</v>
      </c>
      <c r="D90" s="6">
        <v>150.0</v>
      </c>
      <c r="E90" s="8">
        <v>46260.65009524305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108</v>
      </c>
      <c r="D91" s="6">
        <v>66.0</v>
      </c>
      <c r="E91" s="8">
        <v>46260.65003626158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109</v>
      </c>
      <c r="D92" s="6">
        <v>45.0</v>
      </c>
      <c r="E92" s="8">
        <v>46260.65580277778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3.0</v>
      </c>
      <c r="C93" s="7" t="s">
        <v>110</v>
      </c>
      <c r="D93" s="6">
        <v>15.0</v>
      </c>
      <c r="E93" s="8">
        <v>46260.65930944444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2.0</v>
      </c>
      <c r="C94" s="7" t="s">
        <v>111</v>
      </c>
      <c r="D94" s="6">
        <v>10.0</v>
      </c>
      <c r="E94" s="8">
        <v>46260.65935056713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2.0</v>
      </c>
      <c r="C95" s="7" t="s">
        <v>112</v>
      </c>
      <c r="D95" s="6">
        <v>140.0</v>
      </c>
      <c r="E95" s="8">
        <v>46260.697423888894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2.0</v>
      </c>
      <c r="C96" s="7" t="s">
        <v>113</v>
      </c>
      <c r="D96" s="6">
        <v>118.0</v>
      </c>
      <c r="E96" s="8">
        <v>46260.69762019676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5.0</v>
      </c>
      <c r="C97" s="7" t="s">
        <v>114</v>
      </c>
      <c r="D97" s="6">
        <v>40.0</v>
      </c>
      <c r="E97" s="8">
        <v>46260.72356056713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2.0</v>
      </c>
      <c r="C98" s="7" t="s">
        <v>115</v>
      </c>
      <c r="D98" s="6">
        <v>56.0</v>
      </c>
      <c r="E98" s="8">
        <v>46260.7236638426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116</v>
      </c>
      <c r="D99" s="6">
        <v>19.0</v>
      </c>
      <c r="E99" s="8">
        <v>46260.74699908565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117</v>
      </c>
      <c r="D100" s="6">
        <v>120.0</v>
      </c>
      <c r="E100" s="8">
        <v>46260.74706025463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118</v>
      </c>
      <c r="D101" s="6">
        <v>30.0</v>
      </c>
      <c r="E101" s="34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119</v>
      </c>
      <c r="D102" s="6">
        <v>22.0</v>
      </c>
      <c r="E102" s="8">
        <v>46260.74722356482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24.0</v>
      </c>
      <c r="C103" s="7" t="s">
        <v>120</v>
      </c>
      <c r="D103" s="6">
        <v>2.0</v>
      </c>
      <c r="E103" s="8">
        <v>46260.747379733795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121</v>
      </c>
      <c r="D104" s="6">
        <v>28.0</v>
      </c>
      <c r="E104" s="8">
        <v>46260.7474621875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2.0</v>
      </c>
      <c r="C105" s="7" t="s">
        <v>122</v>
      </c>
      <c r="D105" s="6">
        <v>32.0</v>
      </c>
      <c r="E105" s="8">
        <v>46260.765689872685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4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4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4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4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4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4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4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4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4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4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4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4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4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4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4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4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4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4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4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4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4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4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4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4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4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4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4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4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4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4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4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4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4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4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4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4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4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4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4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4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4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4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4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4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4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4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4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4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4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4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4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4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4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4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4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4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4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4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4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4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4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4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4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4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4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4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4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4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4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4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4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4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4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4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4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4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4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4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4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4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4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4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4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4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4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4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4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4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4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4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4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4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4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4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4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4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4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4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4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4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4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4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4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4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4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4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4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4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4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4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4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4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4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4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4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4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4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4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4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4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4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4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4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4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4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4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4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4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4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4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4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4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4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4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4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4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4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4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4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4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4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4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4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4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4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4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4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4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4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4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4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4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4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4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4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4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4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4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4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4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4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4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4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4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4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4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4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4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4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4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4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4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4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4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4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4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4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4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4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4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4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4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4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4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4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4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4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4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4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4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4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4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4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4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4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4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