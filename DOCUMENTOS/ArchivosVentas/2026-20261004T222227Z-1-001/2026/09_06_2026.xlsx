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<sst xmlns="http://schemas.openxmlformats.org/spreadsheetml/2006/main" count="99" uniqueCount="96">
  <si>
    <t>HOJA DE CALCULO FERRETERIA</t>
  </si>
  <si>
    <t>CODIGO</t>
  </si>
  <si>
    <t>CANTIDAD</t>
  </si>
  <si>
    <t>DESCRIPCION</t>
  </si>
  <si>
    <t>TOTAL</t>
  </si>
  <si>
    <t>HORA</t>
  </si>
  <si>
    <t>CUADRAR</t>
  </si>
  <si>
    <t>carburo</t>
  </si>
  <si>
    <t>pistola jadever</t>
  </si>
  <si>
    <t>MONEDAS</t>
  </si>
  <si>
    <t>CAJA CHICA</t>
  </si>
  <si>
    <t>sintetica 100</t>
  </si>
  <si>
    <t>BILLETES 10-20</t>
  </si>
  <si>
    <t>TOTAL VENTAS DIA</t>
  </si>
  <si>
    <t>brocha roas 1</t>
  </si>
  <si>
    <t>BILLETES 50-100-200</t>
  </si>
  <si>
    <t>AUMENTO DE DINERO</t>
  </si>
  <si>
    <t>carbon</t>
  </si>
  <si>
    <t>INGRESOS YAPE</t>
  </si>
  <si>
    <t>THINNER</t>
  </si>
  <si>
    <t>INGRESOS TARJETA</t>
  </si>
  <si>
    <t>TUBO CONDUIT 3/4</t>
  </si>
  <si>
    <t>GASTOS VARIOS</t>
  </si>
  <si>
    <t>ABRAZADERA</t>
  </si>
  <si>
    <t>abrazadera</t>
  </si>
  <si>
    <t>DINERO GANADO HOY:</t>
  </si>
  <si>
    <t>CANTIDAD DINERO CAJA:</t>
  </si>
  <si>
    <t>BROCHA ROJAS</t>
  </si>
  <si>
    <t>MEMBRANA PARA BOMBA</t>
  </si>
  <si>
    <t>FOCO CALENTADOR</t>
  </si>
  <si>
    <t>1l</t>
  </si>
  <si>
    <t>thinner duco</t>
  </si>
  <si>
    <t>aeroso balnco mate</t>
  </si>
  <si>
    <t>tee 1/2 cpvc</t>
  </si>
  <si>
    <t>YAPE MAMÁ</t>
  </si>
  <si>
    <t>YAPE PAPÁ</t>
  </si>
  <si>
    <t>YAPE</t>
  </si>
  <si>
    <t>cauton</t>
  </si>
  <si>
    <t>Monto Total YAPE (No tocar):</t>
  </si>
  <si>
    <t>chip 3.5x20</t>
  </si>
  <si>
    <t>escuadra 1 hr</t>
  </si>
  <si>
    <t>Monto Total Registrado en aplicacion</t>
  </si>
  <si>
    <t>bolsita clavo</t>
  </si>
  <si>
    <t>juego uyus sacabocado madera</t>
  </si>
  <si>
    <t>cinta metrica tr 100m</t>
  </si>
  <si>
    <t>rollo aluban 10cm x 10</t>
  </si>
  <si>
    <t>1m</t>
  </si>
  <si>
    <t>aluvab 10cm</t>
  </si>
  <si>
    <t>clavo 50mm</t>
  </si>
  <si>
    <t>claco 25mm</t>
  </si>
  <si>
    <t>llave crecen 12 tr</t>
  </si>
  <si>
    <t>PAGOS YAPE</t>
  </si>
  <si>
    <t>DESCRIPCION PAGO</t>
  </si>
  <si>
    <t>candado</t>
  </si>
  <si>
    <t>lijas 40 tolsen</t>
  </si>
  <si>
    <t>brocha 2 1/2</t>
  </si>
  <si>
    <t>broca fierro 14</t>
  </si>
  <si>
    <t>disco scrash 7</t>
  </si>
  <si>
    <t>reguador gas</t>
  </si>
  <si>
    <t>teflon gas</t>
  </si>
  <si>
    <t>desarmador0</t>
  </si>
  <si>
    <t>silicona trnasparente</t>
  </si>
  <si>
    <t>rampu 6</t>
  </si>
  <si>
    <t>chip 4 x 35</t>
  </si>
  <si>
    <t>sacabocado 32mm</t>
  </si>
  <si>
    <t>escamista 1kl</t>
  </si>
  <si>
    <t>broca irwin metal 4</t>
  </si>
  <si>
    <t>repuesto estilete</t>
  </si>
  <si>
    <t>alicate precion tipo c</t>
  </si>
  <si>
    <t xml:space="preserve">disco nortn </t>
  </si>
  <si>
    <t>disco norton galleta</t>
  </si>
  <si>
    <t>juego de scoboirlla</t>
  </si>
  <si>
    <t>cepillo copa</t>
  </si>
  <si>
    <t>juego de pllos</t>
  </si>
  <si>
    <t>aspersor</t>
  </si>
  <si>
    <t>pico grif</t>
  </si>
  <si>
    <t>niple hex</t>
  </si>
  <si>
    <t>1/2kl</t>
  </si>
  <si>
    <t>alambre galvanizdo 16</t>
  </si>
  <si>
    <t>espuma expanciva</t>
  </si>
  <si>
    <t>CUHILLAS REPU</t>
  </si>
  <si>
    <t>UNION DE MANGUERA 1/2</t>
  </si>
  <si>
    <t>ADPATADOR PICO 1/2</t>
  </si>
  <si>
    <t>PICOS 1/2</t>
  </si>
  <si>
    <t>CALADR TOTAL</t>
  </si>
  <si>
    <t>ALARGADOR UYUS 5M</t>
  </si>
  <si>
    <t>ALICATE TOLSE</t>
  </si>
  <si>
    <t>PRECINTO 30CM</t>
  </si>
  <si>
    <t>NIPLE 1/2 TIFE</t>
  </si>
  <si>
    <t>KL ALAMVE DE AMERRE</t>
  </si>
  <si>
    <t>DISCO UYUSJTLOL</t>
  </si>
  <si>
    <t>ESTILETE</t>
  </si>
  <si>
    <t>JUEGO DE DESARAMFEO</t>
  </si>
  <si>
    <t>ADAPTADOR ULTRA</t>
  </si>
  <si>
    <t>PIE DE AMIGO</t>
  </si>
  <si>
    <t>SIERRA CALADORA ESCOLAR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</si>
</sst>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0.5</v>
      </c>
      <c r="C8" s="7" t="s">
        <v>7</v>
      </c>
      <c r="D8" s="6">
        <v>12.5</v>
      </c>
      <c r="E8" s="8">
        <v>46182.35054072917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17.0</v>
      </c>
      <c r="E9" s="8">
        <v>46182.35222483796</v>
      </c>
      <c r="F9" s="2"/>
      <c r="G9" s="9" t="s">
        <v>9</v>
      </c>
      <c r="H9" s="10">
        <v>147.0</v>
      </c>
      <c r="I9" s="2"/>
      <c r="J9" s="9" t="s">
        <v>10</v>
      </c>
      <c r="K9" s="10">
        <v>573.5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11.0</v>
      </c>
      <c r="E10" s="8">
        <v>46182.375409687505</v>
      </c>
      <c r="F10" s="2"/>
      <c r="G10" s="9" t="s">
        <v>12</v>
      </c>
      <c r="H10" s="10">
        <v>3000.0</v>
      </c>
      <c r="I10" s="2"/>
      <c r="J10" s="9" t="s">
        <v>13</v>
      </c>
      <c r="K10" s="11">
        <f>SUM(PRINCIPAL[TOTAL])</f>
        <v>3542.5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4.0</v>
      </c>
      <c r="E11" s="8">
        <v>46182.37549736111</v>
      </c>
      <c r="F11" s="2"/>
      <c r="G11" s="9" t="s">
        <v>15</v>
      </c>
      <c r="H11" s="10">
        <v>240.0</v>
      </c>
      <c r="I11" s="2"/>
      <c r="J11" s="9" t="s">
        <v>16</v>
      </c>
      <c r="K11" s="10">
        <v>200.0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15.0</v>
      </c>
      <c r="E12" s="8">
        <v>46182.381494201385</v>
      </c>
      <c r="F12" s="2"/>
      <c r="G12" s="9" t="s">
        <v>18</v>
      </c>
      <c r="H12" s="12">
        <f>SUM(G24:H361)</f>
        <v>862.08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4.0</v>
      </c>
      <c r="C13" s="7" t="s">
        <v>19</v>
      </c>
      <c r="D13" s="6">
        <v>140.0</v>
      </c>
      <c r="E13" s="8">
        <v>46182.39158440972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18.0</v>
      </c>
      <c r="E14" s="8">
        <v>46182.39437833334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4.0</v>
      </c>
      <c r="C15" s="7" t="s">
        <v>23</v>
      </c>
      <c r="D15" s="6">
        <v>6.0</v>
      </c>
      <c r="E15" s="8">
        <v>46182.39445447917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13.0</v>
      </c>
      <c r="C16" s="7" t="s">
        <v>24</v>
      </c>
      <c r="D16" s="6">
        <v>19.5</v>
      </c>
      <c r="E16" s="8">
        <v>46182.45229858796</v>
      </c>
      <c r="F16" s="2"/>
      <c r="G16" s="15" t="s">
        <v>25</v>
      </c>
      <c r="H16" s="16">
        <f>SUM(H9:H14)</f>
        <v>4249.08</v>
      </c>
      <c r="I16" s="3"/>
      <c r="J16" s="15" t="s">
        <v>26</v>
      </c>
      <c r="K16" s="16">
        <f>SUM(K9:K11)</f>
        <v>4316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21</v>
      </c>
      <c r="D17" s="6">
        <v>18.0</v>
      </c>
      <c r="E17" s="8">
        <v>46182.45260234954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27</v>
      </c>
      <c r="D18" s="6">
        <v>4.0</v>
      </c>
      <c r="E18" s="8">
        <v>46182.39474021991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66,92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28</v>
      </c>
      <c r="D19" s="6">
        <v>70.0</v>
      </c>
      <c r="E19" s="8">
        <v>46182.40482461806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29</v>
      </c>
      <c r="D20" s="6">
        <v>32.0</v>
      </c>
      <c r="E20" s="8">
        <v>46182.41801533564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 t="s">
        <v>30</v>
      </c>
      <c r="C21" s="7" t="s">
        <v>31</v>
      </c>
      <c r="D21" s="6">
        <v>35.0</v>
      </c>
      <c r="E21" s="8">
        <v>46182.43605791667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20.0</v>
      </c>
      <c r="E22" s="8">
        <v>46182.44165587963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7.0</v>
      </c>
      <c r="E23" s="8">
        <v>46182.45276436342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63.0</v>
      </c>
      <c r="E24" s="8">
        <v>46182.46145004629</v>
      </c>
      <c r="F24" s="2"/>
      <c r="G24" s="22">
        <v>20.58</v>
      </c>
      <c r="H24" s="23"/>
      <c r="I24" s="2"/>
      <c r="J24" s="24" t="s">
        <v>38</v>
      </c>
      <c r="K24" s="25">
        <f>SUM(INGRESOS_YAPE[])</f>
        <v>862.08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12.0</v>
      </c>
      <c r="C25" s="7" t="s">
        <v>39</v>
      </c>
      <c r="D25" s="6">
        <v>1.5</v>
      </c>
      <c r="E25" s="8">
        <v>46182.46318600695</v>
      </c>
      <c r="F25" s="2"/>
      <c r="G25" s="22">
        <v>32.0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40</v>
      </c>
      <c r="D26" s="6">
        <v>2.0</v>
      </c>
      <c r="E26" s="8">
        <v>46182.46340217593</v>
      </c>
      <c r="F26" s="2"/>
      <c r="G26" s="26">
        <v>35.0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4.0</v>
      </c>
      <c r="E27" s="8">
        <v>46182.46349197917</v>
      </c>
      <c r="F27" s="2"/>
      <c r="G27" s="22">
        <v>63.0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42.0</v>
      </c>
      <c r="E28" s="8">
        <v>46182.46819172453</v>
      </c>
      <c r="F28" s="2"/>
      <c r="G28" s="22">
        <v>7.5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340.0</v>
      </c>
      <c r="E29" s="8">
        <v>46182.47241158565</v>
      </c>
      <c r="F29" s="2"/>
      <c r="G29" s="22">
        <v>122.0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862,08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109.0</v>
      </c>
      <c r="E30" s="8">
        <v>46182.48616731481</v>
      </c>
      <c r="F30" s="2"/>
      <c r="G30" s="22">
        <v>18.0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 t="s">
        <v>46</v>
      </c>
      <c r="C31" s="7" t="s">
        <v>47</v>
      </c>
      <c r="D31" s="6">
        <v>13.0</v>
      </c>
      <c r="E31" s="8">
        <v>46182.48606072916</v>
      </c>
      <c r="F31" s="2"/>
      <c r="G31" s="22">
        <v>99.0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119.0</v>
      </c>
      <c r="E32" s="8">
        <v>46182.497958101856</v>
      </c>
      <c r="F32" s="2"/>
      <c r="G32" s="22">
        <v>74.0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60.0</v>
      </c>
      <c r="E33" s="8">
        <v>46182.498097222226</v>
      </c>
      <c r="F33" s="2"/>
      <c r="G33" s="22">
        <v>16.0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141.0</v>
      </c>
      <c r="E34" s="8">
        <v>46182.54244188657</v>
      </c>
      <c r="F34" s="2"/>
      <c r="G34" s="22">
        <v>33.0</v>
      </c>
      <c r="H34" s="23"/>
      <c r="I34" s="2"/>
      <c r="J34" s="30" t="s">
        <v>51</v>
      </c>
      <c r="K34" s="30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120.0</v>
      </c>
      <c r="E35" s="8">
        <v>46182.511202696754</v>
      </c>
      <c r="F35" s="2"/>
      <c r="G35" s="22">
        <v>30.0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6">
        <v>13.0</v>
      </c>
      <c r="E36" s="8">
        <v>46182.524334710644</v>
      </c>
      <c r="F36" s="2"/>
      <c r="G36" s="22">
        <v>94.0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55</v>
      </c>
      <c r="D37" s="6">
        <v>18.0</v>
      </c>
      <c r="E37" s="8">
        <v>46182.5354390625</v>
      </c>
      <c r="F37" s="2"/>
      <c r="G37" s="22">
        <v>30.0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56</v>
      </c>
      <c r="D38" s="6">
        <v>163.0</v>
      </c>
      <c r="E38" s="8">
        <v>46182.53838909722</v>
      </c>
      <c r="F38" s="2"/>
      <c r="G38" s="22">
        <v>5.0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57</v>
      </c>
      <c r="D39" s="6">
        <v>38.0</v>
      </c>
      <c r="E39" s="8">
        <v>46182.54015987269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58</v>
      </c>
      <c r="D40" s="6">
        <v>40.0</v>
      </c>
      <c r="E40" s="8">
        <v>46182.56728391204</v>
      </c>
      <c r="F40" s="2"/>
      <c r="G40" s="22">
        <v>163.0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59</v>
      </c>
      <c r="D41" s="6">
        <v>25.0</v>
      </c>
      <c r="E41" s="8">
        <v>46182.56734152778</v>
      </c>
      <c r="F41" s="2"/>
      <c r="G41" s="22">
        <v>20.0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60</v>
      </c>
      <c r="D42" s="6">
        <v>33.0</v>
      </c>
      <c r="E42" s="8">
        <v>46182.568967280095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61</v>
      </c>
      <c r="D43" s="6">
        <v>31.0</v>
      </c>
      <c r="E43" s="8">
        <v>46182.576505046294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12.0</v>
      </c>
      <c r="C44" s="7" t="s">
        <v>62</v>
      </c>
      <c r="D44" s="6">
        <v>1.0</v>
      </c>
      <c r="E44" s="8">
        <v>46182.57656155093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12.0</v>
      </c>
      <c r="C45" s="7" t="s">
        <v>63</v>
      </c>
      <c r="D45" s="6">
        <v>3.0</v>
      </c>
      <c r="E45" s="8">
        <v>46182.57661524306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64</v>
      </c>
      <c r="D46" s="6">
        <v>74.0</v>
      </c>
      <c r="E46" s="8">
        <v>46182.597408692134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65</v>
      </c>
      <c r="D47" s="6">
        <v>35.0</v>
      </c>
      <c r="E47" s="8">
        <v>46182.59957888889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66</v>
      </c>
      <c r="D48" s="6">
        <v>28.0</v>
      </c>
      <c r="E48" s="8">
        <v>46182.605244618055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2.0</v>
      </c>
      <c r="C49" s="7" t="s">
        <v>67</v>
      </c>
      <c r="D49" s="6">
        <v>30.0</v>
      </c>
      <c r="E49" s="8">
        <v>46182.61451190972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68</v>
      </c>
      <c r="D50" s="6">
        <v>165.0</v>
      </c>
      <c r="E50" s="8">
        <v>46182.61478145834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69</v>
      </c>
      <c r="D51" s="6">
        <v>18.0</v>
      </c>
      <c r="E51" s="8">
        <v>46182.626157604165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70</v>
      </c>
      <c r="D52" s="6">
        <v>10.0</v>
      </c>
      <c r="E52" s="8">
        <v>46182.62627491898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11.0</v>
      </c>
      <c r="E53" s="8">
        <v>46182.627198055554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72</v>
      </c>
      <c r="D54" s="6">
        <v>20.0</v>
      </c>
      <c r="E54" s="8">
        <v>46182.62724850695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73</v>
      </c>
      <c r="D55" s="6">
        <v>105.0</v>
      </c>
      <c r="E55" s="8">
        <v>46182.62740931713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74</v>
      </c>
      <c r="D56" s="6">
        <v>99.0</v>
      </c>
      <c r="E56" s="8">
        <v>46182.639594039356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3.0</v>
      </c>
      <c r="C57" s="7" t="s">
        <v>75</v>
      </c>
      <c r="D57" s="6">
        <v>21.0</v>
      </c>
      <c r="E57" s="8">
        <v>46182.639742060186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6.0</v>
      </c>
      <c r="C58" s="7" t="s">
        <v>76</v>
      </c>
      <c r="D58" s="6">
        <v>12.0</v>
      </c>
      <c r="E58" s="8">
        <v>46182.63986420139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 t="s">
        <v>77</v>
      </c>
      <c r="C59" s="7" t="s">
        <v>78</v>
      </c>
      <c r="D59" s="6">
        <v>15.0</v>
      </c>
      <c r="E59" s="8">
        <v>46182.64903351852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79</v>
      </c>
      <c r="D60" s="6">
        <v>164.0</v>
      </c>
      <c r="E60" s="8">
        <v>46182.64913090278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80</v>
      </c>
      <c r="D61" s="6">
        <v>16.0</v>
      </c>
      <c r="E61" s="8">
        <v>46182.6542490625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81</v>
      </c>
      <c r="D62" s="6">
        <v>14.0</v>
      </c>
      <c r="E62" s="8">
        <v>46182.656315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2.0</v>
      </c>
      <c r="C63" s="7" t="s">
        <v>82</v>
      </c>
      <c r="D63" s="6">
        <v>14.0</v>
      </c>
      <c r="E63" s="8">
        <v>46182.656402187495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3.0</v>
      </c>
      <c r="C64" s="7" t="s">
        <v>83</v>
      </c>
      <c r="D64" s="6">
        <v>18.0</v>
      </c>
      <c r="E64" s="8">
        <v>46182.656487002314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61</v>
      </c>
      <c r="D65" s="6">
        <v>31.0</v>
      </c>
      <c r="E65" s="8">
        <v>46182.65669688657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84</v>
      </c>
      <c r="D66" s="6">
        <v>590.0</v>
      </c>
      <c r="E66" s="8">
        <v>46182.66976034723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85</v>
      </c>
      <c r="D67" s="6">
        <v>50.0</v>
      </c>
      <c r="E67" s="8">
        <v>46182.669974895834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86</v>
      </c>
      <c r="D68" s="6">
        <v>33.0</v>
      </c>
      <c r="E68" s="8">
        <v>46182.67034591435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87</v>
      </c>
      <c r="D69" s="6">
        <v>30.0</v>
      </c>
      <c r="E69" s="8">
        <v>46182.676907395835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88</v>
      </c>
      <c r="D70" s="6">
        <v>2.0</v>
      </c>
      <c r="E70" s="8">
        <v>46182.683237986115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89</v>
      </c>
      <c r="D71" s="6">
        <v>19.0</v>
      </c>
      <c r="E71" s="8">
        <v>46182.69136815972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90</v>
      </c>
      <c r="D72" s="6">
        <v>9.0</v>
      </c>
      <c r="E72" s="8">
        <v>46182.691421446754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91</v>
      </c>
      <c r="D73" s="6">
        <v>6.0</v>
      </c>
      <c r="E73" s="8">
        <v>46182.6914949537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92</v>
      </c>
      <c r="D74" s="6">
        <v>60.0</v>
      </c>
      <c r="E74" s="8">
        <v>46182.692001840274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93</v>
      </c>
      <c r="D75" s="6">
        <v>5.0</v>
      </c>
      <c r="E75" s="8">
        <v>46182.70543596065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10.0</v>
      </c>
      <c r="C76" s="7" t="s">
        <v>94</v>
      </c>
      <c r="D76" s="6">
        <v>10.0</v>
      </c>
      <c r="E76" s="8">
        <v>46182.706002499996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93</v>
      </c>
      <c r="D77" s="6">
        <v>5.0</v>
      </c>
      <c r="E77" s="8">
        <v>46182.71176842593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95</v>
      </c>
      <c r="D78" s="6">
        <v>15.0</v>
      </c>
      <c r="E78" s="8">
        <v>46182.719631851855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3"/>
      <c r="D79" s="34"/>
      <c r="E79" s="35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3"/>
      <c r="D80" s="34"/>
      <c r="E80" s="35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3"/>
      <c r="D81" s="34"/>
      <c r="E81" s="35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3"/>
      <c r="D82" s="34"/>
      <c r="E82" s="35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3"/>
      <c r="D83" s="34"/>
      <c r="E83" s="35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3"/>
      <c r="D84" s="34"/>
      <c r="E84" s="35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3"/>
      <c r="D85" s="34"/>
      <c r="E85" s="35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3"/>
      <c r="D86" s="34"/>
      <c r="E86" s="35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3"/>
      <c r="D87" s="34"/>
      <c r="E87" s="35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3"/>
      <c r="D88" s="34"/>
      <c r="E88" s="35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3"/>
      <c r="D89" s="34"/>
      <c r="E89" s="35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3"/>
      <c r="D90" s="34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3"/>
      <c r="D91" s="34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