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<sst xmlns="http://schemas.openxmlformats.org/spreadsheetml/2006/main" count="87" uniqueCount="84">
  <si>
    <t>HOJA DE CALCULO FERRETERIA</t>
  </si>
  <si>
    <t>CODIGO</t>
  </si>
  <si>
    <t>CANTIDAD</t>
  </si>
  <si>
    <t>DESCRIPCION</t>
  </si>
  <si>
    <t>TOTAL</t>
  </si>
  <si>
    <t>HORA</t>
  </si>
  <si>
    <t>CUADRAR</t>
  </si>
  <si>
    <t>bota de agua</t>
  </si>
  <si>
    <t>ocre</t>
  </si>
  <si>
    <t>MONEDAS</t>
  </si>
  <si>
    <t>CAJA CHICA</t>
  </si>
  <si>
    <t>kl alambre de amarre</t>
  </si>
  <si>
    <t>BILLETES 10-20</t>
  </si>
  <si>
    <t>TOTAL VENTAS DIA</t>
  </si>
  <si>
    <t>broca avellanadora 6</t>
  </si>
  <si>
    <t>BILLETES 50-100-200</t>
  </si>
  <si>
    <t>AUMENTO DE DINERO</t>
  </si>
  <si>
    <t>meiddor de distancia jade</t>
  </si>
  <si>
    <t>INGRESOS YAPE</t>
  </si>
  <si>
    <t>broca cobal 6</t>
  </si>
  <si>
    <t>INGRESOS TARJETA</t>
  </si>
  <si>
    <t>varilla de bronce</t>
  </si>
  <si>
    <t>GASTOS VARIOS</t>
  </si>
  <si>
    <t>1kl</t>
  </si>
  <si>
    <t>carburo</t>
  </si>
  <si>
    <t>carbon 30</t>
  </si>
  <si>
    <t>DINERO GANADO HOY:</t>
  </si>
  <si>
    <t>CANTIDAD DINERO CAJA:</t>
  </si>
  <si>
    <t>guante</t>
  </si>
  <si>
    <t>escobilla copa 5</t>
  </si>
  <si>
    <t>desarmador reversible</t>
  </si>
  <si>
    <t>cinta aislante</t>
  </si>
  <si>
    <t>alargador 30m</t>
  </si>
  <si>
    <t>cinta soble contacto 1/2</t>
  </si>
  <si>
    <t>frifo botellon</t>
  </si>
  <si>
    <t>YAPE MAMÁ</t>
  </si>
  <si>
    <t>YAPE PAPÁ</t>
  </si>
  <si>
    <t>YAPE</t>
  </si>
  <si>
    <t>reflector 30w</t>
  </si>
  <si>
    <t>Monto Total YAPE (No tocar):</t>
  </si>
  <si>
    <t>reflector 20w</t>
  </si>
  <si>
    <t>acople compresora</t>
  </si>
  <si>
    <t>Monto Total Registrado en aplicacion</t>
  </si>
  <si>
    <t>inflador pretul</t>
  </si>
  <si>
    <t>DEBOR 4.5</t>
  </si>
  <si>
    <t>DEBOR 6,5</t>
  </si>
  <si>
    <t>RAMPLU 5</t>
  </si>
  <si>
    <t>IRWIN 5 CONCRET</t>
  </si>
  <si>
    <t>CHIP 3.5X25</t>
  </si>
  <si>
    <t>DISOC CERMICA TR</t>
  </si>
  <si>
    <t>SILICONA NEGRA RTV</t>
  </si>
  <si>
    <t>PAGOS YAPE</t>
  </si>
  <si>
    <t>DESCRIPCION PAGO</t>
  </si>
  <si>
    <t>TALADRO INALAMBRICO JADEVER</t>
  </si>
  <si>
    <t>CODO DESAGUE 1 1/2</t>
  </si>
  <si>
    <t>BROCHA 2 ATLAS</t>
  </si>
  <si>
    <t>BROCA 8 H</t>
  </si>
  <si>
    <t>FLEXO 10 MT</t>
  </si>
  <si>
    <t>PASTINA NEOMIX</t>
  </si>
  <si>
    <t>JUEGOD E LLAVES ALEN</t>
  </si>
  <si>
    <t xml:space="preserve">JUEGO DE LLAVES ALEN </t>
  </si>
  <si>
    <t>JUEGO DE LLACES TOK</t>
  </si>
  <si>
    <t>GUANES SATEX</t>
  </si>
  <si>
    <t>REPUESTO ESTILETE</t>
  </si>
  <si>
    <t>BROCA MADERA 5/16</t>
  </si>
  <si>
    <t>DUCHA CORONA</t>
  </si>
  <si>
    <t>DISCO RMOVERDOR DE PINTURA</t>
  </si>
  <si>
    <t>FLEXO 3M JADEVER</t>
  </si>
  <si>
    <t>TARRAJA 1/2</t>
  </si>
  <si>
    <t>LIJA 80</t>
  </si>
  <si>
    <t>RAMPLU 6 LH</t>
  </si>
  <si>
    <t>RONILLOS 6 X 1 1/4</t>
  </si>
  <si>
    <t>RODAPIE 3 CON FRENO</t>
  </si>
  <si>
    <t>PERNOS 1/4X1/2</t>
  </si>
  <si>
    <t>PICO</t>
  </si>
  <si>
    <t>NIPLE 1/2 FG</t>
  </si>
  <si>
    <t>JUEGO DADO 3/8 JADEVER</t>
  </si>
  <si>
    <t>JUEGO DE SOPLETES TRUPER</t>
  </si>
  <si>
    <t>ADAPTDKOR TRAMONTA</t>
  </si>
  <si>
    <t>PICO YTRAOTA</t>
  </si>
  <si>
    <t>CANDADO</t>
  </si>
  <si>
    <t xml:space="preserve">SIFON </t>
  </si>
  <si>
    <t>DESARMADO ELEC</t>
  </si>
  <si>
    <t>CLAVIJA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</si>
</sst>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sz val="11.0"/>
      <color rgb="FF000000"/>
      <name val="&quot;Aptos Narrow&quot;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1" fillId="10" fontId="12" numFmtId="0" xfId="0" applyAlignment="1" applyBorder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8" fontId="13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170.0</v>
      </c>
      <c r="E8" s="8">
        <v>46234.35835797453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5.0</v>
      </c>
      <c r="E9" s="8">
        <v>46234.35839042824</v>
      </c>
      <c r="F9" s="2"/>
      <c r="G9" s="9" t="s">
        <v>9</v>
      </c>
      <c r="H9" s="10">
        <v>48.0</v>
      </c>
      <c r="I9" s="2"/>
      <c r="J9" s="9" t="s">
        <v>10</v>
      </c>
      <c r="K9" s="10">
        <v>540.0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19.0</v>
      </c>
      <c r="E10" s="8">
        <v>46234.35853517361</v>
      </c>
      <c r="F10" s="2"/>
      <c r="G10" s="9" t="s">
        <v>12</v>
      </c>
      <c r="H10" s="10">
        <v>240.0</v>
      </c>
      <c r="I10" s="2"/>
      <c r="J10" s="9" t="s">
        <v>13</v>
      </c>
      <c r="K10" s="11">
        <f>SUM(PRINCIPAL[TOTAL])</f>
        <v>4388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55.0</v>
      </c>
      <c r="E11" s="8">
        <v>46234.37079811342</v>
      </c>
      <c r="F11" s="2"/>
      <c r="G11" s="9" t="s">
        <v>15</v>
      </c>
      <c r="H11" s="10">
        <v>1700.0</v>
      </c>
      <c r="I11" s="2"/>
      <c r="J11" s="9" t="s">
        <v>16</v>
      </c>
      <c r="K11" s="10">
        <v>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310.0</v>
      </c>
      <c r="E12" s="8">
        <v>46234.38970150463</v>
      </c>
      <c r="F12" s="2"/>
      <c r="G12" s="9" t="s">
        <v>18</v>
      </c>
      <c r="H12" s="12">
        <f>SUM(G24:H361)</f>
        <v>2979.5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22.0</v>
      </c>
      <c r="E13" s="8">
        <v>46234.3898578588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20.0</v>
      </c>
      <c r="E14" s="8">
        <v>46234.399174328704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 t="s">
        <v>23</v>
      </c>
      <c r="C15" s="7" t="s">
        <v>24</v>
      </c>
      <c r="D15" s="6">
        <v>25.0</v>
      </c>
      <c r="E15" s="8">
        <v>46234.39922344907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20.0</v>
      </c>
      <c r="E16" s="8">
        <v>46234.401112754626</v>
      </c>
      <c r="F16" s="2"/>
      <c r="G16" s="15" t="s">
        <v>26</v>
      </c>
      <c r="H16" s="16">
        <f>SUM(H9:H14)</f>
        <v>4967.5</v>
      </c>
      <c r="I16" s="3"/>
      <c r="J16" s="15" t="s">
        <v>27</v>
      </c>
      <c r="K16" s="16">
        <f>SUM(K9:K11)</f>
        <v>4958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77.0</v>
      </c>
      <c r="E17" s="8">
        <v>46234.420926412036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43.0</v>
      </c>
      <c r="E18" s="8">
        <v>46234.422375775466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8.0</v>
      </c>
      <c r="E19" s="8">
        <v>46234.44492995371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13.0</v>
      </c>
      <c r="E20" s="8">
        <v>46234.44509892361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392.0</v>
      </c>
      <c r="E21" s="8">
        <v>46234.44522796296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10.0</v>
      </c>
      <c r="E22" s="8">
        <v>46234.44536378472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16.0</v>
      </c>
      <c r="E23" s="8">
        <v>46234.45012797454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98.0</v>
      </c>
      <c r="E24" s="8">
        <v>46234.4502305787</v>
      </c>
      <c r="F24" s="2"/>
      <c r="G24" s="22">
        <v>175.0</v>
      </c>
      <c r="H24" s="23"/>
      <c r="I24" s="2"/>
      <c r="J24" s="24" t="s">
        <v>39</v>
      </c>
      <c r="K24" s="25">
        <f>SUM(INGRESOS_YAPE[])</f>
        <v>2979.5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26">
        <v>68.0</v>
      </c>
      <c r="E25" s="8">
        <v>46234.45029385417</v>
      </c>
      <c r="F25" s="2"/>
      <c r="G25" s="22">
        <v>310.0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27">
        <v>27029.0</v>
      </c>
      <c r="B26" s="6">
        <v>1.0</v>
      </c>
      <c r="C26" s="7" t="s">
        <v>41</v>
      </c>
      <c r="D26" s="26">
        <v>28.0</v>
      </c>
      <c r="E26" s="8">
        <v>46234.45044488426</v>
      </c>
      <c r="F26" s="2"/>
      <c r="G26" s="28">
        <v>45.0</v>
      </c>
      <c r="H26" s="23"/>
      <c r="I26" s="2"/>
      <c r="J26" s="29" t="s">
        <v>42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38.0</v>
      </c>
      <c r="E27" s="8">
        <v>46234.45076796296</v>
      </c>
      <c r="F27" s="2"/>
      <c r="G27" s="22">
        <v>20.0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14.0</v>
      </c>
      <c r="E28" s="8">
        <v>46234.45351078703</v>
      </c>
      <c r="F28" s="2"/>
      <c r="G28" s="22">
        <v>77.0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22.0</v>
      </c>
      <c r="E29" s="8">
        <v>46234.45360700232</v>
      </c>
      <c r="F29" s="2"/>
      <c r="G29" s="22">
        <v>21.0</v>
      </c>
      <c r="H29" s="23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2979,50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24.0</v>
      </c>
      <c r="C30" s="7" t="s">
        <v>46</v>
      </c>
      <c r="D30" s="6">
        <v>2.5</v>
      </c>
      <c r="E30" s="8">
        <v>46234.46690987269</v>
      </c>
      <c r="F30" s="2"/>
      <c r="G30" s="22">
        <v>392.0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17.0</v>
      </c>
      <c r="E31" s="8">
        <v>46234.46707979166</v>
      </c>
      <c r="F31" s="2"/>
      <c r="G31" s="22">
        <v>32.0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1.5</v>
      </c>
      <c r="E32" s="8">
        <v>46234.46721840277</v>
      </c>
      <c r="F32" s="2"/>
      <c r="G32" s="22">
        <v>38.0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98.0</v>
      </c>
      <c r="E33" s="8">
        <v>46234.473153530096</v>
      </c>
      <c r="F33" s="2"/>
      <c r="G33" s="22">
        <v>36.0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15.0</v>
      </c>
      <c r="E34" s="8">
        <v>46234.514241377314</v>
      </c>
      <c r="F34" s="2"/>
      <c r="G34" s="22">
        <v>98.0</v>
      </c>
      <c r="H34" s="23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1175.0</v>
      </c>
      <c r="E35" s="8">
        <v>46234.517791481485</v>
      </c>
      <c r="F35" s="2"/>
      <c r="G35" s="22">
        <v>1175.0</v>
      </c>
      <c r="H35" s="23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54</v>
      </c>
      <c r="D36" s="6">
        <v>7.0</v>
      </c>
      <c r="E36" s="8">
        <v>46234.52349178241</v>
      </c>
      <c r="F36" s="2"/>
      <c r="G36" s="22">
        <v>23.0</v>
      </c>
      <c r="H36" s="23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12.0</v>
      </c>
      <c r="C37" s="7" t="s">
        <v>55</v>
      </c>
      <c r="D37" s="6">
        <v>138.0</v>
      </c>
      <c r="E37" s="8">
        <v>46234.529063368056</v>
      </c>
      <c r="F37" s="2"/>
      <c r="G37" s="22">
        <v>257.0</v>
      </c>
      <c r="H37" s="23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20.0</v>
      </c>
      <c r="E38" s="8">
        <v>46234.5366575463</v>
      </c>
      <c r="F38" s="2"/>
      <c r="G38" s="22">
        <v>53.0</v>
      </c>
      <c r="H38" s="23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87.0</v>
      </c>
      <c r="E39" s="8">
        <v>46234.53678663194</v>
      </c>
      <c r="F39" s="2"/>
      <c r="G39" s="22">
        <v>15.5</v>
      </c>
      <c r="H39" s="23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23.0</v>
      </c>
      <c r="E40" s="8">
        <v>46234.58817783565</v>
      </c>
      <c r="F40" s="2"/>
      <c r="G40" s="22">
        <v>72.0</v>
      </c>
      <c r="H40" s="23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92.0</v>
      </c>
      <c r="E41" s="8">
        <v>46234.592652418985</v>
      </c>
      <c r="F41" s="2"/>
      <c r="G41" s="22">
        <v>60.0</v>
      </c>
      <c r="H41" s="23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73.0</v>
      </c>
      <c r="E42" s="8">
        <v>46234.59271309028</v>
      </c>
      <c r="F42" s="2"/>
      <c r="G42" s="22">
        <v>80.0</v>
      </c>
      <c r="H42" s="23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66.0</v>
      </c>
      <c r="E43" s="8">
        <v>46234.592784305554</v>
      </c>
      <c r="F43" s="2"/>
      <c r="G43" s="23"/>
      <c r="H43" s="23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62</v>
      </c>
      <c r="D44" s="6">
        <v>26.0</v>
      </c>
      <c r="E44" s="8">
        <v>46234.59285940972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18.0</v>
      </c>
      <c r="E45" s="8">
        <v>46234.60540710649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12.0</v>
      </c>
      <c r="E46" s="8">
        <v>46234.60547221065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26">
        <v>45.0</v>
      </c>
      <c r="E47" s="8">
        <v>46234.60553450232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115.0</v>
      </c>
      <c r="E48" s="8">
        <v>46234.62033060185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53.0</v>
      </c>
      <c r="E49" s="8">
        <v>46234.64130091435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43.0</v>
      </c>
      <c r="E50" s="8">
        <v>46234.641364826384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14.0</v>
      </c>
      <c r="E51" s="8">
        <v>46234.64872702546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53.0</v>
      </c>
      <c r="E52" s="8">
        <v>46234.6488133449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69</v>
      </c>
      <c r="D53" s="6">
        <v>10.0</v>
      </c>
      <c r="E53" s="35"/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12.0</v>
      </c>
      <c r="C54" s="7" t="s">
        <v>70</v>
      </c>
      <c r="D54" s="6">
        <v>3.0</v>
      </c>
      <c r="E54" s="35"/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12.0</v>
      </c>
      <c r="C55" s="7" t="s">
        <v>71</v>
      </c>
      <c r="D55" s="26">
        <v>2.5</v>
      </c>
      <c r="E55" s="8">
        <v>46234.65478311342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4.0</v>
      </c>
      <c r="C56" s="7" t="s">
        <v>72</v>
      </c>
      <c r="D56" s="6">
        <v>196.0</v>
      </c>
      <c r="E56" s="8">
        <v>46234.67509094907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16.0</v>
      </c>
      <c r="C57" s="7" t="s">
        <v>73</v>
      </c>
      <c r="D57" s="6">
        <v>10.5</v>
      </c>
      <c r="E57" s="8">
        <v>46234.67520777778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7.0</v>
      </c>
      <c r="E58" s="8">
        <v>46234.67528362268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75</v>
      </c>
      <c r="D59" s="6">
        <v>40.0</v>
      </c>
      <c r="E59" s="8">
        <v>46234.67666936343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120.0</v>
      </c>
      <c r="E60" s="8">
        <v>46234.67919255787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72.0</v>
      </c>
      <c r="E61" s="8">
        <v>46234.68877392361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9.0</v>
      </c>
      <c r="E62" s="8">
        <v>46234.70073515046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9.0</v>
      </c>
      <c r="E63" s="8">
        <v>46234.70081194444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60.0</v>
      </c>
      <c r="E64" s="8">
        <v>46234.73074820601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81</v>
      </c>
      <c r="D65" s="6">
        <v>102.0</v>
      </c>
      <c r="E65" s="8">
        <v>46234.738115914355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38.0</v>
      </c>
      <c r="E66" s="8">
        <v>46234.76167385417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37.0</v>
      </c>
      <c r="E67" s="8">
        <v>46234.761892870374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5.0</v>
      </c>
      <c r="E68" s="8">
        <v>46234.762021574075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6"/>
      <c r="D69" s="37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6"/>
      <c r="D70" s="37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6"/>
      <c r="D71" s="37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6"/>
      <c r="D72" s="37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6"/>
      <c r="D73" s="37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6"/>
      <c r="D74" s="37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6"/>
      <c r="D75" s="37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6"/>
      <c r="D76" s="37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6"/>
      <c r="D77" s="37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6"/>
      <c r="D78" s="37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6"/>
      <c r="D79" s="37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6"/>
      <c r="D80" s="37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6"/>
      <c r="D81" s="37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6"/>
      <c r="D82" s="37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6"/>
      <c r="D83" s="37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6"/>
      <c r="D84" s="37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6"/>
      <c r="D85" s="37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6"/>
      <c r="D86" s="37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6"/>
      <c r="D87" s="37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6"/>
      <c r="D88" s="37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6"/>
      <c r="D89" s="37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6"/>
      <c r="D90" s="37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6"/>
      <c r="D91" s="37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6"/>
      <c r="D92" s="37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6"/>
      <c r="D93" s="37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6"/>
      <c r="D94" s="37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6"/>
      <c r="D95" s="37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6"/>
      <c r="D96" s="37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6"/>
      <c r="D97" s="37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6"/>
      <c r="D98" s="37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