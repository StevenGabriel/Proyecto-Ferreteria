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<sst xmlns="http://schemas.openxmlformats.org/spreadsheetml/2006/main" count="98" uniqueCount="95">
  <si>
    <t>HOJA DE CALCULO FERRETERIA</t>
  </si>
  <si>
    <t>CODIGO</t>
  </si>
  <si>
    <t>CANTIDAD</t>
  </si>
  <si>
    <t>DESCRIPCION</t>
  </si>
  <si>
    <t>TOTAL</t>
  </si>
  <si>
    <t>HORA</t>
  </si>
  <si>
    <t>CUADRAR</t>
  </si>
  <si>
    <t>ponchillo</t>
  </si>
  <si>
    <t>cierra mecanica</t>
  </si>
  <si>
    <t>MONEDAS</t>
  </si>
  <si>
    <t>CAJA CHICA</t>
  </si>
  <si>
    <t>discos uyus</t>
  </si>
  <si>
    <t>BILLETES 10-20</t>
  </si>
  <si>
    <t>TOTAL VENTAS DIA</t>
  </si>
  <si>
    <t>broca 7 fierro</t>
  </si>
  <si>
    <t>BILLETES 50-100-200</t>
  </si>
  <si>
    <t>AUMENTO DE DINERO</t>
  </si>
  <si>
    <t>disco removdor de pintura</t>
  </si>
  <si>
    <t>INGRESOS YAPE</t>
  </si>
  <si>
    <t>juego de laminas</t>
  </si>
  <si>
    <t>INGRESOS TARJETA</t>
  </si>
  <si>
    <t>espatula</t>
  </si>
  <si>
    <t>GASTOS VARIOS</t>
  </si>
  <si>
    <t>silicona blanca american</t>
  </si>
  <si>
    <t>cinta asilasnte amarillo</t>
  </si>
  <si>
    <t>DINERO GANADO HOY:</t>
  </si>
  <si>
    <t>CANTIDAD DINERO CAJA:</t>
  </si>
  <si>
    <t>arlargador 5m</t>
  </si>
  <si>
    <t>broca tolsen coblato 4</t>
  </si>
  <si>
    <t>broca tolsen cobalto de 9</t>
  </si>
  <si>
    <t>clavo 2 1/2</t>
  </si>
  <si>
    <t>pela cable tolse</t>
  </si>
  <si>
    <t>plancha liza</t>
  </si>
  <si>
    <t>YAPE MAMÁ</t>
  </si>
  <si>
    <t>YAPE PAPÁ</t>
  </si>
  <si>
    <t>plancha dentada</t>
  </si>
  <si>
    <t>disco truper madera</t>
  </si>
  <si>
    <t>bolsa de ramplu 6</t>
  </si>
  <si>
    <t>cinta tela gris</t>
  </si>
  <si>
    <t>cinta embalaje 20y</t>
  </si>
  <si>
    <t>cinta asilante</t>
  </si>
  <si>
    <t>clavo 25mm</t>
  </si>
  <si>
    <t>bornera para bateria</t>
  </si>
  <si>
    <t>aslambre amarre</t>
  </si>
  <si>
    <t>1kl</t>
  </si>
  <si>
    <t>carburo</t>
  </si>
  <si>
    <t>12m</t>
  </si>
  <si>
    <t>cable red</t>
  </si>
  <si>
    <t>cuello de cera</t>
  </si>
  <si>
    <t>placa donle sneider</t>
  </si>
  <si>
    <t>5m</t>
  </si>
  <si>
    <t>cable bipolar 20</t>
  </si>
  <si>
    <t>desarmadro truper</t>
  </si>
  <si>
    <t>clavija lateral</t>
  </si>
  <si>
    <t>aerosol negor mate</t>
  </si>
  <si>
    <t>tubo led 120</t>
  </si>
  <si>
    <t>tubo led 60</t>
  </si>
  <si>
    <t>adaptador ultra</t>
  </si>
  <si>
    <t>flexo 5m tolsen</t>
  </si>
  <si>
    <t>armella</t>
  </si>
  <si>
    <t>debor fierro 2</t>
  </si>
  <si>
    <t>maso tolsrn</t>
  </si>
  <si>
    <t>debor concreto 4</t>
  </si>
  <si>
    <t>escuadra uyus 10</t>
  </si>
  <si>
    <t>pilas duracel d</t>
  </si>
  <si>
    <t>teflones</t>
  </si>
  <si>
    <t>tapon macho 1/2</t>
  </si>
  <si>
    <t>sella rosca</t>
  </si>
  <si>
    <t>copla 1/2</t>
  </si>
  <si>
    <t>union patnet e1/2</t>
  </si>
  <si>
    <t>prensa espquinera</t>
  </si>
  <si>
    <t>juego de puntas</t>
  </si>
  <si>
    <t>chapa hermex</t>
  </si>
  <si>
    <t>llave crecen 12</t>
  </si>
  <si>
    <t>teflone</t>
  </si>
  <si>
    <t>m cable bipolar 12</t>
  </si>
  <si>
    <t>placa schnee doble toma</t>
  </si>
  <si>
    <t>toma soblre poner tramotna</t>
  </si>
  <si>
    <t>cina aislante</t>
  </si>
  <si>
    <t>desarmador</t>
  </si>
  <si>
    <t>lija 400</t>
  </si>
  <si>
    <t>lija 500</t>
  </si>
  <si>
    <t>alargadr 10m</t>
  </si>
  <si>
    <t>estructural negro</t>
  </si>
  <si>
    <t>debor 1 fierro</t>
  </si>
  <si>
    <t>terminal de clable</t>
  </si>
  <si>
    <t>iman extensibe</t>
  </si>
  <si>
    <t>tubox 100</t>
  </si>
  <si>
    <t>soda caustica</t>
  </si>
  <si>
    <t>pulsador</t>
  </si>
  <si>
    <t>ma amnguera nicel 5/16</t>
  </si>
  <si>
    <t>JUEGO DE SERRAS COPLA</t>
  </si>
  <si>
    <t>JUEGO DE ACOPLER 6 COPLES</t>
  </si>
  <si>
    <t>CHICIOTILLO COFLEX 40 GAS</t>
  </si>
  <si>
    <t>SISNTETEICA 100 AMATILLO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</si>
</sst>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65.0</v>
      </c>
      <c r="E8" s="8">
        <v>46051.36739137732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19.0</v>
      </c>
      <c r="E9" s="8">
        <v>46051.386972685184</v>
      </c>
      <c r="F9" s="2"/>
      <c r="G9" s="9" t="s">
        <v>9</v>
      </c>
      <c r="H9" s="10">
        <v>102.0</v>
      </c>
      <c r="I9" s="2"/>
      <c r="J9" s="9" t="s">
        <v>10</v>
      </c>
      <c r="K9" s="10">
        <v>563.0</v>
      </c>
      <c r="L9" s="2"/>
      <c r="M9" s="2"/>
      <c r="N9" s="2"/>
      <c r="O9" s="2"/>
      <c r="P9" s="2"/>
      <c r="Q9" s="2"/>
    </row>
    <row r="10" ht="22.5" customHeight="1">
      <c r="A10" s="6"/>
      <c r="B10" s="6">
        <v>4.0</v>
      </c>
      <c r="C10" s="7" t="s">
        <v>11</v>
      </c>
      <c r="D10" s="6">
        <v>24.0</v>
      </c>
      <c r="E10" s="8">
        <v>46051.387120590276</v>
      </c>
      <c r="F10" s="2"/>
      <c r="G10" s="9" t="s">
        <v>12</v>
      </c>
      <c r="H10" s="10">
        <v>410.0</v>
      </c>
      <c r="I10" s="2"/>
      <c r="J10" s="9" t="s">
        <v>13</v>
      </c>
      <c r="K10" s="11">
        <f>SUM(PRINCIPAL[TOTAL])</f>
        <v>3101.2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24.0</v>
      </c>
      <c r="E11" s="8">
        <v>46051.38767861111</v>
      </c>
      <c r="F11" s="2"/>
      <c r="G11" s="9" t="s">
        <v>15</v>
      </c>
      <c r="H11" s="10">
        <v>2600.0</v>
      </c>
      <c r="I11" s="2"/>
      <c r="J11" s="9" t="s">
        <v>16</v>
      </c>
      <c r="K11" s="10">
        <v>360.0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126.0</v>
      </c>
      <c r="E12" s="8">
        <v>46051.388013460644</v>
      </c>
      <c r="F12" s="2"/>
      <c r="G12" s="9" t="s">
        <v>18</v>
      </c>
      <c r="H12" s="12">
        <f>SUM(INGRESOS_YAPE[])</f>
        <v>1171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35.0</v>
      </c>
      <c r="E13" s="8">
        <v>46051.38827193287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18.0</v>
      </c>
      <c r="E14" s="8">
        <v>46051.388355891206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54.0</v>
      </c>
      <c r="E15" s="8">
        <v>46051.388430046296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4.0</v>
      </c>
      <c r="E16" s="8">
        <v>46051.38957675926</v>
      </c>
      <c r="F16" s="2"/>
      <c r="G16" s="15" t="s">
        <v>25</v>
      </c>
      <c r="H16" s="16">
        <f>SUM(H9:H14)</f>
        <v>4283</v>
      </c>
      <c r="I16" s="3"/>
      <c r="J16" s="15" t="s">
        <v>26</v>
      </c>
      <c r="K16" s="16">
        <f>SUM(K9:K11)</f>
        <v>4024.2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27.0</v>
      </c>
      <c r="E17" s="8">
        <v>46051.391691655095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13.0</v>
      </c>
      <c r="E18" s="8">
        <v>46051.39775578704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258,80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45.0</v>
      </c>
      <c r="E19" s="8">
        <v>46051.39784527778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40.0</v>
      </c>
      <c r="E20" s="8">
        <v>46051.40848387731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44.0</v>
      </c>
      <c r="E21" s="8">
        <v>46051.41336273148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23</v>
      </c>
      <c r="D22" s="6">
        <v>27.0</v>
      </c>
      <c r="E22" s="8">
        <v>46051.41932877315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62.0</v>
      </c>
      <c r="E23" s="8">
        <v>46051.4305431713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35</v>
      </c>
      <c r="D24" s="6">
        <v>62.0</v>
      </c>
      <c r="E24" s="8">
        <v>46051.43078446759</v>
      </c>
      <c r="F24" s="2"/>
      <c r="G24" s="20">
        <v>189.0</v>
      </c>
      <c r="H24" s="20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21</v>
      </c>
      <c r="D25" s="6">
        <v>19.0</v>
      </c>
      <c r="E25" s="8">
        <v>46051.43102422454</v>
      </c>
      <c r="F25" s="2"/>
      <c r="G25" s="20">
        <v>58.0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36</v>
      </c>
      <c r="D26" s="6">
        <v>171.0</v>
      </c>
      <c r="E26" s="8">
        <v>46051.43677119213</v>
      </c>
      <c r="F26" s="2"/>
      <c r="G26" s="22">
        <v>27.0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37</v>
      </c>
      <c r="D27" s="6">
        <v>57.0</v>
      </c>
      <c r="E27" s="8">
        <v>46051.43688743055</v>
      </c>
      <c r="F27" s="2"/>
      <c r="G27" s="20">
        <v>126.0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38</v>
      </c>
      <c r="D28" s="6">
        <v>18.0</v>
      </c>
      <c r="E28" s="8">
        <v>46051.44735166666</v>
      </c>
      <c r="F28" s="2"/>
      <c r="G28" s="20">
        <v>58.0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39</v>
      </c>
      <c r="D29" s="6">
        <v>10.0</v>
      </c>
      <c r="E29" s="8">
        <v>46051.44745407408</v>
      </c>
      <c r="F29" s="2"/>
      <c r="G29" s="20">
        <v>27.0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40</v>
      </c>
      <c r="D30" s="6">
        <v>13.0</v>
      </c>
      <c r="E30" s="8">
        <v>46051.45701244213</v>
      </c>
      <c r="F30" s="2"/>
      <c r="G30" s="20">
        <v>143.0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41</v>
      </c>
      <c r="D31" s="6">
        <v>134.0</v>
      </c>
      <c r="E31" s="8">
        <v>46051.463417175924</v>
      </c>
      <c r="F31" s="2"/>
      <c r="G31" s="20">
        <v>57.0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42</v>
      </c>
      <c r="D32" s="6">
        <v>19.0</v>
      </c>
      <c r="E32" s="8">
        <v>46051.467981574075</v>
      </c>
      <c r="F32" s="2"/>
      <c r="G32" s="20">
        <v>63.0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43</v>
      </c>
      <c r="D33" s="6">
        <v>28.0</v>
      </c>
      <c r="E33" s="8">
        <v>46051.4706228125</v>
      </c>
      <c r="F33" s="2"/>
      <c r="G33" s="20">
        <v>232.0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44</v>
      </c>
      <c r="C34" s="7" t="s">
        <v>45</v>
      </c>
      <c r="D34" s="6">
        <v>29.0</v>
      </c>
      <c r="E34" s="8">
        <v>46051.47067011574</v>
      </c>
      <c r="F34" s="2"/>
      <c r="G34" s="20">
        <v>110.0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 t="s">
        <v>46</v>
      </c>
      <c r="C35" s="7" t="s">
        <v>47</v>
      </c>
      <c r="D35" s="6">
        <v>48.0</v>
      </c>
      <c r="E35" s="8">
        <v>46051.47762125</v>
      </c>
      <c r="F35" s="2"/>
      <c r="G35" s="20">
        <v>65.0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2.0</v>
      </c>
      <c r="C36" s="7" t="s">
        <v>48</v>
      </c>
      <c r="D36" s="6">
        <v>48.0</v>
      </c>
      <c r="E36" s="8">
        <v>46051.48310841435</v>
      </c>
      <c r="F36" s="2"/>
      <c r="G36" s="20">
        <v>16.0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36.5</v>
      </c>
      <c r="E37" s="8">
        <v>46051.48807694444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 t="s">
        <v>50</v>
      </c>
      <c r="C38" s="7" t="s">
        <v>51</v>
      </c>
      <c r="D38" s="6">
        <v>27.5</v>
      </c>
      <c r="E38" s="8">
        <v>46051.48847001157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28.0</v>
      </c>
      <c r="E39" s="8">
        <v>46051.48856795139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8.0</v>
      </c>
      <c r="E40" s="8">
        <v>46051.48866793982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2.0</v>
      </c>
      <c r="C41" s="7" t="s">
        <v>54</v>
      </c>
      <c r="D41" s="6">
        <v>40.0</v>
      </c>
      <c r="E41" s="8">
        <v>46051.49711282407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7.0</v>
      </c>
      <c r="C42" s="7" t="s">
        <v>55</v>
      </c>
      <c r="D42" s="6">
        <v>168.0</v>
      </c>
      <c r="E42" s="8">
        <v>46051.506529085644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2.0</v>
      </c>
      <c r="C43" s="7" t="s">
        <v>56</v>
      </c>
      <c r="D43" s="6">
        <v>32.0</v>
      </c>
      <c r="E43" s="8">
        <v>46051.506656875004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2.0</v>
      </c>
      <c r="C44" s="7" t="s">
        <v>57</v>
      </c>
      <c r="D44" s="6">
        <v>18.0</v>
      </c>
      <c r="E44" s="8">
        <v>46051.53093787037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58</v>
      </c>
      <c r="D45" s="6">
        <v>70.0</v>
      </c>
      <c r="E45" s="8">
        <v>46051.544774803246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59</v>
      </c>
      <c r="D46" s="6">
        <v>2.0</v>
      </c>
      <c r="E46" s="8">
        <v>46051.5449939699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60</v>
      </c>
      <c r="D47" s="6">
        <v>8.2</v>
      </c>
      <c r="E47" s="8">
        <v>46051.54507179398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40</v>
      </c>
      <c r="D48" s="6">
        <v>13.0</v>
      </c>
      <c r="E48" s="8">
        <v>46051.54527328703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38.0</v>
      </c>
      <c r="E49" s="8">
        <v>46051.54639230324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12.0</v>
      </c>
      <c r="E50" s="8">
        <v>46051.54725233796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27.0</v>
      </c>
      <c r="E51" s="8">
        <v>46051.55567297454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99.0</v>
      </c>
      <c r="E52" s="8">
        <v>46051.56169178241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5.0</v>
      </c>
      <c r="C53" s="7" t="s">
        <v>65</v>
      </c>
      <c r="D53" s="6">
        <v>15.0</v>
      </c>
      <c r="E53" s="8">
        <v>46051.59096678241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7.0</v>
      </c>
      <c r="C54" s="7" t="s">
        <v>66</v>
      </c>
      <c r="D54" s="6">
        <v>7.0</v>
      </c>
      <c r="E54" s="8">
        <v>46051.59109030092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27.0</v>
      </c>
      <c r="E55" s="8">
        <v>46051.59114712963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3.5</v>
      </c>
      <c r="E56" s="8">
        <v>46051.60335650463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8.5</v>
      </c>
      <c r="E57" s="8">
        <v>46051.603417488426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70</v>
      </c>
      <c r="D58" s="6">
        <v>104.0</v>
      </c>
      <c r="E58" s="8">
        <v>46051.60349927083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26.0</v>
      </c>
      <c r="E59" s="8">
        <v>46051.60356123843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232.0</v>
      </c>
      <c r="E60" s="8">
        <v>46051.605637870365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68.0</v>
      </c>
      <c r="E61" s="8">
        <v>46051.622742962965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74</v>
      </c>
      <c r="D62" s="6">
        <v>3.0</v>
      </c>
      <c r="E62" s="8">
        <v>46051.624867418985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75</v>
      </c>
      <c r="D63" s="6">
        <v>27.0</v>
      </c>
      <c r="E63" s="8">
        <v>46051.639237986106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36.0</v>
      </c>
      <c r="E64" s="8">
        <v>46051.63934652778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77</v>
      </c>
      <c r="D65" s="6">
        <v>15.0</v>
      </c>
      <c r="E65" s="8">
        <v>46051.63944337963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9.0</v>
      </c>
      <c r="E66" s="8">
        <v>46051.64118907407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79</v>
      </c>
      <c r="D67" s="6">
        <v>23.0</v>
      </c>
      <c r="E67" s="8">
        <v>46051.65772565972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80</v>
      </c>
      <c r="D68" s="6">
        <v>5.0</v>
      </c>
      <c r="E68" s="8">
        <v>46051.65797730324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5.0</v>
      </c>
      <c r="E69" s="8">
        <v>46051.65802319444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110.0</v>
      </c>
      <c r="E70" s="8">
        <v>46051.666615787035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83</v>
      </c>
      <c r="D71" s="6">
        <v>63.0</v>
      </c>
      <c r="E71" s="8">
        <v>46051.67016876157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84</v>
      </c>
      <c r="D72" s="6">
        <v>8.5</v>
      </c>
      <c r="E72" s="8">
        <v>46051.67222954861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6.0</v>
      </c>
      <c r="C73" s="7" t="s">
        <v>85</v>
      </c>
      <c r="D73" s="6">
        <v>6.0</v>
      </c>
      <c r="E73" s="8">
        <v>46051.672380625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86</v>
      </c>
      <c r="D74" s="6">
        <v>42.0</v>
      </c>
      <c r="E74" s="8">
        <v>46051.697167314815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87</v>
      </c>
      <c r="D75" s="6">
        <v>16.0</v>
      </c>
      <c r="E75" s="8">
        <v>46051.73044690972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88</v>
      </c>
      <c r="D76" s="6">
        <v>35.0</v>
      </c>
      <c r="E76" s="8">
        <v>46051.71470560185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89</v>
      </c>
      <c r="D77" s="6">
        <v>45.0</v>
      </c>
      <c r="E77" s="8">
        <v>46051.716483634256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3.0</v>
      </c>
      <c r="C78" s="7" t="s">
        <v>90</v>
      </c>
      <c r="D78" s="6">
        <v>16.5</v>
      </c>
      <c r="E78" s="8">
        <v>46051.73414666667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91</v>
      </c>
      <c r="D79" s="6">
        <v>35.0</v>
      </c>
      <c r="E79" s="8">
        <v>46051.738635960646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92</v>
      </c>
      <c r="D80" s="6">
        <v>134.0</v>
      </c>
      <c r="E80" s="8">
        <v>46051.73879440972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93</v>
      </c>
      <c r="D81" s="6">
        <v>55.0</v>
      </c>
      <c r="E81" s="8">
        <v>46051.742191736106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94</v>
      </c>
      <c r="D82" s="6">
        <v>11.0</v>
      </c>
      <c r="E82" s="8">
        <v>46051.742283680556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