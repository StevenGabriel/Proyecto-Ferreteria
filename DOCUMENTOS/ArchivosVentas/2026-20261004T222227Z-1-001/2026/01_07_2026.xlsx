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<sst xmlns="http://schemas.openxmlformats.org/spreadsheetml/2006/main" count="103" uniqueCount="100">
  <si>
    <t>HOJA DE CALCULO FERRETERIA</t>
  </si>
  <si>
    <t>CODIGO</t>
  </si>
  <si>
    <t>CANTIDAD</t>
  </si>
  <si>
    <t>DESCRIPCION</t>
  </si>
  <si>
    <t>TOTAL</t>
  </si>
  <si>
    <t>HORA</t>
  </si>
  <si>
    <t>CUADRAR</t>
  </si>
  <si>
    <t>broca irwin 7</t>
  </si>
  <si>
    <t>boca de lovo tr</t>
  </si>
  <si>
    <t>MONEDAS</t>
  </si>
  <si>
    <t>CAJA CHICA</t>
  </si>
  <si>
    <t>disco</t>
  </si>
  <si>
    <t>BILLETES 10-20</t>
  </si>
  <si>
    <t>TOTAL VENTAS DIA</t>
  </si>
  <si>
    <t>1/2 kb</t>
  </si>
  <si>
    <t>electr</t>
  </si>
  <si>
    <t>BILLETES 50-100-200</t>
  </si>
  <si>
    <t>AUMENTO DE DINERO</t>
  </si>
  <si>
    <t>chip 4.5x 30</t>
  </si>
  <si>
    <t>INGRESOS YAPE</t>
  </si>
  <si>
    <t>broca ceramica 8</t>
  </si>
  <si>
    <t>INGRESOS TARJETA</t>
  </si>
  <si>
    <t>ramplu 8</t>
  </si>
  <si>
    <t>GASTOS VARIOS</t>
  </si>
  <si>
    <t>siliocna estructural</t>
  </si>
  <si>
    <t>silicona blanca</t>
  </si>
  <si>
    <t>DINERO GANADO HOY:</t>
  </si>
  <si>
    <t>CANTIDAD DINERO CAJA:</t>
  </si>
  <si>
    <t>escamosita 1kl</t>
  </si>
  <si>
    <t>tiafondo 5/16*11/2</t>
  </si>
  <si>
    <t>anticorrosiva amarillo</t>
  </si>
  <si>
    <t>escamocita 1/2kl</t>
  </si>
  <si>
    <t>regaton</t>
  </si>
  <si>
    <t>teflon</t>
  </si>
  <si>
    <t>presinto unidad</t>
  </si>
  <si>
    <t>YAPE MAMÁ</t>
  </si>
  <si>
    <t>YAPE PAPÁ</t>
  </si>
  <si>
    <t>YAPE</t>
  </si>
  <si>
    <t>broocha 2</t>
  </si>
  <si>
    <t>Monto Total YAPE (No tocar):</t>
  </si>
  <si>
    <t>brocha 1</t>
  </si>
  <si>
    <t>SPATULA 3</t>
  </si>
  <si>
    <t>Monto Total Registrado en aplicacion</t>
  </si>
  <si>
    <t>ESPATULA 4</t>
  </si>
  <si>
    <t>GUANTE OSCARIA</t>
  </si>
  <si>
    <t>LENTES AMARILLO</t>
  </si>
  <si>
    <t>GOANTE FERRAWY</t>
  </si>
  <si>
    <t>GUANTE TR</t>
  </si>
  <si>
    <t>CLAVIJA</t>
  </si>
  <si>
    <t>CAUTIN 150W</t>
  </si>
  <si>
    <t>PAGOS YAPE</t>
  </si>
  <si>
    <t>DESCRIPCION PAGO</t>
  </si>
  <si>
    <t>JUEGO LLACE COMBINADA KAMASA</t>
  </si>
  <si>
    <t>CHALECO REFLEC</t>
  </si>
  <si>
    <t>CASCO ECONOMICAO</t>
  </si>
  <si>
    <t>SERRUCHO</t>
  </si>
  <si>
    <t>REgaton</t>
  </si>
  <si>
    <t>REGATON</t>
  </si>
  <si>
    <t>EMPAQUETADURA</t>
  </si>
  <si>
    <t>PEGAMENTO PVC 1L</t>
  </si>
  <si>
    <t>PAR BISAGRA TORNEADA 3/8</t>
  </si>
  <si>
    <t>2PAR</t>
  </si>
  <si>
    <t>BISAGRA TONEADA 1/2</t>
  </si>
  <si>
    <t>AEROSOL NEGRO MATE</t>
  </si>
  <si>
    <t>RAMPLU 10</t>
  </si>
  <si>
    <t>TIRAFONDO 1/4X2</t>
  </si>
  <si>
    <t>BROCHA</t>
  </si>
  <si>
    <t>PER HEX</t>
  </si>
  <si>
    <t>pinza</t>
  </si>
  <si>
    <t>caja grampas</t>
  </si>
  <si>
    <t>pela ale</t>
  </si>
  <si>
    <t xml:space="preserve">juego de llaves alens ltose </t>
  </si>
  <si>
    <t>NITROLAC NEGRO</t>
  </si>
  <si>
    <t>CANDADO</t>
  </si>
  <si>
    <t>DESARMADOR</t>
  </si>
  <si>
    <t>INTERRUPTOR DE PASO</t>
  </si>
  <si>
    <t>CINT ASILANTE</t>
  </si>
  <si>
    <t>BROCHA 1</t>
  </si>
  <si>
    <t>SINTETICA CELESTE</t>
  </si>
  <si>
    <t>MANGUERA PARAGASOLINA</t>
  </si>
  <si>
    <t>18,5M</t>
  </si>
  <si>
    <t>PERLON 4</t>
  </si>
  <si>
    <t>1KL</t>
  </si>
  <si>
    <t>ALAMBRE GAL 16</t>
  </si>
  <si>
    <t>ARMELLAS</t>
  </si>
  <si>
    <t>PISTOLA DE CALOR DONG CHEBG</t>
  </si>
  <si>
    <t>RAMPLU 7</t>
  </si>
  <si>
    <t>SINTETICS 220</t>
  </si>
  <si>
    <t>M SOGAPERLON</t>
  </si>
  <si>
    <t>BANDOLAS</t>
  </si>
  <si>
    <t>KL ALAMBRE DE AMARE</t>
  </si>
  <si>
    <t>CINGA AISLANE</t>
  </si>
  <si>
    <t>HULE PLASTIO</t>
  </si>
  <si>
    <t>VALVULA RETENCIAO</t>
  </si>
  <si>
    <t>ADAPDOR 2</t>
  </si>
  <si>
    <t>M HULE</t>
  </si>
  <si>
    <t xml:space="preserve">ALICTE </t>
  </si>
  <si>
    <t>MARTILLO</t>
  </si>
  <si>
    <t>CADENA</t>
  </si>
  <si>
    <t>KL CLAVO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</si>
</sst>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38.0</v>
      </c>
      <c r="E8" s="8">
        <v>46204.384883391205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345.0</v>
      </c>
      <c r="E9" s="8">
        <v>46204.385013657404</v>
      </c>
      <c r="F9" s="2"/>
      <c r="G9" s="9" t="s">
        <v>9</v>
      </c>
      <c r="H9" s="10">
        <v>62.5</v>
      </c>
      <c r="I9" s="2"/>
      <c r="J9" s="9" t="s">
        <v>10</v>
      </c>
      <c r="K9" s="10">
        <v>622.0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9.0</v>
      </c>
      <c r="E10" s="8">
        <v>46204.39100831018</v>
      </c>
      <c r="F10" s="2"/>
      <c r="G10" s="9" t="s">
        <v>12</v>
      </c>
      <c r="H10" s="10">
        <v>170.0</v>
      </c>
      <c r="I10" s="2"/>
      <c r="J10" s="9" t="s">
        <v>13</v>
      </c>
      <c r="K10" s="11">
        <f>SUM(PRINCIPAL[TOTAL])</f>
        <v>3505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6">
        <v>29.0</v>
      </c>
      <c r="E11" s="8">
        <v>46204.391171724536</v>
      </c>
      <c r="F11" s="2"/>
      <c r="G11" s="9" t="s">
        <v>16</v>
      </c>
      <c r="H11" s="10">
        <v>1200.0</v>
      </c>
      <c r="I11" s="2"/>
      <c r="J11" s="9" t="s">
        <v>17</v>
      </c>
      <c r="K11" s="10">
        <v>10.0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108.0</v>
      </c>
      <c r="C12" s="7" t="s">
        <v>18</v>
      </c>
      <c r="D12" s="6">
        <v>22.5</v>
      </c>
      <c r="E12" s="8">
        <v>46204.39184560185</v>
      </c>
      <c r="F12" s="2"/>
      <c r="G12" s="9" t="s">
        <v>19</v>
      </c>
      <c r="H12" s="12">
        <f>SUM(G24:H361)</f>
        <v>2782.5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32.0</v>
      </c>
      <c r="E13" s="8">
        <v>46204.39414481481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12.0</v>
      </c>
      <c r="C14" s="7" t="s">
        <v>22</v>
      </c>
      <c r="D14" s="6">
        <v>2.0</v>
      </c>
      <c r="E14" s="8">
        <v>46204.3950028588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66.0</v>
      </c>
      <c r="E15" s="8">
        <v>46204.398321099536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78.0</v>
      </c>
      <c r="E16" s="8">
        <v>46204.39839623842</v>
      </c>
      <c r="F16" s="2"/>
      <c r="G16" s="15" t="s">
        <v>26</v>
      </c>
      <c r="H16" s="16">
        <f>SUM(H9:H14)</f>
        <v>4215</v>
      </c>
      <c r="I16" s="3"/>
      <c r="J16" s="15" t="s">
        <v>27</v>
      </c>
      <c r="K16" s="16">
        <f>SUM(K9:K11)</f>
        <v>4137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35.0</v>
      </c>
      <c r="E17" s="8">
        <v>46204.398476793984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6.0</v>
      </c>
      <c r="C18" s="7" t="s">
        <v>29</v>
      </c>
      <c r="D18" s="6">
        <v>5.0</v>
      </c>
      <c r="E18" s="8">
        <v>46204.40360174769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78,00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67.0</v>
      </c>
      <c r="E19" s="8">
        <v>46204.40937248843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22.0</v>
      </c>
      <c r="E20" s="8">
        <v>46204.41341887732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4.0</v>
      </c>
      <c r="C21" s="7" t="s">
        <v>32</v>
      </c>
      <c r="D21" s="6">
        <v>10.0</v>
      </c>
      <c r="E21" s="8">
        <v>46204.41852533565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2.5</v>
      </c>
      <c r="E22" s="8">
        <v>46204.42693168981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4.0</v>
      </c>
      <c r="C23" s="7" t="s">
        <v>34</v>
      </c>
      <c r="D23" s="19">
        <v>2.0</v>
      </c>
      <c r="E23" s="8">
        <v>46204.43029337963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11.0</v>
      </c>
      <c r="E24" s="8">
        <v>46204.43109175926</v>
      </c>
      <c r="F24" s="2"/>
      <c r="G24" s="23">
        <v>383.0</v>
      </c>
      <c r="H24" s="24"/>
      <c r="I24" s="2"/>
      <c r="J24" s="25" t="s">
        <v>39</v>
      </c>
      <c r="K24" s="26">
        <f>SUM(INGRESOS_YAPE[])</f>
        <v>2782.5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11.0</v>
      </c>
      <c r="E25" s="8">
        <v>46204.431157314815</v>
      </c>
      <c r="F25" s="2"/>
      <c r="G25" s="23">
        <v>22.5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41</v>
      </c>
      <c r="D26" s="6">
        <v>20.0</v>
      </c>
      <c r="E26" s="8">
        <v>46204.44129378472</v>
      </c>
      <c r="F26" s="2"/>
      <c r="G26" s="27">
        <v>35.0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10.0</v>
      </c>
      <c r="E27" s="8">
        <v>46204.44134805555</v>
      </c>
      <c r="F27" s="2"/>
      <c r="G27" s="23">
        <v>67.0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44</v>
      </c>
      <c r="D28" s="6">
        <v>48.0</v>
      </c>
      <c r="E28" s="8">
        <v>46204.45223556713</v>
      </c>
      <c r="F28" s="2"/>
      <c r="G28" s="23">
        <v>280.0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45</v>
      </c>
      <c r="D29" s="6">
        <v>52.0</v>
      </c>
      <c r="E29" s="8">
        <v>46204.45230737269</v>
      </c>
      <c r="F29" s="2"/>
      <c r="G29" s="23">
        <v>132.0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2782,50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10.0</v>
      </c>
      <c r="C30" s="7" t="s">
        <v>46</v>
      </c>
      <c r="D30" s="6">
        <v>80.0</v>
      </c>
      <c r="E30" s="8">
        <v>46204.475250324074</v>
      </c>
      <c r="F30" s="2"/>
      <c r="G30" s="23">
        <v>242.0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47</v>
      </c>
      <c r="D31" s="6">
        <v>60.0</v>
      </c>
      <c r="E31" s="8">
        <v>46204.47539574074</v>
      </c>
      <c r="F31" s="2"/>
      <c r="G31" s="23">
        <v>50.0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7.0</v>
      </c>
      <c r="C32" s="7" t="s">
        <v>47</v>
      </c>
      <c r="D32" s="6">
        <v>140.0</v>
      </c>
      <c r="E32" s="8">
        <v>46204.47548196759</v>
      </c>
      <c r="F32" s="2"/>
      <c r="G32" s="23">
        <v>77.0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48</v>
      </c>
      <c r="D33" s="6">
        <v>10.0</v>
      </c>
      <c r="E33" s="8">
        <v>46204.475601770835</v>
      </c>
      <c r="F33" s="2"/>
      <c r="G33" s="23">
        <v>20.0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78.0</v>
      </c>
      <c r="E34" s="8">
        <v>46204.47577833333</v>
      </c>
      <c r="F34" s="2"/>
      <c r="G34" s="23">
        <v>45.0</v>
      </c>
      <c r="H34" s="24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19">
        <v>164.0</v>
      </c>
      <c r="E35" s="8">
        <v>46204.47593479167</v>
      </c>
      <c r="F35" s="2"/>
      <c r="G35" s="23">
        <v>330.0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53</v>
      </c>
      <c r="D36" s="6">
        <v>56.0</v>
      </c>
      <c r="E36" s="8">
        <v>46204.47631708333</v>
      </c>
      <c r="F36" s="2"/>
      <c r="G36" s="23">
        <v>1.0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54</v>
      </c>
      <c r="D37" s="34">
        <v>76.0</v>
      </c>
      <c r="E37" s="8">
        <v>46204.47647297454</v>
      </c>
      <c r="F37" s="2"/>
      <c r="G37" s="23">
        <v>6.0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43.0</v>
      </c>
      <c r="E38" s="8">
        <v>46204.53840168982</v>
      </c>
      <c r="F38" s="2"/>
      <c r="G38" s="23">
        <v>24.0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3.0</v>
      </c>
      <c r="E39" s="8">
        <v>46204.53851648148</v>
      </c>
      <c r="F39" s="2"/>
      <c r="G39" s="23">
        <v>198.0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4.0</v>
      </c>
      <c r="E40" s="8">
        <v>46204.53847284723</v>
      </c>
      <c r="F40" s="2"/>
      <c r="G40" s="23">
        <v>32.0</v>
      </c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19">
        <v>4.0</v>
      </c>
      <c r="E41" s="8">
        <v>46204.553855439815</v>
      </c>
      <c r="F41" s="2"/>
      <c r="G41" s="23">
        <v>438.0</v>
      </c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75.0</v>
      </c>
      <c r="E42" s="8">
        <v>46204.581706122684</v>
      </c>
      <c r="F42" s="2"/>
      <c r="G42" s="23">
        <v>400.0</v>
      </c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6.0</v>
      </c>
      <c r="E43" s="8">
        <v>46204.59329310185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 t="s">
        <v>61</v>
      </c>
      <c r="C44" s="7" t="s">
        <v>62</v>
      </c>
      <c r="D44" s="6">
        <v>20.0</v>
      </c>
      <c r="E44" s="8">
        <v>46204.593394814816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63</v>
      </c>
      <c r="D45" s="6">
        <v>40.0</v>
      </c>
      <c r="E45" s="8">
        <v>46204.59352707176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12.0</v>
      </c>
      <c r="C46" s="7" t="s">
        <v>64</v>
      </c>
      <c r="D46" s="6">
        <v>4.0</v>
      </c>
      <c r="E46" s="8">
        <v>46204.59371008102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12.0</v>
      </c>
      <c r="C47" s="7" t="s">
        <v>65</v>
      </c>
      <c r="D47" s="6">
        <v>7.0</v>
      </c>
      <c r="E47" s="8">
        <v>46204.59382332176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6.0</v>
      </c>
      <c r="E48" s="8">
        <v>46204.601973125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67</v>
      </c>
      <c r="D49" s="6">
        <v>3.0</v>
      </c>
      <c r="E49" s="8">
        <v>46204.62497278935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68</v>
      </c>
      <c r="D50" s="6">
        <v>49.0</v>
      </c>
      <c r="E50" s="8">
        <v>46204.654887916666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14.0</v>
      </c>
      <c r="E51" s="8">
        <v>46204.65509085648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45.0</v>
      </c>
      <c r="E52" s="8">
        <v>46204.66449837963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73.0</v>
      </c>
      <c r="E53" s="8">
        <v>46204.6645741088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27.0</v>
      </c>
      <c r="E54" s="8">
        <v>46204.67343321759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73</v>
      </c>
      <c r="D55" s="6">
        <v>316.0</v>
      </c>
      <c r="E55" s="8">
        <v>46204.67633641204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14.0</v>
      </c>
      <c r="E56" s="8">
        <v>46204.67649322917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75</v>
      </c>
      <c r="D57" s="6">
        <v>14.0</v>
      </c>
      <c r="E57" s="8">
        <v>46204.67663862268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13.0</v>
      </c>
      <c r="E58" s="8">
        <v>46204.67674972222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13.0</v>
      </c>
      <c r="E59" s="8">
        <v>46204.6767746875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11.0</v>
      </c>
      <c r="E60" s="8">
        <v>46204.683214537035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8.0</v>
      </c>
      <c r="E61" s="8">
        <v>46204.68329912037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24.0</v>
      </c>
      <c r="E62" s="8">
        <v>46204.683774502315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 t="s">
        <v>80</v>
      </c>
      <c r="C63" s="7" t="s">
        <v>81</v>
      </c>
      <c r="D63" s="6">
        <v>37.0</v>
      </c>
      <c r="E63" s="8">
        <v>46204.703493912035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82</v>
      </c>
      <c r="C64" s="7" t="s">
        <v>83</v>
      </c>
      <c r="D64" s="6">
        <v>29.0</v>
      </c>
      <c r="E64" s="8">
        <v>46204.70357703704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12.0</v>
      </c>
      <c r="C65" s="7" t="s">
        <v>84</v>
      </c>
      <c r="D65" s="6">
        <v>12.0</v>
      </c>
      <c r="E65" s="8">
        <v>46204.703632986115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198.0</v>
      </c>
      <c r="E66" s="8">
        <v>46204.7059606713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12.0</v>
      </c>
      <c r="C67" s="7" t="s">
        <v>86</v>
      </c>
      <c r="D67" s="6">
        <v>2.0</v>
      </c>
      <c r="E67" s="8">
        <v>46204.706200416666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19.0</v>
      </c>
      <c r="E68" s="8">
        <v>46204.73136755787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66</v>
      </c>
      <c r="D69" s="6">
        <v>12.0</v>
      </c>
      <c r="E69" s="8">
        <v>46204.73156828704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10.0</v>
      </c>
      <c r="C70" s="7" t="s">
        <v>88</v>
      </c>
      <c r="D70" s="6">
        <v>80.0</v>
      </c>
      <c r="E70" s="8">
        <v>46204.7550752199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89</v>
      </c>
      <c r="D71" s="6">
        <v>26.0</v>
      </c>
      <c r="E71" s="8">
        <v>46204.75526686343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19.0</v>
      </c>
      <c r="E72" s="8">
        <v>46204.75538387732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91</v>
      </c>
      <c r="D73" s="6">
        <v>16.0</v>
      </c>
      <c r="E73" s="8">
        <v>46204.755455590275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6.0</v>
      </c>
      <c r="C74" s="7" t="s">
        <v>92</v>
      </c>
      <c r="D74" s="6">
        <v>36.0</v>
      </c>
      <c r="E74" s="8">
        <v>46204.75582709491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410.0</v>
      </c>
      <c r="E75" s="8">
        <v>46204.756287488424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94</v>
      </c>
      <c r="D76" s="6">
        <v>28.0</v>
      </c>
      <c r="E76" s="8">
        <v>46204.75639707176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6.0</v>
      </c>
      <c r="C77" s="7" t="s">
        <v>95</v>
      </c>
      <c r="D77" s="6">
        <v>36.0</v>
      </c>
      <c r="E77" s="8">
        <v>46204.7578915162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96</v>
      </c>
      <c r="D78" s="6">
        <v>35.0</v>
      </c>
      <c r="E78" s="8">
        <v>46204.76336195602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97</v>
      </c>
      <c r="D79" s="6">
        <v>30.0</v>
      </c>
      <c r="E79" s="8">
        <v>46204.76343568287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3.0</v>
      </c>
      <c r="C80" s="7" t="s">
        <v>98</v>
      </c>
      <c r="D80" s="6">
        <v>39.0</v>
      </c>
      <c r="E80" s="8">
        <v>46204.7654294213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99</v>
      </c>
      <c r="D81" s="6">
        <v>24.0</v>
      </c>
      <c r="E81" s="8">
        <v>46204.76546623843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5"/>
      <c r="D82" s="36"/>
      <c r="E82" s="37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5"/>
      <c r="D83" s="36"/>
      <c r="E83" s="37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5"/>
      <c r="D84" s="36"/>
      <c r="E84" s="37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5"/>
      <c r="D85" s="36"/>
      <c r="E85" s="37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5"/>
      <c r="D86" s="36"/>
      <c r="E86" s="37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5"/>
      <c r="D87" s="36"/>
      <c r="E87" s="37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5"/>
      <c r="D88" s="36"/>
      <c r="E88" s="37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5"/>
      <c r="D89" s="36"/>
      <c r="E89" s="37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5"/>
      <c r="D90" s="36"/>
      <c r="E90" s="37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5"/>
      <c r="D91" s="36"/>
      <c r="E91" s="37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