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<sst xmlns="http://schemas.openxmlformats.org/spreadsheetml/2006/main" count="97" uniqueCount="93">
  <si>
    <t>HOJA DE CALCULO FERRETERIA</t>
  </si>
  <si>
    <t>CODIGO</t>
  </si>
  <si>
    <t>CANTIDAD</t>
  </si>
  <si>
    <t>DESCRIPCION</t>
  </si>
  <si>
    <t>TOTAL</t>
  </si>
  <si>
    <t>HORA</t>
  </si>
  <si>
    <t>CUADRAR</t>
  </si>
  <si>
    <t>llave de paso gas1/2</t>
  </si>
  <si>
    <t>toma sobreponer tramon</t>
  </si>
  <si>
    <t>MONEDAS</t>
  </si>
  <si>
    <t>CAJA CHICA</t>
  </si>
  <si>
    <t>inflador pretul</t>
  </si>
  <si>
    <t>BILLETES 10-20</t>
  </si>
  <si>
    <t>TOTAL VENTAS DIA</t>
  </si>
  <si>
    <t>acople macho 1/4</t>
  </si>
  <si>
    <t>BILLETES 50-100-200</t>
  </si>
  <si>
    <t>AUMENTO DE DINERO</t>
  </si>
  <si>
    <t>tijera de posar tramona</t>
  </si>
  <si>
    <t>INGRESOS YAPE</t>
  </si>
  <si>
    <t>juego de sepillos</t>
  </si>
  <si>
    <t>INGRESOS TARJETA</t>
  </si>
  <si>
    <t>barbijos</t>
  </si>
  <si>
    <t>GASTOS VARIOS</t>
  </si>
  <si>
    <t>juego tarraja tornllos</t>
  </si>
  <si>
    <t>lamina</t>
  </si>
  <si>
    <t>DINERO GANADO HOY:</t>
  </si>
  <si>
    <t>CANTIDAD DINERO CAJA:</t>
  </si>
  <si>
    <t>juego nimicepillos</t>
  </si>
  <si>
    <t>AKFI 705</t>
  </si>
  <si>
    <t>BROCA DEBOR FIERRO 3</t>
  </si>
  <si>
    <t>TEFLON</t>
  </si>
  <si>
    <t>10M</t>
  </si>
  <si>
    <t>PELON 1/4</t>
  </si>
  <si>
    <t>SINETICA BLANCA 100</t>
  </si>
  <si>
    <t>COPLA HM FG</t>
  </si>
  <si>
    <t>YAPE MAMÁ</t>
  </si>
  <si>
    <t>YAPE PAPÁ</t>
  </si>
  <si>
    <t>YAPE</t>
  </si>
  <si>
    <t>REGLET 4</t>
  </si>
  <si>
    <t>Monto Total YAPE (No tocar):</t>
  </si>
  <si>
    <t>4M</t>
  </si>
  <si>
    <t>BIPOLAR 12</t>
  </si>
  <si>
    <t>ABRAZADERA 1/2</t>
  </si>
  <si>
    <t>Monto Total Registrado en aplicacion</t>
  </si>
  <si>
    <t>CHIP 4 X 35</t>
  </si>
  <si>
    <t>RAMPLU 6</t>
  </si>
  <si>
    <t>CHICOTILLO 50 7/8</t>
  </si>
  <si>
    <t>M LIJA</t>
  </si>
  <si>
    <t>FOCO INCANDECENTE</t>
  </si>
  <si>
    <t>CARBON TRUPER</t>
  </si>
  <si>
    <t>DISCO GALLETA</t>
  </si>
  <si>
    <t>DISCO FLAP</t>
  </si>
  <si>
    <t>PAGOS YAPE</t>
  </si>
  <si>
    <t>DESCRIPCION PAGO</t>
  </si>
  <si>
    <t>PAR DDE BISAGA 2</t>
  </si>
  <si>
    <t>COPLA IPS 1</t>
  </si>
  <si>
    <t xml:space="preserve">1/2M </t>
  </si>
  <si>
    <t>LIJA</t>
  </si>
  <si>
    <t>1/2M</t>
  </si>
  <si>
    <t>LIJA 1/2M</t>
  </si>
  <si>
    <t>VARILLA DE BRONCE</t>
  </si>
  <si>
    <t>CLAVIJA ULTRA</t>
  </si>
  <si>
    <t>BURLETE 80</t>
  </si>
  <si>
    <t>PIE DE AMIGO</t>
  </si>
  <si>
    <t>CLAVO TUPERE</t>
  </si>
  <si>
    <t>DISCO MADERA TOSEN</t>
  </si>
  <si>
    <t>PLANCHA DENTADA</t>
  </si>
  <si>
    <t>MACHETE JADEVER</t>
  </si>
  <si>
    <t>MSCHRTE TRAMONT</t>
  </si>
  <si>
    <t>BARROTE DE FUERZ</t>
  </si>
  <si>
    <t>GUANTES FERAW</t>
  </si>
  <si>
    <t>GUANTE OSCARI</t>
  </si>
  <si>
    <t>KL CAAVO 11/2</t>
  </si>
  <si>
    <t>PASTINA</t>
  </si>
  <si>
    <t>CORTA VIDRIO</t>
  </si>
  <si>
    <t xml:space="preserve">MANGERA SALUDA </t>
  </si>
  <si>
    <t>MANGEURA ENTRAS</t>
  </si>
  <si>
    <t>BARNIZ SPARLA</t>
  </si>
  <si>
    <t>SIFON LAVAPLATOS SIMTPE</t>
  </si>
  <si>
    <t>CHUPADOR 1</t>
  </si>
  <si>
    <t>TEFLOM</t>
  </si>
  <si>
    <t>SELLA ROSACA</t>
  </si>
  <si>
    <t xml:space="preserve">JUSEGO </t>
  </si>
  <si>
    <t>JUEGOD E DASD</t>
  </si>
  <si>
    <t>JUEGO DE PUNTAS</t>
  </si>
  <si>
    <t>TERMICIO 32A</t>
  </si>
  <si>
    <t>CINTA CRISTAL</t>
  </si>
  <si>
    <t>BROCA PUNTA FLECHA</t>
  </si>
  <si>
    <t>BROCA FIERRODEBOR 2 MM</t>
  </si>
  <si>
    <t>DADO</t>
  </si>
  <si>
    <t>TEFLONES</t>
  </si>
  <si>
    <t>PALO AZADON</t>
  </si>
  <si>
    <t>AEROSOLES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</si>
</sst>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5" numFmtId="0" xfId="0" applyAlignment="1" applyBorder="1" applyFill="1" applyFont="1">
      <alignment horizontal="center" readingOrder="0" shrinkToFit="0" vertical="center" wrapText="0"/>
    </xf>
    <xf borderId="1" fillId="7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8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9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10" fontId="11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vertical="center"/>
    </xf>
    <xf borderId="1" fillId="11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10" fontId="12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readingOrder="0"/>
    </xf>
    <xf borderId="0" fillId="12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3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8">
        <v>75.0</v>
      </c>
      <c r="E8" s="9">
        <v>46158.359794641205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10">
        <v>30.0</v>
      </c>
      <c r="E9" s="9">
        <v>46158.36088261574</v>
      </c>
      <c r="F9" s="2"/>
      <c r="G9" s="11" t="s">
        <v>9</v>
      </c>
      <c r="H9" s="12">
        <v>76.0</v>
      </c>
      <c r="I9" s="2"/>
      <c r="J9" s="11" t="s">
        <v>10</v>
      </c>
      <c r="K9" s="12">
        <v>730.0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8">
        <v>33.0</v>
      </c>
      <c r="E10" s="9">
        <v>46158.38368482639</v>
      </c>
      <c r="F10" s="2"/>
      <c r="G10" s="11" t="s">
        <v>12</v>
      </c>
      <c r="H10" s="12">
        <v>220.0</v>
      </c>
      <c r="I10" s="2"/>
      <c r="J10" s="11" t="s">
        <v>13</v>
      </c>
      <c r="K10" s="13">
        <f>SUM(PRINCIPAL[TOTAL])</f>
        <v>3264.5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10">
        <v>8.0</v>
      </c>
      <c r="E11" s="9">
        <v>46158.38377601852</v>
      </c>
      <c r="F11" s="2"/>
      <c r="G11" s="11" t="s">
        <v>15</v>
      </c>
      <c r="H11" s="12">
        <v>2100.0</v>
      </c>
      <c r="I11" s="2"/>
      <c r="J11" s="11" t="s">
        <v>16</v>
      </c>
      <c r="K11" s="12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8">
        <v>195.0</v>
      </c>
      <c r="E12" s="9">
        <v>46158.39757912037</v>
      </c>
      <c r="F12" s="2"/>
      <c r="G12" s="11" t="s">
        <v>18</v>
      </c>
      <c r="H12" s="14">
        <f>SUM(G24:H361)</f>
        <v>1651.5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5"/>
      <c r="B13" s="6">
        <v>1.0</v>
      </c>
      <c r="C13" s="7" t="s">
        <v>19</v>
      </c>
      <c r="D13" s="8">
        <v>36.0</v>
      </c>
      <c r="E13" s="9">
        <v>46158.41004398148</v>
      </c>
      <c r="F13" s="2"/>
      <c r="G13" s="11" t="s">
        <v>20</v>
      </c>
      <c r="H13" s="12"/>
      <c r="I13" s="2"/>
      <c r="J13" s="16"/>
      <c r="K13" s="2"/>
      <c r="L13" s="2"/>
      <c r="M13" s="2"/>
      <c r="N13" s="2"/>
      <c r="O13" s="2"/>
      <c r="P13" s="2"/>
      <c r="Q13" s="2"/>
    </row>
    <row r="14" ht="22.5" customHeight="1">
      <c r="A14" s="15"/>
      <c r="B14" s="6">
        <v>2.0</v>
      </c>
      <c r="C14" s="7" t="s">
        <v>21</v>
      </c>
      <c r="D14" s="8">
        <v>6.0</v>
      </c>
      <c r="E14" s="9">
        <v>46158.41011670139</v>
      </c>
      <c r="F14" s="2"/>
      <c r="G14" s="11" t="s">
        <v>22</v>
      </c>
      <c r="H14" s="12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5"/>
      <c r="B15" s="6">
        <v>1.0</v>
      </c>
      <c r="C15" s="7" t="s">
        <v>23</v>
      </c>
      <c r="D15" s="8">
        <v>84.0</v>
      </c>
      <c r="E15" s="9">
        <v>46158.41026574074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5"/>
      <c r="B16" s="6">
        <v>1.0</v>
      </c>
      <c r="C16" s="7" t="s">
        <v>24</v>
      </c>
      <c r="D16" s="6">
        <v>15.0</v>
      </c>
      <c r="E16" s="9">
        <v>46158.41033886574</v>
      </c>
      <c r="F16" s="2"/>
      <c r="G16" s="17" t="s">
        <v>25</v>
      </c>
      <c r="H16" s="18">
        <f>SUM(H9:H14)</f>
        <v>4047.5</v>
      </c>
      <c r="I16" s="3"/>
      <c r="J16" s="17" t="s">
        <v>26</v>
      </c>
      <c r="K16" s="18">
        <f>SUM(K9:K11)</f>
        <v>3994.5</v>
      </c>
      <c r="L16" s="2"/>
      <c r="M16" s="2"/>
      <c r="N16" s="2"/>
      <c r="O16" s="2"/>
      <c r="P16" s="2"/>
      <c r="Q16" s="2"/>
    </row>
    <row r="17" ht="22.5" customHeight="1">
      <c r="A17" s="15"/>
      <c r="B17" s="6">
        <v>1.0</v>
      </c>
      <c r="C17" s="7" t="s">
        <v>27</v>
      </c>
      <c r="D17" s="6">
        <v>12.0</v>
      </c>
      <c r="E17" s="9">
        <v>46158.41049524306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5"/>
      <c r="B18" s="6">
        <v>1.0</v>
      </c>
      <c r="C18" s="7" t="s">
        <v>28</v>
      </c>
      <c r="D18" s="8">
        <v>34.0</v>
      </c>
      <c r="E18" s="9">
        <v>46158.42534052083</v>
      </c>
      <c r="F18" s="2"/>
      <c r="G18" s="19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53,00</v>
      </c>
      <c r="L18" s="2"/>
      <c r="M18" s="2"/>
      <c r="N18" s="2"/>
      <c r="O18" s="2"/>
      <c r="P18" s="2"/>
      <c r="Q18" s="2"/>
    </row>
    <row r="19" ht="22.5" customHeight="1">
      <c r="A19" s="15"/>
      <c r="B19" s="6">
        <v>1.0</v>
      </c>
      <c r="C19" s="7" t="s">
        <v>29</v>
      </c>
      <c r="D19" s="8">
        <v>10.0</v>
      </c>
      <c r="E19" s="9">
        <v>46158.432546724536</v>
      </c>
      <c r="F19" s="2"/>
      <c r="L19" s="2"/>
      <c r="M19" s="2"/>
      <c r="N19" s="2"/>
      <c r="O19" s="2"/>
      <c r="P19" s="2"/>
      <c r="Q19" s="2"/>
    </row>
    <row r="20" ht="22.5" customHeight="1">
      <c r="A20" s="15"/>
      <c r="B20" s="6">
        <v>2.0</v>
      </c>
      <c r="C20" s="7" t="s">
        <v>30</v>
      </c>
      <c r="D20" s="6">
        <v>5.0</v>
      </c>
      <c r="E20" s="9">
        <v>46158.433322997684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5"/>
      <c r="B21" s="6" t="s">
        <v>31</v>
      </c>
      <c r="C21" s="7" t="s">
        <v>32</v>
      </c>
      <c r="D21" s="8">
        <v>35.0</v>
      </c>
      <c r="E21" s="9">
        <v>46158.434317164356</v>
      </c>
      <c r="F21" s="2"/>
      <c r="G21" s="20"/>
      <c r="H21" s="20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5"/>
      <c r="B22" s="6">
        <v>1.0</v>
      </c>
      <c r="C22" s="7" t="s">
        <v>33</v>
      </c>
      <c r="D22" s="6">
        <v>11.0</v>
      </c>
      <c r="E22" s="9">
        <v>46158.45739822916</v>
      </c>
      <c r="F22" s="2"/>
      <c r="G22" s="20"/>
      <c r="H22" s="20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5"/>
      <c r="B23" s="6">
        <v>10.0</v>
      </c>
      <c r="C23" s="7" t="s">
        <v>34</v>
      </c>
      <c r="D23" s="8">
        <v>230.0</v>
      </c>
      <c r="E23" s="9">
        <v>46158.46335361111</v>
      </c>
      <c r="F23" s="2"/>
      <c r="G23" s="21" t="s">
        <v>35</v>
      </c>
      <c r="H23" s="21" t="s">
        <v>36</v>
      </c>
      <c r="I23" s="2"/>
      <c r="J23" s="22" t="s">
        <v>37</v>
      </c>
      <c r="L23" s="23"/>
      <c r="M23" s="2"/>
      <c r="N23" s="2"/>
      <c r="O23" s="2"/>
      <c r="P23" s="2"/>
      <c r="Q23" s="2"/>
    </row>
    <row r="24" ht="22.5" customHeight="1">
      <c r="A24" s="15"/>
      <c r="B24" s="6">
        <v>2.0</v>
      </c>
      <c r="C24" s="7" t="s">
        <v>38</v>
      </c>
      <c r="D24" s="6">
        <v>36.0</v>
      </c>
      <c r="E24" s="9">
        <v>46158.486381215276</v>
      </c>
      <c r="F24" s="2"/>
      <c r="G24" s="24">
        <v>10.0</v>
      </c>
      <c r="H24" s="25"/>
      <c r="I24" s="2"/>
      <c r="J24" s="26" t="s">
        <v>39</v>
      </c>
      <c r="K24" s="27">
        <f>SUM(INGRESOS_YAPE[])</f>
        <v>1651.5</v>
      </c>
      <c r="L24" s="2"/>
      <c r="M24" s="2"/>
      <c r="N24" s="2"/>
      <c r="O24" s="2"/>
      <c r="P24" s="2"/>
      <c r="Q24" s="2"/>
    </row>
    <row r="25" ht="22.5" customHeight="1">
      <c r="A25" s="15"/>
      <c r="B25" s="6" t="s">
        <v>40</v>
      </c>
      <c r="C25" s="7" t="s">
        <v>41</v>
      </c>
      <c r="D25" s="8">
        <v>92.0</v>
      </c>
      <c r="E25" s="9">
        <v>46158.486465462964</v>
      </c>
      <c r="F25" s="2"/>
      <c r="G25" s="24">
        <v>3.0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5"/>
      <c r="B26" s="6">
        <v>10.0</v>
      </c>
      <c r="C26" s="7" t="s">
        <v>42</v>
      </c>
      <c r="D26" s="28">
        <v>20.0</v>
      </c>
      <c r="E26" s="9">
        <v>46158.486564942126</v>
      </c>
      <c r="F26" s="2"/>
      <c r="G26" s="29">
        <v>230.0</v>
      </c>
      <c r="H26" s="25"/>
      <c r="I26" s="2"/>
      <c r="J26" s="30" t="s">
        <v>43</v>
      </c>
      <c r="K26" s="31"/>
      <c r="L26" s="2"/>
      <c r="M26" s="2"/>
      <c r="N26" s="2"/>
      <c r="O26" s="2"/>
      <c r="P26" s="2"/>
      <c r="Q26" s="2"/>
    </row>
    <row r="27" ht="22.5" customHeight="1">
      <c r="A27" s="15"/>
      <c r="B27" s="6">
        <v>12.0</v>
      </c>
      <c r="C27" s="7" t="s">
        <v>44</v>
      </c>
      <c r="D27" s="8">
        <v>3.0</v>
      </c>
      <c r="E27" s="9">
        <v>46158.4873112037</v>
      </c>
      <c r="F27" s="2"/>
      <c r="G27" s="24">
        <v>120.0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5"/>
      <c r="B28" s="6">
        <v>12.0</v>
      </c>
      <c r="C28" s="7" t="s">
        <v>45</v>
      </c>
      <c r="D28" s="8">
        <v>1.0</v>
      </c>
      <c r="E28" s="9">
        <v>46158.48735993056</v>
      </c>
      <c r="F28" s="2"/>
      <c r="G28" s="24">
        <v>215.0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5"/>
      <c r="B29" s="6">
        <v>1.0</v>
      </c>
      <c r="C29" s="7" t="s">
        <v>46</v>
      </c>
      <c r="D29" s="8">
        <v>23.0</v>
      </c>
      <c r="E29" s="9">
        <v>46158.49098105324</v>
      </c>
      <c r="F29" s="2"/>
      <c r="G29" s="24">
        <v>64.0</v>
      </c>
      <c r="H29" s="25"/>
      <c r="I29" s="2"/>
      <c r="J29" s="32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1651,50</v>
      </c>
      <c r="L29" s="2"/>
      <c r="M29" s="2"/>
      <c r="N29" s="2"/>
      <c r="O29" s="2"/>
      <c r="P29" s="2"/>
      <c r="Q29" s="2"/>
    </row>
    <row r="30" ht="22.5" customHeight="1">
      <c r="A30" s="15"/>
      <c r="B30" s="6">
        <v>10.0</v>
      </c>
      <c r="C30" s="7" t="s">
        <v>47</v>
      </c>
      <c r="D30" s="8">
        <v>100.0</v>
      </c>
      <c r="E30" s="9">
        <v>46158.49103625</v>
      </c>
      <c r="F30" s="2"/>
      <c r="G30" s="24">
        <v>23.0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5"/>
      <c r="B31" s="6">
        <v>4.0</v>
      </c>
      <c r="C31" s="7" t="s">
        <v>48</v>
      </c>
      <c r="D31" s="6">
        <v>14.0</v>
      </c>
      <c r="E31" s="9">
        <v>46158.50534549769</v>
      </c>
      <c r="F31" s="2"/>
      <c r="G31" s="24">
        <v>202.5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5"/>
      <c r="B32" s="6">
        <v>1.0</v>
      </c>
      <c r="C32" s="7" t="s">
        <v>49</v>
      </c>
      <c r="D32" s="28">
        <v>34.0</v>
      </c>
      <c r="E32" s="9">
        <v>46158.51400820602</v>
      </c>
      <c r="F32" s="2"/>
      <c r="G32" s="24">
        <v>514.0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5"/>
      <c r="B33" s="6">
        <v>1.0</v>
      </c>
      <c r="C33" s="7" t="s">
        <v>50</v>
      </c>
      <c r="D33" s="8">
        <v>5.0</v>
      </c>
      <c r="E33" s="9">
        <v>46158.47585935185</v>
      </c>
      <c r="F33" s="2"/>
      <c r="G33" s="24">
        <v>121.0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5"/>
      <c r="B34" s="6">
        <v>1.0</v>
      </c>
      <c r="C34" s="7" t="s">
        <v>51</v>
      </c>
      <c r="D34" s="8">
        <v>12.0</v>
      </c>
      <c r="E34" s="9">
        <v>46158.47596512732</v>
      </c>
      <c r="F34" s="2"/>
      <c r="G34" s="24">
        <v>149.0</v>
      </c>
      <c r="H34" s="25"/>
      <c r="I34" s="2"/>
      <c r="J34" s="33" t="s">
        <v>52</v>
      </c>
      <c r="K34" s="33" t="s">
        <v>53</v>
      </c>
      <c r="L34" s="2"/>
      <c r="M34" s="2"/>
      <c r="N34" s="2"/>
      <c r="O34" s="2"/>
      <c r="P34" s="2"/>
      <c r="Q34" s="2"/>
    </row>
    <row r="35" ht="22.5" customHeight="1">
      <c r="A35" s="15"/>
      <c r="B35" s="6">
        <v>2.0</v>
      </c>
      <c r="C35" s="7" t="s">
        <v>54</v>
      </c>
      <c r="D35" s="8">
        <v>10.0</v>
      </c>
      <c r="E35" s="9">
        <v>46158.47603453704</v>
      </c>
      <c r="F35" s="2"/>
      <c r="G35" s="25"/>
      <c r="H35" s="25"/>
      <c r="I35" s="2"/>
      <c r="J35" s="34"/>
      <c r="K35" s="34"/>
      <c r="L35" s="2"/>
      <c r="M35" s="2"/>
      <c r="N35" s="2"/>
      <c r="O35" s="2"/>
      <c r="P35" s="2"/>
      <c r="Q35" s="2"/>
    </row>
    <row r="36" ht="22.5" customHeight="1">
      <c r="A36" s="15"/>
      <c r="B36" s="6">
        <v>1.0</v>
      </c>
      <c r="C36" s="7" t="s">
        <v>55</v>
      </c>
      <c r="D36" s="6">
        <v>7.5</v>
      </c>
      <c r="E36" s="9">
        <v>46158.52023403935</v>
      </c>
      <c r="F36" s="2"/>
      <c r="G36" s="25"/>
      <c r="H36" s="25"/>
      <c r="I36" s="2"/>
      <c r="J36" s="35"/>
      <c r="K36" s="35"/>
      <c r="L36" s="2"/>
      <c r="M36" s="2"/>
      <c r="N36" s="2"/>
      <c r="O36" s="2"/>
      <c r="P36" s="2"/>
      <c r="Q36" s="2"/>
    </row>
    <row r="37" ht="22.5" customHeight="1">
      <c r="A37" s="15"/>
      <c r="B37" s="6" t="s">
        <v>56</v>
      </c>
      <c r="C37" s="7" t="s">
        <v>57</v>
      </c>
      <c r="D37" s="6">
        <v>6.5</v>
      </c>
      <c r="E37" s="9">
        <v>46158.52972467593</v>
      </c>
      <c r="F37" s="2"/>
      <c r="G37" s="25"/>
      <c r="H37" s="25"/>
      <c r="I37" s="2"/>
      <c r="J37" s="34"/>
      <c r="K37" s="34"/>
      <c r="L37" s="2"/>
      <c r="M37" s="2"/>
      <c r="N37" s="2"/>
      <c r="O37" s="2"/>
      <c r="P37" s="2"/>
      <c r="Q37" s="2"/>
    </row>
    <row r="38" ht="22.5" customHeight="1">
      <c r="A38" s="15"/>
      <c r="B38" s="6" t="s">
        <v>58</v>
      </c>
      <c r="C38" s="7" t="s">
        <v>59</v>
      </c>
      <c r="D38" s="6">
        <v>8.5</v>
      </c>
      <c r="E38" s="9">
        <v>46158.52982299768</v>
      </c>
      <c r="F38" s="2"/>
      <c r="G38" s="25"/>
      <c r="H38" s="25"/>
      <c r="I38" s="2"/>
      <c r="J38" s="35"/>
      <c r="K38" s="35"/>
      <c r="L38" s="2"/>
      <c r="M38" s="2"/>
      <c r="N38" s="2"/>
      <c r="O38" s="2"/>
      <c r="P38" s="2"/>
      <c r="Q38" s="2"/>
    </row>
    <row r="39" ht="22.5" customHeight="1">
      <c r="A39" s="15"/>
      <c r="B39" s="6">
        <v>1.0</v>
      </c>
      <c r="C39" s="7" t="s">
        <v>60</v>
      </c>
      <c r="D39" s="8">
        <v>19.0</v>
      </c>
      <c r="E39" s="9">
        <v>46158.53295446759</v>
      </c>
      <c r="F39" s="2"/>
      <c r="G39" s="25"/>
      <c r="H39" s="25"/>
      <c r="I39" s="2"/>
      <c r="J39" s="34"/>
      <c r="K39" s="34"/>
      <c r="L39" s="2"/>
      <c r="M39" s="2"/>
      <c r="N39" s="2"/>
      <c r="O39" s="2"/>
      <c r="P39" s="2"/>
      <c r="Q39" s="2"/>
    </row>
    <row r="40" ht="22.5" customHeight="1">
      <c r="A40" s="15"/>
      <c r="B40" s="6">
        <v>1.0</v>
      </c>
      <c r="C40" s="7" t="s">
        <v>61</v>
      </c>
      <c r="D40" s="8">
        <v>5.0</v>
      </c>
      <c r="E40" s="9">
        <v>46158.54938087963</v>
      </c>
      <c r="F40" s="2"/>
      <c r="G40" s="25"/>
      <c r="H40" s="25"/>
      <c r="I40" s="2"/>
      <c r="J40" s="35"/>
      <c r="K40" s="35"/>
      <c r="L40" s="2"/>
      <c r="M40" s="2"/>
      <c r="N40" s="2"/>
      <c r="O40" s="2"/>
      <c r="P40" s="2"/>
      <c r="Q40" s="2"/>
    </row>
    <row r="41" ht="22.5" customHeight="1">
      <c r="A41" s="15"/>
      <c r="B41" s="6">
        <v>1.0</v>
      </c>
      <c r="C41" s="7" t="s">
        <v>62</v>
      </c>
      <c r="D41" s="8">
        <v>47.0</v>
      </c>
      <c r="E41" s="9">
        <v>46158.549675462964</v>
      </c>
      <c r="F41" s="2"/>
      <c r="G41" s="25"/>
      <c r="H41" s="25"/>
      <c r="I41" s="2"/>
      <c r="J41" s="34"/>
      <c r="K41" s="34"/>
      <c r="L41" s="2"/>
      <c r="M41" s="2"/>
      <c r="N41" s="2"/>
      <c r="O41" s="2"/>
      <c r="P41" s="2"/>
      <c r="Q41" s="2"/>
    </row>
    <row r="42" ht="22.5" customHeight="1">
      <c r="A42" s="15"/>
      <c r="B42" s="6">
        <v>24.0</v>
      </c>
      <c r="C42" s="7" t="s">
        <v>63</v>
      </c>
      <c r="D42" s="8">
        <v>24.0</v>
      </c>
      <c r="E42" s="9">
        <v>46158.553988472224</v>
      </c>
      <c r="F42" s="2"/>
      <c r="G42" s="25"/>
      <c r="H42" s="25"/>
      <c r="I42" s="2"/>
      <c r="J42" s="35"/>
      <c r="K42" s="35"/>
      <c r="L42" s="2"/>
      <c r="M42" s="2"/>
      <c r="N42" s="2"/>
      <c r="O42" s="2"/>
      <c r="P42" s="2"/>
      <c r="Q42" s="2"/>
    </row>
    <row r="43" ht="22.5" customHeight="1">
      <c r="A43" s="15"/>
      <c r="B43" s="6">
        <v>2.0</v>
      </c>
      <c r="C43" s="7" t="s">
        <v>64</v>
      </c>
      <c r="D43" s="8">
        <v>120.0</v>
      </c>
      <c r="E43" s="9">
        <v>46158.56083552084</v>
      </c>
      <c r="F43" s="2"/>
      <c r="G43" s="25"/>
      <c r="H43" s="25"/>
      <c r="I43" s="2"/>
      <c r="J43" s="34"/>
      <c r="K43" s="34"/>
      <c r="L43" s="2"/>
      <c r="M43" s="2"/>
      <c r="N43" s="2"/>
      <c r="O43" s="2"/>
      <c r="P43" s="2"/>
      <c r="Q43" s="2"/>
    </row>
    <row r="44" ht="22.5" customHeight="1">
      <c r="A44" s="15"/>
      <c r="B44" s="6">
        <v>1.0</v>
      </c>
      <c r="C44" s="7" t="s">
        <v>65</v>
      </c>
      <c r="D44" s="6">
        <v>215.0</v>
      </c>
      <c r="E44" s="9">
        <v>46158.56477690973</v>
      </c>
      <c r="F44" s="2"/>
      <c r="G44" s="25"/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5"/>
      <c r="B45" s="6">
        <v>1.0</v>
      </c>
      <c r="C45" s="7" t="s">
        <v>66</v>
      </c>
      <c r="D45" s="8">
        <v>40.0</v>
      </c>
      <c r="E45" s="9">
        <v>46158.58999259259</v>
      </c>
      <c r="F45" s="2"/>
      <c r="G45" s="25"/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5"/>
      <c r="B46" s="6">
        <v>1.0</v>
      </c>
      <c r="C46" s="7" t="s">
        <v>67</v>
      </c>
      <c r="D46" s="8">
        <v>32.0</v>
      </c>
      <c r="E46" s="9">
        <v>46158.593750162036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5"/>
      <c r="B47" s="6">
        <v>2.0</v>
      </c>
      <c r="C47" s="7" t="s">
        <v>68</v>
      </c>
      <c r="D47" s="8">
        <v>90.0</v>
      </c>
      <c r="E47" s="9">
        <v>46158.59392876158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5"/>
      <c r="B48" s="6">
        <v>1.0</v>
      </c>
      <c r="C48" s="7" t="s">
        <v>69</v>
      </c>
      <c r="D48" s="6">
        <v>60.0</v>
      </c>
      <c r="E48" s="9">
        <v>46158.59414017361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5"/>
      <c r="B49" s="6">
        <v>2.0</v>
      </c>
      <c r="C49" s="7" t="s">
        <v>70</v>
      </c>
      <c r="D49" s="8">
        <v>16.0</v>
      </c>
      <c r="E49" s="9">
        <v>46158.59453811342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5"/>
      <c r="B50" s="6">
        <v>1.0</v>
      </c>
      <c r="C50" s="7" t="s">
        <v>71</v>
      </c>
      <c r="D50" s="8">
        <v>24.0</v>
      </c>
      <c r="E50" s="9">
        <v>46158.59469305555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5"/>
      <c r="B51" s="6">
        <v>1.0</v>
      </c>
      <c r="C51" s="7" t="s">
        <v>72</v>
      </c>
      <c r="D51" s="10">
        <v>24.0</v>
      </c>
      <c r="E51" s="9">
        <v>46158.60246555555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5"/>
      <c r="B52" s="6">
        <v>1.0</v>
      </c>
      <c r="C52" s="7" t="s">
        <v>73</v>
      </c>
      <c r="D52" s="8">
        <v>23.0</v>
      </c>
      <c r="E52" s="9">
        <v>46158.60721833333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5"/>
      <c r="B53" s="6">
        <v>1.0</v>
      </c>
      <c r="C53" s="7" t="s">
        <v>74</v>
      </c>
      <c r="D53" s="8">
        <v>64.0</v>
      </c>
      <c r="E53" s="9">
        <v>46158.60739616898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5"/>
      <c r="B54" s="6">
        <v>1.0</v>
      </c>
      <c r="C54" s="7" t="s">
        <v>75</v>
      </c>
      <c r="D54" s="8">
        <v>90.0</v>
      </c>
      <c r="E54" s="9">
        <v>46158.619566354166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5"/>
      <c r="B55" s="6">
        <v>1.0</v>
      </c>
      <c r="C55" s="7" t="s">
        <v>76</v>
      </c>
      <c r="D55" s="10">
        <v>110.0</v>
      </c>
      <c r="E55" s="9">
        <v>46158.61967341435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5"/>
      <c r="B56" s="6">
        <v>1.0</v>
      </c>
      <c r="C56" s="7" t="s">
        <v>30</v>
      </c>
      <c r="D56" s="6">
        <v>2.5</v>
      </c>
      <c r="E56" s="9">
        <v>46158.61971501158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5"/>
      <c r="B57" s="6">
        <v>1.0</v>
      </c>
      <c r="C57" s="7" t="s">
        <v>77</v>
      </c>
      <c r="D57" s="8">
        <v>67.0</v>
      </c>
      <c r="E57" s="9">
        <v>46158.62780328703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5"/>
      <c r="B58" s="6">
        <v>1.0</v>
      </c>
      <c r="C58" s="7" t="s">
        <v>78</v>
      </c>
      <c r="D58" s="8">
        <v>38.0</v>
      </c>
      <c r="E58" s="9">
        <v>46158.62788732639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5"/>
      <c r="B59" s="6">
        <v>1.0</v>
      </c>
      <c r="C59" s="7" t="s">
        <v>79</v>
      </c>
      <c r="D59" s="10">
        <v>85.0</v>
      </c>
      <c r="E59" s="9">
        <v>46158.633219375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5"/>
      <c r="B60" s="6">
        <v>6.0</v>
      </c>
      <c r="C60" s="7" t="s">
        <v>80</v>
      </c>
      <c r="D60" s="8">
        <v>15.0</v>
      </c>
      <c r="E60" s="9">
        <v>46158.63325484954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5"/>
      <c r="B61" s="6">
        <v>1.0</v>
      </c>
      <c r="C61" s="7" t="s">
        <v>81</v>
      </c>
      <c r="D61" s="10">
        <v>21.0</v>
      </c>
      <c r="E61" s="9">
        <v>46158.633305208336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5"/>
      <c r="B62" s="6">
        <v>1.0</v>
      </c>
      <c r="C62" s="7" t="s">
        <v>67</v>
      </c>
      <c r="D62" s="6">
        <v>33.0</v>
      </c>
      <c r="E62" s="9">
        <v>46158.63411211806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5"/>
      <c r="B63" s="6">
        <v>1.0</v>
      </c>
      <c r="C63" s="7" t="s">
        <v>82</v>
      </c>
      <c r="D63" s="8">
        <v>170.0</v>
      </c>
      <c r="E63" s="9">
        <v>46158.641281550925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5"/>
      <c r="B64" s="6">
        <v>1.0</v>
      </c>
      <c r="C64" s="7" t="s">
        <v>83</v>
      </c>
      <c r="D64" s="8">
        <v>299.0</v>
      </c>
      <c r="E64" s="9">
        <v>46158.64130850694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5"/>
      <c r="B65" s="6">
        <v>1.0</v>
      </c>
      <c r="C65" s="7" t="s">
        <v>84</v>
      </c>
      <c r="D65" s="8">
        <v>45.0</v>
      </c>
      <c r="E65" s="9">
        <v>46158.63429740741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5"/>
      <c r="B66" s="6">
        <v>1.0</v>
      </c>
      <c r="C66" s="7" t="s">
        <v>85</v>
      </c>
      <c r="D66" s="8">
        <v>53.0</v>
      </c>
      <c r="E66" s="9">
        <v>46158.63737589121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5"/>
      <c r="B67" s="6">
        <v>1.0</v>
      </c>
      <c r="C67" s="7" t="s">
        <v>86</v>
      </c>
      <c r="D67" s="8">
        <v>49.0</v>
      </c>
      <c r="E67" s="9">
        <v>46158.64148106481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5"/>
      <c r="B68" s="6">
        <v>1.0</v>
      </c>
      <c r="C68" s="7" t="s">
        <v>87</v>
      </c>
      <c r="D68" s="8">
        <v>23.0</v>
      </c>
      <c r="E68" s="9">
        <v>46158.64692320602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5"/>
      <c r="B69" s="6">
        <v>2.0</v>
      </c>
      <c r="C69" s="7" t="s">
        <v>88</v>
      </c>
      <c r="D69" s="8">
        <v>17.0</v>
      </c>
      <c r="E69" s="9">
        <v>46158.67067791667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5"/>
      <c r="B70" s="6">
        <v>1.0</v>
      </c>
      <c r="C70" s="7" t="s">
        <v>89</v>
      </c>
      <c r="D70" s="6">
        <v>46.0</v>
      </c>
      <c r="E70" s="9">
        <v>46158.69588741898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5"/>
      <c r="B71" s="6">
        <v>8.0</v>
      </c>
      <c r="C71" s="7" t="s">
        <v>90</v>
      </c>
      <c r="D71" s="6">
        <v>20.0</v>
      </c>
      <c r="E71" s="9">
        <v>46158.696070011574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6">
        <v>1.0</v>
      </c>
      <c r="B72" s="6">
        <v>1.0</v>
      </c>
      <c r="C72" s="7" t="s">
        <v>91</v>
      </c>
      <c r="D72" s="6">
        <v>20.0</v>
      </c>
      <c r="E72" s="9">
        <v>46158.696173240736</v>
      </c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5"/>
      <c r="B73" s="6">
        <v>2.0</v>
      </c>
      <c r="C73" s="7" t="s">
        <v>92</v>
      </c>
      <c r="D73" s="6">
        <v>40.0</v>
      </c>
      <c r="E73" s="9">
        <v>46158.696308576385</v>
      </c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5"/>
      <c r="B74" s="6">
        <v>1.0</v>
      </c>
      <c r="C74" s="7" t="s">
        <v>57</v>
      </c>
      <c r="D74" s="6">
        <v>5.0</v>
      </c>
      <c r="E74" s="9">
        <v>46158.69647310185</v>
      </c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5"/>
      <c r="B75" s="6">
        <v>9.0</v>
      </c>
      <c r="C75" s="7" t="s">
        <v>90</v>
      </c>
      <c r="D75" s="6">
        <v>21.5</v>
      </c>
      <c r="E75" s="9">
        <v>46158.69651212963</v>
      </c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5"/>
      <c r="B76" s="15"/>
      <c r="C76" s="36"/>
      <c r="D76" s="37"/>
      <c r="E76" s="38"/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5"/>
      <c r="B77" s="15"/>
      <c r="C77" s="36"/>
      <c r="D77" s="37"/>
      <c r="E77" s="38"/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5"/>
      <c r="B78" s="15"/>
      <c r="C78" s="36"/>
      <c r="D78" s="37"/>
      <c r="E78" s="38"/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5"/>
      <c r="B79" s="15"/>
      <c r="C79" s="36"/>
      <c r="D79" s="37"/>
      <c r="E79" s="38"/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5"/>
      <c r="B80" s="15"/>
      <c r="C80" s="36"/>
      <c r="D80" s="37"/>
      <c r="E80" s="38"/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5"/>
      <c r="B81" s="15"/>
      <c r="C81" s="36"/>
      <c r="D81" s="37"/>
      <c r="E81" s="38"/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5"/>
      <c r="B82" s="15"/>
      <c r="C82" s="36"/>
      <c r="D82" s="37"/>
      <c r="E82" s="38"/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5"/>
      <c r="B83" s="15"/>
      <c r="C83" s="36"/>
      <c r="D83" s="37"/>
      <c r="E83" s="38"/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5"/>
      <c r="B84" s="15"/>
      <c r="C84" s="36"/>
      <c r="D84" s="37"/>
      <c r="E84" s="38"/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5"/>
      <c r="B85" s="15"/>
      <c r="C85" s="36"/>
      <c r="D85" s="37"/>
      <c r="E85" s="38"/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5"/>
      <c r="B86" s="15"/>
      <c r="C86" s="36"/>
      <c r="D86" s="37"/>
      <c r="E86" s="38"/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5"/>
      <c r="B87" s="15"/>
      <c r="C87" s="36"/>
      <c r="D87" s="37"/>
      <c r="E87" s="38"/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5"/>
      <c r="B88" s="15"/>
      <c r="C88" s="36"/>
      <c r="D88" s="37"/>
      <c r="E88" s="38"/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5"/>
      <c r="B89" s="15"/>
      <c r="C89" s="36"/>
      <c r="D89" s="37"/>
      <c r="E89" s="38"/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5"/>
      <c r="B90" s="15"/>
      <c r="C90" s="36"/>
      <c r="D90" s="37"/>
      <c r="E90" s="38"/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5"/>
      <c r="B91" s="15"/>
      <c r="C91" s="36"/>
      <c r="D91" s="37"/>
      <c r="E91" s="38"/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5"/>
      <c r="B92" s="15"/>
      <c r="C92" s="36"/>
      <c r="D92" s="37"/>
      <c r="E92" s="38"/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5"/>
      <c r="B93" s="15"/>
      <c r="C93" s="36"/>
      <c r="D93" s="37"/>
      <c r="E93" s="38"/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5"/>
      <c r="B94" s="15"/>
      <c r="C94" s="36"/>
      <c r="D94" s="37"/>
      <c r="E94" s="38"/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5"/>
      <c r="B95" s="15"/>
      <c r="C95" s="36"/>
      <c r="D95" s="37"/>
      <c r="E95" s="38"/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5"/>
      <c r="B96" s="15"/>
      <c r="C96" s="36"/>
      <c r="D96" s="37"/>
      <c r="E96" s="38"/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5"/>
      <c r="B97" s="15"/>
      <c r="C97" s="36"/>
      <c r="D97" s="37"/>
      <c r="E97" s="38"/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5"/>
      <c r="B98" s="15"/>
      <c r="C98" s="36"/>
      <c r="D98" s="37"/>
      <c r="E98" s="38"/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5"/>
      <c r="B99" s="15"/>
      <c r="C99" s="36"/>
      <c r="D99" s="37"/>
      <c r="E99" s="38"/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5"/>
      <c r="B100" s="15"/>
      <c r="C100" s="36"/>
      <c r="D100" s="37"/>
      <c r="E100" s="38"/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5"/>
      <c r="B101" s="15"/>
      <c r="C101" s="36"/>
      <c r="D101" s="37"/>
      <c r="E101" s="38"/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5"/>
      <c r="B102" s="15"/>
      <c r="C102" s="36"/>
      <c r="D102" s="37"/>
      <c r="E102" s="38"/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5"/>
      <c r="B103" s="15"/>
      <c r="C103" s="36"/>
      <c r="D103" s="37"/>
      <c r="E103" s="38"/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5"/>
      <c r="B104" s="15"/>
      <c r="C104" s="36"/>
      <c r="D104" s="37"/>
      <c r="E104" s="38"/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5"/>
      <c r="B105" s="15"/>
      <c r="C105" s="36"/>
      <c r="D105" s="37"/>
      <c r="E105" s="38"/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5"/>
      <c r="B106" s="15"/>
      <c r="C106" s="36"/>
      <c r="D106" s="37"/>
      <c r="E106" s="38"/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5"/>
      <c r="B107" s="15"/>
      <c r="C107" s="36"/>
      <c r="D107" s="37"/>
      <c r="E107" s="38"/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5"/>
      <c r="B108" s="15"/>
      <c r="C108" s="36"/>
      <c r="D108" s="37"/>
      <c r="E108" s="38"/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5"/>
      <c r="B109" s="15"/>
      <c r="C109" s="36"/>
      <c r="D109" s="37"/>
      <c r="E109" s="38"/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5"/>
      <c r="B110" s="15"/>
      <c r="C110" s="36"/>
      <c r="D110" s="37"/>
      <c r="E110" s="38"/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5"/>
      <c r="B111" s="15"/>
      <c r="C111" s="36"/>
      <c r="D111" s="37"/>
      <c r="E111" s="38"/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5"/>
      <c r="B112" s="15"/>
      <c r="C112" s="36"/>
      <c r="D112" s="37"/>
      <c r="E112" s="38"/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5"/>
      <c r="B113" s="15"/>
      <c r="C113" s="36"/>
      <c r="D113" s="37"/>
      <c r="E113" s="38"/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5"/>
      <c r="B114" s="15"/>
      <c r="C114" s="36"/>
      <c r="D114" s="37"/>
      <c r="E114" s="38"/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5"/>
      <c r="B115" s="15"/>
      <c r="C115" s="36"/>
      <c r="D115" s="37"/>
      <c r="E115" s="38"/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5"/>
      <c r="B116" s="15"/>
      <c r="C116" s="36"/>
      <c r="D116" s="37"/>
      <c r="E116" s="38"/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5"/>
      <c r="B117" s="15"/>
      <c r="C117" s="36"/>
      <c r="D117" s="37"/>
      <c r="E117" s="38"/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5"/>
      <c r="B118" s="15"/>
      <c r="C118" s="36"/>
      <c r="D118" s="37"/>
      <c r="E118" s="38"/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5"/>
      <c r="B119" s="15"/>
      <c r="C119" s="36"/>
      <c r="D119" s="37"/>
      <c r="E119" s="38"/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5"/>
      <c r="B120" s="15"/>
      <c r="C120" s="36"/>
      <c r="D120" s="37"/>
      <c r="E120" s="38"/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5"/>
      <c r="B121" s="15"/>
      <c r="C121" s="36"/>
      <c r="D121" s="37"/>
      <c r="E121" s="38"/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5"/>
      <c r="B122" s="15"/>
      <c r="C122" s="36"/>
      <c r="D122" s="37"/>
      <c r="E122" s="38"/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5"/>
      <c r="B123" s="15"/>
      <c r="C123" s="36"/>
      <c r="D123" s="37"/>
      <c r="E123" s="38"/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5"/>
      <c r="B124" s="15"/>
      <c r="C124" s="36"/>
      <c r="D124" s="37"/>
      <c r="E124" s="38"/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5"/>
      <c r="B125" s="15"/>
      <c r="C125" s="36"/>
      <c r="D125" s="37"/>
      <c r="E125" s="38"/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5"/>
      <c r="B126" s="15"/>
      <c r="C126" s="36"/>
      <c r="D126" s="37"/>
      <c r="E126" s="38"/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5"/>
      <c r="B127" s="15"/>
      <c r="C127" s="36"/>
      <c r="D127" s="37"/>
      <c r="E127" s="38"/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5"/>
      <c r="B128" s="15"/>
      <c r="C128" s="36"/>
      <c r="D128" s="37"/>
      <c r="E128" s="38"/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5"/>
      <c r="B129" s="15"/>
      <c r="C129" s="36"/>
      <c r="D129" s="37"/>
      <c r="E129" s="38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5"/>
      <c r="B130" s="15"/>
      <c r="C130" s="36"/>
      <c r="D130" s="37"/>
      <c r="E130" s="38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5"/>
      <c r="B131" s="15"/>
      <c r="C131" s="36"/>
      <c r="D131" s="37"/>
      <c r="E131" s="38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5"/>
      <c r="B132" s="15"/>
      <c r="C132" s="36"/>
      <c r="D132" s="37"/>
      <c r="E132" s="38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5"/>
      <c r="B133" s="15"/>
      <c r="C133" s="36"/>
      <c r="D133" s="37"/>
      <c r="E133" s="38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5"/>
      <c r="B134" s="15"/>
      <c r="C134" s="36"/>
      <c r="D134" s="37"/>
      <c r="E134" s="38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5"/>
      <c r="B135" s="15"/>
      <c r="C135" s="36"/>
      <c r="D135" s="37"/>
      <c r="E135" s="38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5"/>
      <c r="B136" s="15"/>
      <c r="C136" s="36"/>
      <c r="D136" s="37"/>
      <c r="E136" s="38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5"/>
      <c r="B137" s="15"/>
      <c r="C137" s="36"/>
      <c r="D137" s="37"/>
      <c r="E137" s="38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5"/>
      <c r="B138" s="15"/>
      <c r="C138" s="36"/>
      <c r="D138" s="37"/>
      <c r="E138" s="38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5"/>
      <c r="B139" s="15"/>
      <c r="C139" s="36"/>
      <c r="D139" s="37"/>
      <c r="E139" s="38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5"/>
      <c r="B140" s="15"/>
      <c r="C140" s="36"/>
      <c r="D140" s="37"/>
      <c r="E140" s="38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5"/>
      <c r="B141" s="15"/>
      <c r="C141" s="36"/>
      <c r="D141" s="37"/>
      <c r="E141" s="38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5"/>
      <c r="B142" s="15"/>
      <c r="C142" s="36"/>
      <c r="D142" s="37"/>
      <c r="E142" s="38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5"/>
      <c r="B143" s="15"/>
      <c r="C143" s="36"/>
      <c r="D143" s="37"/>
      <c r="E143" s="38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5"/>
      <c r="B144" s="15"/>
      <c r="C144" s="36"/>
      <c r="D144" s="37"/>
      <c r="E144" s="38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5"/>
      <c r="B145" s="15"/>
      <c r="C145" s="36"/>
      <c r="D145" s="37"/>
      <c r="E145" s="38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5"/>
      <c r="B146" s="15"/>
      <c r="C146" s="36"/>
      <c r="D146" s="37"/>
      <c r="E146" s="38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5"/>
      <c r="B147" s="15"/>
      <c r="C147" s="36"/>
      <c r="D147" s="37"/>
      <c r="E147" s="38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5"/>
      <c r="B148" s="15"/>
      <c r="C148" s="36"/>
      <c r="D148" s="37"/>
      <c r="E148" s="38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5"/>
      <c r="B149" s="15"/>
      <c r="C149" s="36"/>
      <c r="D149" s="37"/>
      <c r="E149" s="38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5"/>
      <c r="B150" s="15"/>
      <c r="C150" s="36"/>
      <c r="D150" s="37"/>
      <c r="E150" s="38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5"/>
      <c r="B151" s="15"/>
      <c r="C151" s="36"/>
      <c r="D151" s="37"/>
      <c r="E151" s="38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5"/>
      <c r="B152" s="15"/>
      <c r="C152" s="36"/>
      <c r="D152" s="37"/>
      <c r="E152" s="38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5"/>
      <c r="B153" s="15"/>
      <c r="C153" s="36"/>
      <c r="D153" s="37"/>
      <c r="E153" s="38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5"/>
      <c r="B154" s="15"/>
      <c r="C154" s="36"/>
      <c r="D154" s="37"/>
      <c r="E154" s="38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5"/>
      <c r="B155" s="15"/>
      <c r="C155" s="36"/>
      <c r="D155" s="37"/>
      <c r="E155" s="38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5"/>
      <c r="B156" s="15"/>
      <c r="C156" s="36"/>
      <c r="D156" s="37"/>
      <c r="E156" s="38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5"/>
      <c r="B157" s="15"/>
      <c r="C157" s="36"/>
      <c r="D157" s="37"/>
      <c r="E157" s="38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5"/>
      <c r="B158" s="15"/>
      <c r="C158" s="36"/>
      <c r="D158" s="37"/>
      <c r="E158" s="38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5"/>
      <c r="B159" s="15"/>
      <c r="C159" s="36"/>
      <c r="D159" s="37"/>
      <c r="E159" s="38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5"/>
      <c r="B160" s="15"/>
      <c r="C160" s="36"/>
      <c r="D160" s="37"/>
      <c r="E160" s="38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5"/>
      <c r="B161" s="15"/>
      <c r="C161" s="36"/>
      <c r="D161" s="37"/>
      <c r="E161" s="38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5"/>
      <c r="B162" s="15"/>
      <c r="C162" s="36"/>
      <c r="D162" s="37"/>
      <c r="E162" s="38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5"/>
      <c r="B163" s="15"/>
      <c r="C163" s="36"/>
      <c r="D163" s="37"/>
      <c r="E163" s="38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5"/>
      <c r="B164" s="15"/>
      <c r="C164" s="36"/>
      <c r="D164" s="37"/>
      <c r="E164" s="38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5"/>
      <c r="B165" s="15"/>
      <c r="C165" s="36"/>
      <c r="D165" s="37"/>
      <c r="E165" s="38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5"/>
      <c r="B166" s="15"/>
      <c r="C166" s="36"/>
      <c r="D166" s="37"/>
      <c r="E166" s="38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5"/>
      <c r="B167" s="15"/>
      <c r="C167" s="36"/>
      <c r="D167" s="37"/>
      <c r="E167" s="38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5"/>
      <c r="B168" s="15"/>
      <c r="C168" s="36"/>
      <c r="D168" s="37"/>
      <c r="E168" s="38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5"/>
      <c r="B169" s="15"/>
      <c r="C169" s="36"/>
      <c r="D169" s="37"/>
      <c r="E169" s="38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5"/>
      <c r="B170" s="15"/>
      <c r="C170" s="36"/>
      <c r="D170" s="37"/>
      <c r="E170" s="38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5"/>
      <c r="B171" s="15"/>
      <c r="C171" s="36"/>
      <c r="D171" s="37"/>
      <c r="E171" s="38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5"/>
      <c r="B172" s="15"/>
      <c r="C172" s="36"/>
      <c r="D172" s="37"/>
      <c r="E172" s="38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5"/>
      <c r="B173" s="15"/>
      <c r="C173" s="36"/>
      <c r="D173" s="37"/>
      <c r="E173" s="38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5"/>
      <c r="B174" s="15"/>
      <c r="C174" s="36"/>
      <c r="D174" s="37"/>
      <c r="E174" s="38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5"/>
      <c r="B175" s="15"/>
      <c r="C175" s="36"/>
      <c r="D175" s="37"/>
      <c r="E175" s="38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5"/>
      <c r="B176" s="15"/>
      <c r="C176" s="36"/>
      <c r="D176" s="37"/>
      <c r="E176" s="38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5"/>
      <c r="B177" s="15"/>
      <c r="C177" s="36"/>
      <c r="D177" s="37"/>
      <c r="E177" s="38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5"/>
      <c r="B178" s="15"/>
      <c r="C178" s="36"/>
      <c r="D178" s="37"/>
      <c r="E178" s="38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5"/>
      <c r="B179" s="15"/>
      <c r="C179" s="36"/>
      <c r="D179" s="37"/>
      <c r="E179" s="38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5"/>
      <c r="B180" s="15"/>
      <c r="C180" s="36"/>
      <c r="D180" s="37"/>
      <c r="E180" s="38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5"/>
      <c r="B181" s="15"/>
      <c r="C181" s="36"/>
      <c r="D181" s="37"/>
      <c r="E181" s="38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5"/>
      <c r="B182" s="15"/>
      <c r="C182" s="36"/>
      <c r="D182" s="37"/>
      <c r="E182" s="38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5"/>
      <c r="B183" s="15"/>
      <c r="C183" s="36"/>
      <c r="D183" s="37"/>
      <c r="E183" s="38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5"/>
      <c r="B184" s="15"/>
      <c r="C184" s="36"/>
      <c r="D184" s="37"/>
      <c r="E184" s="38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5"/>
      <c r="B185" s="15"/>
      <c r="C185" s="36"/>
      <c r="D185" s="37"/>
      <c r="E185" s="38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5"/>
      <c r="B186" s="15"/>
      <c r="C186" s="36"/>
      <c r="D186" s="37"/>
      <c r="E186" s="38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5"/>
      <c r="B187" s="15"/>
      <c r="C187" s="36"/>
      <c r="D187" s="37"/>
      <c r="E187" s="38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5"/>
      <c r="B188" s="15"/>
      <c r="C188" s="36"/>
      <c r="D188" s="37"/>
      <c r="E188" s="38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5"/>
      <c r="B189" s="15"/>
      <c r="C189" s="36"/>
      <c r="D189" s="37"/>
      <c r="E189" s="38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5"/>
      <c r="B190" s="15"/>
      <c r="C190" s="36"/>
      <c r="D190" s="37"/>
      <c r="E190" s="38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5"/>
      <c r="B191" s="15"/>
      <c r="C191" s="36"/>
      <c r="D191" s="37"/>
      <c r="E191" s="38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5"/>
      <c r="B192" s="15"/>
      <c r="C192" s="36"/>
      <c r="D192" s="37"/>
      <c r="E192" s="38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5"/>
      <c r="B193" s="15"/>
      <c r="C193" s="36"/>
      <c r="D193" s="37"/>
      <c r="E193" s="38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5"/>
      <c r="B194" s="15"/>
      <c r="C194" s="36"/>
      <c r="D194" s="37"/>
      <c r="E194" s="38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5"/>
      <c r="B195" s="15"/>
      <c r="C195" s="36"/>
      <c r="D195" s="37"/>
      <c r="E195" s="38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5"/>
      <c r="B196" s="15"/>
      <c r="C196" s="36"/>
      <c r="D196" s="37"/>
      <c r="E196" s="38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5"/>
      <c r="B197" s="15"/>
      <c r="C197" s="36"/>
      <c r="D197" s="37"/>
      <c r="E197" s="38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5"/>
      <c r="B198" s="15"/>
      <c r="C198" s="36"/>
      <c r="D198" s="37"/>
      <c r="E198" s="38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5"/>
      <c r="B199" s="15"/>
      <c r="C199" s="36"/>
      <c r="D199" s="37"/>
      <c r="E199" s="38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5"/>
      <c r="B200" s="15"/>
      <c r="C200" s="36"/>
      <c r="D200" s="37"/>
      <c r="E200" s="38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5"/>
      <c r="B201" s="15"/>
      <c r="C201" s="36"/>
      <c r="D201" s="37"/>
      <c r="E201" s="38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5"/>
      <c r="B202" s="15"/>
      <c r="C202" s="36"/>
      <c r="D202" s="37"/>
      <c r="E202" s="38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5"/>
      <c r="B203" s="15"/>
      <c r="C203" s="36"/>
      <c r="D203" s="37"/>
      <c r="E203" s="38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5"/>
      <c r="B204" s="15"/>
      <c r="C204" s="36"/>
      <c r="D204" s="37"/>
      <c r="E204" s="38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5"/>
      <c r="B205" s="15"/>
      <c r="C205" s="36"/>
      <c r="D205" s="37"/>
      <c r="E205" s="38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5"/>
      <c r="B206" s="15"/>
      <c r="C206" s="36"/>
      <c r="D206" s="37"/>
      <c r="E206" s="38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5"/>
      <c r="B207" s="15"/>
      <c r="C207" s="36"/>
      <c r="D207" s="37"/>
      <c r="E207" s="38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5"/>
      <c r="B208" s="15"/>
      <c r="C208" s="36"/>
      <c r="D208" s="37"/>
      <c r="E208" s="38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5"/>
      <c r="B209" s="15"/>
      <c r="C209" s="36"/>
      <c r="D209" s="37"/>
      <c r="E209" s="38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5"/>
      <c r="B210" s="15"/>
      <c r="C210" s="36"/>
      <c r="D210" s="37"/>
      <c r="E210" s="38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5"/>
      <c r="B211" s="15"/>
      <c r="C211" s="36"/>
      <c r="D211" s="37"/>
      <c r="E211" s="38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5"/>
      <c r="B212" s="15"/>
      <c r="C212" s="36"/>
      <c r="D212" s="37"/>
      <c r="E212" s="38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5"/>
      <c r="B213" s="15"/>
      <c r="C213" s="36"/>
      <c r="D213" s="37"/>
      <c r="E213" s="38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5"/>
      <c r="B214" s="15"/>
      <c r="C214" s="36"/>
      <c r="D214" s="37"/>
      <c r="E214" s="38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5"/>
      <c r="B215" s="15"/>
      <c r="C215" s="36"/>
      <c r="D215" s="37"/>
      <c r="E215" s="38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5"/>
      <c r="B216" s="15"/>
      <c r="C216" s="36"/>
      <c r="D216" s="37"/>
      <c r="E216" s="38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5"/>
      <c r="B217" s="15"/>
      <c r="C217" s="36"/>
      <c r="D217" s="37"/>
      <c r="E217" s="38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5"/>
      <c r="B218" s="15"/>
      <c r="C218" s="36"/>
      <c r="D218" s="37"/>
      <c r="E218" s="38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5"/>
      <c r="B219" s="15"/>
      <c r="C219" s="36"/>
      <c r="D219" s="37"/>
      <c r="E219" s="38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5"/>
      <c r="B220" s="15"/>
      <c r="C220" s="36"/>
      <c r="D220" s="37"/>
      <c r="E220" s="38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5"/>
      <c r="B221" s="15"/>
      <c r="C221" s="36"/>
      <c r="D221" s="37"/>
      <c r="E221" s="38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5"/>
      <c r="B222" s="15"/>
      <c r="C222" s="36"/>
      <c r="D222" s="37"/>
      <c r="E222" s="38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5"/>
      <c r="B223" s="15"/>
      <c r="C223" s="36"/>
      <c r="D223" s="37"/>
      <c r="E223" s="38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5"/>
      <c r="B224" s="15"/>
      <c r="C224" s="36"/>
      <c r="D224" s="37"/>
      <c r="E224" s="38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5"/>
      <c r="B225" s="15"/>
      <c r="C225" s="36"/>
      <c r="D225" s="37"/>
      <c r="E225" s="38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5"/>
      <c r="B226" s="15"/>
      <c r="C226" s="36"/>
      <c r="D226" s="37"/>
      <c r="E226" s="38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5"/>
      <c r="B227" s="15"/>
      <c r="C227" s="36"/>
      <c r="D227" s="37"/>
      <c r="E227" s="38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5"/>
      <c r="B228" s="15"/>
      <c r="C228" s="36"/>
      <c r="D228" s="37"/>
      <c r="E228" s="38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5"/>
      <c r="B229" s="15"/>
      <c r="C229" s="36"/>
      <c r="D229" s="37"/>
      <c r="E229" s="38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5"/>
      <c r="B230" s="15"/>
      <c r="C230" s="36"/>
      <c r="D230" s="37"/>
      <c r="E230" s="38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5"/>
      <c r="B231" s="15"/>
      <c r="C231" s="36"/>
      <c r="D231" s="37"/>
      <c r="E231" s="38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5"/>
      <c r="B232" s="15"/>
      <c r="C232" s="36"/>
      <c r="D232" s="37"/>
      <c r="E232" s="38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5"/>
      <c r="B233" s="15"/>
      <c r="C233" s="36"/>
      <c r="D233" s="37"/>
      <c r="E233" s="38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5"/>
      <c r="B234" s="15"/>
      <c r="C234" s="36"/>
      <c r="D234" s="37"/>
      <c r="E234" s="38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5"/>
      <c r="B235" s="15"/>
      <c r="C235" s="36"/>
      <c r="D235" s="37"/>
      <c r="E235" s="38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5"/>
      <c r="B236" s="15"/>
      <c r="C236" s="36"/>
      <c r="D236" s="37"/>
      <c r="E236" s="38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5"/>
      <c r="B237" s="15"/>
      <c r="C237" s="36"/>
      <c r="D237" s="37"/>
      <c r="E237" s="38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5"/>
      <c r="B238" s="15"/>
      <c r="C238" s="36"/>
      <c r="D238" s="37"/>
      <c r="E238" s="38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5"/>
      <c r="B239" s="15"/>
      <c r="C239" s="36"/>
      <c r="D239" s="37"/>
      <c r="E239" s="38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5"/>
      <c r="B240" s="15"/>
      <c r="C240" s="36"/>
      <c r="D240" s="37"/>
      <c r="E240" s="38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5"/>
      <c r="B241" s="15"/>
      <c r="C241" s="36"/>
      <c r="D241" s="37"/>
      <c r="E241" s="38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5"/>
      <c r="B242" s="15"/>
      <c r="C242" s="36"/>
      <c r="D242" s="37"/>
      <c r="E242" s="38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5"/>
      <c r="B243" s="15"/>
      <c r="C243" s="36"/>
      <c r="D243" s="37"/>
      <c r="E243" s="38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5"/>
      <c r="B244" s="15"/>
      <c r="C244" s="36"/>
      <c r="D244" s="37"/>
      <c r="E244" s="38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5"/>
      <c r="B245" s="15"/>
      <c r="C245" s="36"/>
      <c r="D245" s="37"/>
      <c r="E245" s="38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5"/>
      <c r="B246" s="15"/>
      <c r="C246" s="36"/>
      <c r="D246" s="37"/>
      <c r="E246" s="38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5"/>
      <c r="B247" s="15"/>
      <c r="C247" s="36"/>
      <c r="D247" s="37"/>
      <c r="E247" s="38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5"/>
      <c r="B248" s="15"/>
      <c r="C248" s="36"/>
      <c r="D248" s="37"/>
      <c r="E248" s="38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5"/>
      <c r="B249" s="15"/>
      <c r="C249" s="36"/>
      <c r="D249" s="37"/>
      <c r="E249" s="38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5"/>
      <c r="B250" s="15"/>
      <c r="C250" s="36"/>
      <c r="D250" s="37"/>
      <c r="E250" s="38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5"/>
      <c r="B251" s="15"/>
      <c r="C251" s="36"/>
      <c r="D251" s="37"/>
      <c r="E251" s="38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5"/>
      <c r="B252" s="15"/>
      <c r="C252" s="36"/>
      <c r="D252" s="37"/>
      <c r="E252" s="38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5"/>
      <c r="B253" s="15"/>
      <c r="C253" s="36"/>
      <c r="D253" s="37"/>
      <c r="E253" s="38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5"/>
      <c r="B254" s="15"/>
      <c r="C254" s="36"/>
      <c r="D254" s="37"/>
      <c r="E254" s="38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5"/>
      <c r="B255" s="15"/>
      <c r="C255" s="36"/>
      <c r="D255" s="37"/>
      <c r="E255" s="38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5"/>
      <c r="B256" s="15"/>
      <c r="C256" s="36"/>
      <c r="D256" s="37"/>
      <c r="E256" s="38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5"/>
      <c r="B257" s="15"/>
      <c r="C257" s="36"/>
      <c r="D257" s="37"/>
      <c r="E257" s="38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5"/>
      <c r="B258" s="15"/>
      <c r="C258" s="36"/>
      <c r="D258" s="37"/>
      <c r="E258" s="38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5"/>
      <c r="B259" s="15"/>
      <c r="C259" s="36"/>
      <c r="D259" s="37"/>
      <c r="E259" s="38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5"/>
      <c r="B260" s="15"/>
      <c r="C260" s="36"/>
      <c r="D260" s="37"/>
      <c r="E260" s="38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5"/>
      <c r="B261" s="15"/>
      <c r="C261" s="36"/>
      <c r="D261" s="37"/>
      <c r="E261" s="38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5"/>
      <c r="B262" s="15"/>
      <c r="C262" s="36"/>
      <c r="D262" s="37"/>
      <c r="E262" s="38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5"/>
      <c r="B263" s="15"/>
      <c r="C263" s="36"/>
      <c r="D263" s="37"/>
      <c r="E263" s="38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5"/>
      <c r="B264" s="15"/>
      <c r="C264" s="36"/>
      <c r="D264" s="37"/>
      <c r="E264" s="38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5"/>
      <c r="B265" s="15"/>
      <c r="C265" s="36"/>
      <c r="D265" s="37"/>
      <c r="E265" s="38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5"/>
      <c r="B266" s="15"/>
      <c r="C266" s="36"/>
      <c r="D266" s="37"/>
      <c r="E266" s="38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5"/>
      <c r="B267" s="15"/>
      <c r="C267" s="36"/>
      <c r="D267" s="37"/>
      <c r="E267" s="38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5"/>
      <c r="B268" s="15"/>
      <c r="C268" s="36"/>
      <c r="D268" s="37"/>
      <c r="E268" s="38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5"/>
      <c r="B269" s="15"/>
      <c r="C269" s="36"/>
      <c r="D269" s="37"/>
      <c r="E269" s="38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5"/>
      <c r="B270" s="15"/>
      <c r="C270" s="36"/>
      <c r="D270" s="37"/>
      <c r="E270" s="38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5"/>
      <c r="B271" s="15"/>
      <c r="C271" s="36"/>
      <c r="D271" s="37"/>
      <c r="E271" s="38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5"/>
      <c r="B272" s="15"/>
      <c r="C272" s="36"/>
      <c r="D272" s="37"/>
      <c r="E272" s="38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5"/>
      <c r="B273" s="15"/>
      <c r="C273" s="36"/>
      <c r="D273" s="37"/>
      <c r="E273" s="38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5"/>
      <c r="B274" s="15"/>
      <c r="C274" s="36"/>
      <c r="D274" s="37"/>
      <c r="E274" s="38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5"/>
      <c r="B275" s="15"/>
      <c r="C275" s="36"/>
      <c r="D275" s="37"/>
      <c r="E275" s="38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5"/>
      <c r="B276" s="15"/>
      <c r="C276" s="36"/>
      <c r="D276" s="37"/>
      <c r="E276" s="38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5"/>
      <c r="B277" s="15"/>
      <c r="C277" s="36"/>
      <c r="D277" s="37"/>
      <c r="E277" s="38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5"/>
      <c r="B278" s="15"/>
      <c r="C278" s="36"/>
      <c r="D278" s="37"/>
      <c r="E278" s="38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5"/>
      <c r="B279" s="15"/>
      <c r="C279" s="36"/>
      <c r="D279" s="37"/>
      <c r="E279" s="38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5"/>
      <c r="B280" s="15"/>
      <c r="C280" s="36"/>
      <c r="D280" s="37"/>
      <c r="E280" s="38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5"/>
      <c r="B281" s="15"/>
      <c r="C281" s="36"/>
      <c r="D281" s="37"/>
      <c r="E281" s="38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5"/>
      <c r="B282" s="15"/>
      <c r="C282" s="36"/>
      <c r="D282" s="37"/>
      <c r="E282" s="38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5"/>
      <c r="B283" s="15"/>
      <c r="C283" s="36"/>
      <c r="D283" s="37"/>
      <c r="E283" s="38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5"/>
      <c r="B284" s="15"/>
      <c r="C284" s="36"/>
      <c r="D284" s="37"/>
      <c r="E284" s="38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5"/>
      <c r="B285" s="15"/>
      <c r="C285" s="36"/>
      <c r="D285" s="37"/>
      <c r="E285" s="38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5"/>
      <c r="B286" s="15"/>
      <c r="C286" s="36"/>
      <c r="D286" s="37"/>
      <c r="E286" s="38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5"/>
      <c r="B287" s="15"/>
      <c r="C287" s="36"/>
      <c r="D287" s="37"/>
      <c r="E287" s="38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5"/>
      <c r="B288" s="15"/>
      <c r="C288" s="36"/>
      <c r="D288" s="37"/>
      <c r="E288" s="38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5"/>
      <c r="B289" s="15"/>
      <c r="C289" s="36"/>
      <c r="D289" s="37"/>
      <c r="E289" s="38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5"/>
      <c r="B290" s="15"/>
      <c r="C290" s="36"/>
      <c r="D290" s="37"/>
      <c r="E290" s="38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5"/>
      <c r="B291" s="15"/>
      <c r="C291" s="36"/>
      <c r="D291" s="37"/>
      <c r="E291" s="38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5"/>
      <c r="B292" s="15"/>
      <c r="C292" s="36"/>
      <c r="D292" s="37"/>
      <c r="E292" s="38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5"/>
      <c r="B293" s="15"/>
      <c r="C293" s="36"/>
      <c r="D293" s="37"/>
      <c r="E293" s="38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5"/>
      <c r="B294" s="15"/>
      <c r="C294" s="36"/>
      <c r="D294" s="37"/>
      <c r="E294" s="38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5"/>
      <c r="B295" s="15"/>
      <c r="C295" s="36"/>
      <c r="D295" s="37"/>
      <c r="E295" s="38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5"/>
      <c r="B296" s="15"/>
      <c r="C296" s="36"/>
      <c r="D296" s="37"/>
      <c r="E296" s="38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5"/>
      <c r="B297" s="15"/>
      <c r="C297" s="36"/>
      <c r="D297" s="37"/>
      <c r="E297" s="38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5"/>
      <c r="B298" s="15"/>
      <c r="C298" s="36"/>
      <c r="D298" s="37"/>
      <c r="E298" s="38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5"/>
      <c r="B299" s="15"/>
      <c r="C299" s="36"/>
      <c r="D299" s="37"/>
      <c r="E299" s="38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5"/>
      <c r="B300" s="15"/>
      <c r="C300" s="36"/>
      <c r="D300" s="37"/>
      <c r="E300" s="38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5"/>
      <c r="B301" s="15"/>
      <c r="C301" s="36"/>
      <c r="D301" s="37"/>
      <c r="E301" s="38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