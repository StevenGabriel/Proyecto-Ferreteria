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<sst xmlns="http://schemas.openxmlformats.org/spreadsheetml/2006/main" count="87" uniqueCount="84">
  <si>
    <t>HOJA DE CALCULO FERRETERIA</t>
  </si>
  <si>
    <t>CODIGO</t>
  </si>
  <si>
    <t>CANTIDAD</t>
  </si>
  <si>
    <t>DESCRIPCION</t>
  </si>
  <si>
    <t>TOTAL</t>
  </si>
  <si>
    <t>HORA</t>
  </si>
  <si>
    <t>CUADRAR</t>
  </si>
  <si>
    <t>doc chip</t>
  </si>
  <si>
    <t>MONEDAS</t>
  </si>
  <si>
    <t>CAJA CHICA</t>
  </si>
  <si>
    <t>chip 4.5 x 40</t>
  </si>
  <si>
    <t>BILLETES 10-20</t>
  </si>
  <si>
    <t>TOTAL VENTAS DIA</t>
  </si>
  <si>
    <t>chip 4.5x45</t>
  </si>
  <si>
    <t>BILLETES 50-100-200</t>
  </si>
  <si>
    <t>AUMENTO DE DINERO</t>
  </si>
  <si>
    <t>2m</t>
  </si>
  <si>
    <t>lija 150</t>
  </si>
  <si>
    <t>INGRESOS YAPE</t>
  </si>
  <si>
    <t>placa doble toma epem</t>
  </si>
  <si>
    <t>INGRESOS TARJETA</t>
  </si>
  <si>
    <t>ramplu 6</t>
  </si>
  <si>
    <t>GASTOS VARIOS</t>
  </si>
  <si>
    <t>chip</t>
  </si>
  <si>
    <t>DINERO GANADO HOY:</t>
  </si>
  <si>
    <t>CANTIDAD DINERO CAJA:</t>
  </si>
  <si>
    <t>carbon 20</t>
  </si>
  <si>
    <t>pistola de pintar tr</t>
  </si>
  <si>
    <t>tijera de calamina</t>
  </si>
  <si>
    <t>presotato</t>
  </si>
  <si>
    <t>tornillo 8 x 1</t>
  </si>
  <si>
    <t>aluma 10vm</t>
  </si>
  <si>
    <t>pilas aaa</t>
  </si>
  <si>
    <t>YAPE MAMÁ</t>
  </si>
  <si>
    <t>YAPE PAPÁ</t>
  </si>
  <si>
    <t>YAPE</t>
  </si>
  <si>
    <t>Monto Total YAPE (No tocar):</t>
  </si>
  <si>
    <t>regadera de ducha bof</t>
  </si>
  <si>
    <t>masquin 3/4</t>
  </si>
  <si>
    <t>Monto Total Registrado en aplicacion</t>
  </si>
  <si>
    <t>sierra mecanica</t>
  </si>
  <si>
    <t>acoples juego</t>
  </si>
  <si>
    <t>soplete pintar</t>
  </si>
  <si>
    <t>abraxadera</t>
  </si>
  <si>
    <t>1kl</t>
  </si>
  <si>
    <t>calvo 1</t>
  </si>
  <si>
    <t>termico biopolora</t>
  </si>
  <si>
    <t>termicosica</t>
  </si>
  <si>
    <t>disco galleta 7</t>
  </si>
  <si>
    <t>PAGOS YAPE</t>
  </si>
  <si>
    <t>DESCRIPCION PAGO</t>
  </si>
  <si>
    <t>grampas tr</t>
  </si>
  <si>
    <t>chip 4 x 70</t>
  </si>
  <si>
    <t>alicate fuerza tramon</t>
  </si>
  <si>
    <t>hilo plastico 0,8</t>
  </si>
  <si>
    <t>guante tr</t>
  </si>
  <si>
    <t>tapon 1/2 hembra tigre</t>
  </si>
  <si>
    <t>palo para azadon</t>
  </si>
  <si>
    <t>tee fg 12</t>
  </si>
  <si>
    <t>tarraja 1/2</t>
  </si>
  <si>
    <t>limpiador pavco</t>
  </si>
  <si>
    <t>DISOC CORTE UYUSTO</t>
  </si>
  <si>
    <t>DISCO MADERA</t>
  </si>
  <si>
    <t>DISCO CONCRETO 9</t>
  </si>
  <si>
    <t xml:space="preserve">CLAVIJA </t>
  </si>
  <si>
    <t>JUEGO LLAVE ALLEM</t>
  </si>
  <si>
    <t>disco concrerto 4 uyus</t>
  </si>
  <si>
    <t>masa corrida</t>
  </si>
  <si>
    <t xml:space="preserve">gotita </t>
  </si>
  <si>
    <t>chio 3,5*30</t>
  </si>
  <si>
    <t>chip 3,5*35</t>
  </si>
  <si>
    <t>ducha higiiene</t>
  </si>
  <si>
    <t>tee togre 1/2</t>
  </si>
  <si>
    <t>teflon</t>
  </si>
  <si>
    <t>niple 1/2</t>
  </si>
  <si>
    <t>llave alen 2,5</t>
  </si>
  <si>
    <t xml:space="preserve">estilete </t>
  </si>
  <si>
    <t>cuchilla</t>
  </si>
  <si>
    <t xml:space="preserve">cautin </t>
  </si>
  <si>
    <t>juego de pilas</t>
  </si>
  <si>
    <t>juego de alicates</t>
  </si>
  <si>
    <t>llave steilso</t>
  </si>
  <si>
    <t>juego de boquillas tolse</t>
  </si>
  <si>
    <t>taladro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</si>
</sst>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10.5</v>
      </c>
      <c r="E8" s="8">
        <v>46266.38656637732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7</v>
      </c>
      <c r="D9" s="6">
        <v>4.0</v>
      </c>
      <c r="E9" s="8">
        <v>46266.38666923611</v>
      </c>
      <c r="F9" s="2"/>
      <c r="G9" s="9" t="s">
        <v>8</v>
      </c>
      <c r="H9" s="10">
        <v>121.0</v>
      </c>
      <c r="I9" s="2"/>
      <c r="J9" s="9" t="s">
        <v>9</v>
      </c>
      <c r="K9" s="10">
        <v>652.5</v>
      </c>
      <c r="L9" s="2"/>
      <c r="M9" s="2"/>
      <c r="N9" s="2"/>
      <c r="O9" s="2"/>
      <c r="P9" s="2"/>
      <c r="Q9" s="2"/>
    </row>
    <row r="10" ht="22.5" customHeight="1">
      <c r="A10" s="6"/>
      <c r="B10" s="6">
        <v>3.0</v>
      </c>
      <c r="C10" s="7" t="s">
        <v>10</v>
      </c>
      <c r="D10" s="6">
        <v>10.5</v>
      </c>
      <c r="E10" s="8">
        <v>46266.38860980324</v>
      </c>
      <c r="F10" s="2"/>
      <c r="G10" s="9" t="s">
        <v>11</v>
      </c>
      <c r="H10" s="10">
        <v>240.0</v>
      </c>
      <c r="I10" s="2"/>
      <c r="J10" s="9" t="s">
        <v>12</v>
      </c>
      <c r="K10" s="11">
        <f>SUM(PRINCIPAL[TOTAL])</f>
        <v>3183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13</v>
      </c>
      <c r="D11" s="6">
        <v>3.5</v>
      </c>
      <c r="E11" s="8">
        <v>46266.38868292824</v>
      </c>
      <c r="F11" s="2"/>
      <c r="G11" s="9" t="s">
        <v>14</v>
      </c>
      <c r="H11" s="10">
        <v>1850.0</v>
      </c>
      <c r="I11" s="2"/>
      <c r="J11" s="9" t="s">
        <v>15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 t="s">
        <v>16</v>
      </c>
      <c r="C12" s="7" t="s">
        <v>17</v>
      </c>
      <c r="D12" s="6">
        <v>20.0</v>
      </c>
      <c r="E12" s="8">
        <v>46266.38876002315</v>
      </c>
      <c r="F12" s="2"/>
      <c r="G12" s="9" t="s">
        <v>18</v>
      </c>
      <c r="H12" s="12">
        <f>SUM(G24:H361)</f>
        <v>1648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17.0</v>
      </c>
      <c r="E13" s="8">
        <v>46266.398880381945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6.0</v>
      </c>
      <c r="C14" s="7" t="s">
        <v>21</v>
      </c>
      <c r="D14" s="6">
        <v>1.0</v>
      </c>
      <c r="E14" s="8">
        <v>46266.40304796296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6.0</v>
      </c>
      <c r="C15" s="7" t="s">
        <v>21</v>
      </c>
      <c r="D15" s="6">
        <v>1.5</v>
      </c>
      <c r="E15" s="8">
        <v>46266.40318555555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12.0</v>
      </c>
      <c r="C16" s="7" t="s">
        <v>23</v>
      </c>
      <c r="D16" s="6">
        <v>3.0</v>
      </c>
      <c r="E16" s="8">
        <v>46266.40326847222</v>
      </c>
      <c r="F16" s="2"/>
      <c r="G16" s="15" t="s">
        <v>24</v>
      </c>
      <c r="H16" s="16">
        <f>SUM(H9:H14)</f>
        <v>3859</v>
      </c>
      <c r="I16" s="3"/>
      <c r="J16" s="15" t="s">
        <v>25</v>
      </c>
      <c r="K16" s="16">
        <f>SUM(K9:K11)</f>
        <v>3835.5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18.0</v>
      </c>
      <c r="E17" s="8">
        <v>46266.42218822917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420.0</v>
      </c>
      <c r="E18" s="8">
        <v>46266.42229665509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23,50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80.0</v>
      </c>
      <c r="E19" s="8">
        <v>46266.42238537037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70.0</v>
      </c>
      <c r="E20" s="8">
        <v>46266.425468333335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12.0</v>
      </c>
      <c r="C21" s="7" t="s">
        <v>30</v>
      </c>
      <c r="D21" s="18">
        <v>2.5</v>
      </c>
      <c r="E21" s="8">
        <v>46266.44189584491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13.0</v>
      </c>
      <c r="E22" s="8">
        <v>46266.49040002315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19.0</v>
      </c>
      <c r="E23" s="8">
        <v>46266.4774518287</v>
      </c>
      <c r="F23" s="2"/>
      <c r="G23" s="20" t="s">
        <v>33</v>
      </c>
      <c r="H23" s="20" t="s">
        <v>34</v>
      </c>
      <c r="I23" s="2"/>
      <c r="J23" s="21" t="s">
        <v>35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32</v>
      </c>
      <c r="D24" s="6">
        <v>20.0</v>
      </c>
      <c r="E24" s="8">
        <v>46266.477373449074</v>
      </c>
      <c r="F24" s="2"/>
      <c r="G24" s="23">
        <v>20.0</v>
      </c>
      <c r="H24" s="23">
        <v>318.0</v>
      </c>
      <c r="I24" s="2"/>
      <c r="J24" s="24" t="s">
        <v>36</v>
      </c>
      <c r="K24" s="25">
        <f>SUM(INGRESOS_YAPE[])</f>
        <v>1648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80.0</v>
      </c>
      <c r="E25" s="8">
        <v>46266.49049581018</v>
      </c>
      <c r="F25" s="2"/>
      <c r="G25" s="23">
        <v>18.0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8.0</v>
      </c>
      <c r="E26" s="8">
        <v>46266.50650206019</v>
      </c>
      <c r="F26" s="2"/>
      <c r="G26" s="27">
        <v>376.0</v>
      </c>
      <c r="H26" s="26"/>
      <c r="I26" s="2"/>
      <c r="J26" s="28" t="s">
        <v>39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15.0</v>
      </c>
      <c r="E27" s="8">
        <v>46266.54535748843</v>
      </c>
      <c r="F27" s="2"/>
      <c r="G27" s="23">
        <v>55.0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96.0</v>
      </c>
      <c r="E28" s="8">
        <v>46266.55628048611</v>
      </c>
      <c r="F28" s="2"/>
      <c r="G28" s="23">
        <v>55.0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280.0</v>
      </c>
      <c r="E29" s="8">
        <v>46266.556215069446</v>
      </c>
      <c r="F29" s="2"/>
      <c r="G29" s="23">
        <v>81.0</v>
      </c>
      <c r="H29" s="26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1648,00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3.0</v>
      </c>
      <c r="E30" s="8">
        <v>46266.55617778935</v>
      </c>
      <c r="F30" s="2"/>
      <c r="G30" s="23">
        <v>35.0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44</v>
      </c>
      <c r="C31" s="7" t="s">
        <v>45</v>
      </c>
      <c r="D31" s="6">
        <v>18.0</v>
      </c>
      <c r="E31" s="8">
        <v>46266.56811253472</v>
      </c>
      <c r="F31" s="2"/>
      <c r="G31" s="23">
        <v>133.0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52.0</v>
      </c>
      <c r="E32" s="8">
        <v>46266.57784209491</v>
      </c>
      <c r="F32" s="2"/>
      <c r="G32" s="23">
        <v>525.0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52.0</v>
      </c>
      <c r="E33" s="8">
        <v>46266.579591284724</v>
      </c>
      <c r="F33" s="2"/>
      <c r="G33" s="23">
        <v>25.0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12.0</v>
      </c>
      <c r="E34" s="8">
        <v>46266.5840577662</v>
      </c>
      <c r="F34" s="2"/>
      <c r="G34" s="23">
        <v>7.0</v>
      </c>
      <c r="H34" s="26"/>
      <c r="I34" s="2"/>
      <c r="J34" s="31" t="s">
        <v>49</v>
      </c>
      <c r="K34" s="31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51</v>
      </c>
      <c r="D35" s="6">
        <v>21.0</v>
      </c>
      <c r="E35" s="8">
        <v>46266.58434417824</v>
      </c>
      <c r="F35" s="2"/>
      <c r="G35" s="26"/>
      <c r="H35" s="26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33">
        <v>46145.0</v>
      </c>
      <c r="C36" s="7" t="s">
        <v>52</v>
      </c>
      <c r="D36" s="6">
        <v>14.0</v>
      </c>
      <c r="E36" s="8">
        <v>46266.58447366898</v>
      </c>
      <c r="F36" s="2"/>
      <c r="G36" s="26"/>
      <c r="H36" s="26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46.0</v>
      </c>
      <c r="E37" s="8">
        <v>46266.5845975463</v>
      </c>
      <c r="F37" s="2"/>
      <c r="G37" s="26"/>
      <c r="H37" s="26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26.0</v>
      </c>
      <c r="E38" s="8">
        <v>46266.59565458333</v>
      </c>
      <c r="F38" s="2"/>
      <c r="G38" s="26"/>
      <c r="H38" s="26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55</v>
      </c>
      <c r="D39" s="6">
        <v>40.0</v>
      </c>
      <c r="E39" s="8">
        <v>46266.625108692126</v>
      </c>
      <c r="F39" s="2"/>
      <c r="G39" s="26"/>
      <c r="H39" s="26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2.5</v>
      </c>
      <c r="E40" s="8">
        <v>46266.64277305556</v>
      </c>
      <c r="F40" s="2"/>
      <c r="G40" s="26"/>
      <c r="H40" s="26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57</v>
      </c>
      <c r="D41" s="18">
        <v>20.0</v>
      </c>
      <c r="E41" s="8">
        <v>46266.65761555555</v>
      </c>
      <c r="F41" s="2"/>
      <c r="G41" s="26"/>
      <c r="H41" s="26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18.5</v>
      </c>
      <c r="E42" s="8">
        <v>46266.66721353009</v>
      </c>
      <c r="F42" s="2"/>
      <c r="G42" s="26"/>
      <c r="H42" s="26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56.0</v>
      </c>
      <c r="E43" s="8">
        <v>46266.66730526621</v>
      </c>
      <c r="F43" s="2"/>
      <c r="G43" s="26"/>
      <c r="H43" s="26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52.0</v>
      </c>
      <c r="E44" s="8">
        <v>46266.66742907408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61</v>
      </c>
      <c r="D45" s="6">
        <v>5.0</v>
      </c>
      <c r="E45" s="8">
        <v>46266.673114537036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33.0</v>
      </c>
      <c r="E46" s="8">
        <v>46266.67316704861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95.0</v>
      </c>
      <c r="E47" s="8">
        <v>46266.67322916667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64</v>
      </c>
      <c r="D48" s="6">
        <v>35.0</v>
      </c>
      <c r="E48" s="8">
        <v>46266.673289502316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65</v>
      </c>
      <c r="D49" s="6">
        <v>92.0</v>
      </c>
      <c r="E49" s="8">
        <v>46266.67359155093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25.0</v>
      </c>
      <c r="E50" s="8">
        <v>46266.68468681713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29.0</v>
      </c>
      <c r="E51" s="8">
        <v>46266.69410032408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11.0</v>
      </c>
      <c r="E52" s="8">
        <v>46266.7150774537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12.0</v>
      </c>
      <c r="C53" s="7" t="s">
        <v>69</v>
      </c>
      <c r="D53" s="6">
        <v>2.0</v>
      </c>
      <c r="E53" s="8">
        <v>46266.71517924768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12.0</v>
      </c>
      <c r="C54" s="7" t="s">
        <v>70</v>
      </c>
      <c r="D54" s="6">
        <v>2.0</v>
      </c>
      <c r="E54" s="8">
        <v>46266.71526592593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179.0</v>
      </c>
      <c r="E55" s="8">
        <v>46266.71547971065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5.5</v>
      </c>
      <c r="E56" s="8">
        <v>46266.71558253472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3.0</v>
      </c>
      <c r="E57" s="8">
        <v>46266.715640173614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3.0</v>
      </c>
      <c r="E58" s="8">
        <v>46266.715698506945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7.0</v>
      </c>
      <c r="E59" s="8">
        <v>46266.71576349537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24.0</v>
      </c>
      <c r="E60" s="8">
        <v>46266.72231787037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19.0</v>
      </c>
      <c r="E61" s="8">
        <v>46266.722354756945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40.0</v>
      </c>
      <c r="E62" s="8">
        <v>46266.72246809027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55.0</v>
      </c>
      <c r="E63" s="8">
        <v>46266.72251101852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180.0</v>
      </c>
      <c r="E64" s="8">
        <v>46266.72257732639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118.0</v>
      </c>
      <c r="E65" s="8">
        <v>46266.74266793982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70.0</v>
      </c>
      <c r="E66" s="8">
        <v>46266.74273976852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525.0</v>
      </c>
      <c r="E67" s="8">
        <v>46266.75453421296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5"/>
      <c r="D68" s="36"/>
      <c r="E68" s="37"/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5"/>
      <c r="D69" s="36"/>
      <c r="E69" s="37"/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5"/>
      <c r="D70" s="36"/>
      <c r="E70" s="37"/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5"/>
      <c r="D71" s="36"/>
      <c r="E71" s="37"/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5"/>
      <c r="D72" s="36"/>
      <c r="E72" s="37"/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5"/>
      <c r="D73" s="36"/>
      <c r="E73" s="37"/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5"/>
      <c r="D74" s="36"/>
      <c r="E74" s="37"/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5"/>
      <c r="D75" s="36"/>
      <c r="E75" s="37"/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5"/>
      <c r="D76" s="36"/>
      <c r="E76" s="37"/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5"/>
      <c r="D77" s="36"/>
      <c r="E77" s="37"/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5"/>
      <c r="D78" s="36"/>
      <c r="E78" s="37"/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5"/>
      <c r="D79" s="36"/>
      <c r="E79" s="37"/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7"/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