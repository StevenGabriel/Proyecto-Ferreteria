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<sst xmlns="http://schemas.openxmlformats.org/spreadsheetml/2006/main" count="133" uniqueCount="128">
  <si>
    <t>HOJA DE CALCULO FERRETERIA</t>
  </si>
  <si>
    <t>CODIGO</t>
  </si>
  <si>
    <t>CANTIDAD</t>
  </si>
  <si>
    <t>DESCRIPCION</t>
  </si>
  <si>
    <t>TOTAL</t>
  </si>
  <si>
    <t>HORA</t>
  </si>
  <si>
    <t>CUADRAR</t>
  </si>
  <si>
    <t>bisagra 3.5</t>
  </si>
  <si>
    <t>casco blanco</t>
  </si>
  <si>
    <t>MONEDAS</t>
  </si>
  <si>
    <t>CAJA CHICA</t>
  </si>
  <si>
    <t>broca cobcereto 5</t>
  </si>
  <si>
    <t>BILLETES 10-20</t>
  </si>
  <si>
    <t>TOTAL VENTAS DIA</t>
  </si>
  <si>
    <t>aerosol crema claro</t>
  </si>
  <si>
    <t>BILLETES 50-100-200</t>
  </si>
  <si>
    <t>AUMENTO DE DINERO</t>
  </si>
  <si>
    <t>repuesto de estilete</t>
  </si>
  <si>
    <t>INGRESOS YAPE</t>
  </si>
  <si>
    <t>rbocha 1 1/2</t>
  </si>
  <si>
    <t>INGRESOS TARJETA</t>
  </si>
  <si>
    <t>silicona trnas</t>
  </si>
  <si>
    <t>GASTOS VARIOS</t>
  </si>
  <si>
    <t>laminas parieri</t>
  </si>
  <si>
    <t>espatuklas yus</t>
  </si>
  <si>
    <t>DINERO GANADO HOY:</t>
  </si>
  <si>
    <t>CANTIDAD DINERO CAJA:</t>
  </si>
  <si>
    <t>copla fg mh 1</t>
  </si>
  <si>
    <t xml:space="preserve">m lija </t>
  </si>
  <si>
    <t>CODO 1/2</t>
  </si>
  <si>
    <t xml:space="preserve">LLAE DPASO </t>
  </si>
  <si>
    <t>TEE</t>
  </si>
  <si>
    <t>LLAVE DEPASO GLOBO</t>
  </si>
  <si>
    <t>CODO 2</t>
  </si>
  <si>
    <t>YAPE MAMÁ</t>
  </si>
  <si>
    <t>YAPE PAPÁ</t>
  </si>
  <si>
    <t>YAPE</t>
  </si>
  <si>
    <t>SEMICODO</t>
  </si>
  <si>
    <t>Monto Total YAPE (No tocar):</t>
  </si>
  <si>
    <t xml:space="preserve">CODO </t>
  </si>
  <si>
    <t>Monto Total Registrado en aplicacion</t>
  </si>
  <si>
    <t>CONDUIT 3/4</t>
  </si>
  <si>
    <t>CAJA DE TERMICO T-2</t>
  </si>
  <si>
    <t>CAJA MEC</t>
  </si>
  <si>
    <t xml:space="preserve">CJA SIFONAS </t>
  </si>
  <si>
    <t>TUBOX</t>
  </si>
  <si>
    <t xml:space="preserve">SELLA ROSAC </t>
  </si>
  <si>
    <t>TEFLON</t>
  </si>
  <si>
    <t>TUO DESAGUE</t>
  </si>
  <si>
    <t>PAGOS YAPE</t>
  </si>
  <si>
    <t>DESCRIPCION PAGO</t>
  </si>
  <si>
    <t xml:space="preserve">TIJERA DE AVIACION </t>
  </si>
  <si>
    <t>TEE FG</t>
  </si>
  <si>
    <t>NIPLE FG</t>
  </si>
  <si>
    <t>TAPON</t>
  </si>
  <si>
    <t>COPLA REDUCCUO 3/4*1/2</t>
  </si>
  <si>
    <t>broca encastre</t>
  </si>
  <si>
    <t>guantes asatex</t>
  </si>
  <si>
    <t>mangura gas</t>
  </si>
  <si>
    <t>abrazadera</t>
  </si>
  <si>
    <t>dearmado</t>
  </si>
  <si>
    <t xml:space="preserve">tornillo </t>
  </si>
  <si>
    <t>grampas 8mm</t>
  </si>
  <si>
    <t>amoladora total</t>
  </si>
  <si>
    <t>lente tr</t>
  </si>
  <si>
    <t>codo conduit 1/2</t>
  </si>
  <si>
    <t>codo conduit 5/8</t>
  </si>
  <si>
    <t>bateria baño</t>
  </si>
  <si>
    <t xml:space="preserve">chicotuillo </t>
  </si>
  <si>
    <t>llave stelson</t>
  </si>
  <si>
    <t>aerosol vencio</t>
  </si>
  <si>
    <t>desarmador tr</t>
  </si>
  <si>
    <t>alicate punts tolsen</t>
  </si>
  <si>
    <t>alicate corte tolsen</t>
  </si>
  <si>
    <t xml:space="preserve">disco desavaste </t>
  </si>
  <si>
    <t>pastina neomix</t>
  </si>
  <si>
    <t xml:space="preserve">interrupto </t>
  </si>
  <si>
    <t>sintetica blanca 220</t>
  </si>
  <si>
    <t>pila 2032</t>
  </si>
  <si>
    <t>aerosol cafe</t>
  </si>
  <si>
    <t>sifon doble fv</t>
  </si>
  <si>
    <t>pernos</t>
  </si>
  <si>
    <t>picaporte tr</t>
  </si>
  <si>
    <t>3m</t>
  </si>
  <si>
    <t>perlon 1/4</t>
  </si>
  <si>
    <t>niple 1/2</t>
  </si>
  <si>
    <t>reduccion 3/4x1/2</t>
  </si>
  <si>
    <t>teflon</t>
  </si>
  <si>
    <t>rpecinto 16cm</t>
  </si>
  <si>
    <t>sujetacable</t>
  </si>
  <si>
    <t>disco madera uyus 7</t>
  </si>
  <si>
    <t>broca concreo 8</t>
  </si>
  <si>
    <t>pernos 1/4 x 3 hex</t>
  </si>
  <si>
    <t xml:space="preserve">broca debor 6.5 </t>
  </si>
  <si>
    <t>extractor de gasolina</t>
  </si>
  <si>
    <t>flaper</t>
  </si>
  <si>
    <t>regulador de precion</t>
  </si>
  <si>
    <t>pistola pintar tr</t>
  </si>
  <si>
    <t>juego acoples pretul</t>
  </si>
  <si>
    <t>juego extractor de tornillos uyus</t>
  </si>
  <si>
    <t>selarosca</t>
  </si>
  <si>
    <t>tarraja meicon</t>
  </si>
  <si>
    <t>reddcion 3/4x1/2</t>
  </si>
  <si>
    <t>redccion 1x1/2</t>
  </si>
  <si>
    <t>cañeria 1/2</t>
  </si>
  <si>
    <t>redcuuon 3/4x1/2 pvc</t>
  </si>
  <si>
    <t>reduccion 1x1/2 pvc</t>
  </si>
  <si>
    <t>jalador</t>
  </si>
  <si>
    <t>atmella</t>
  </si>
  <si>
    <t>rampu</t>
  </si>
  <si>
    <t xml:space="preserve">dado tramontia </t>
  </si>
  <si>
    <t>ESTILETES</t>
  </si>
  <si>
    <t>ALARGADOR CORIIENTE 20 M</t>
  </si>
  <si>
    <t>SUJETA CABLE  ACERADO</t>
  </si>
  <si>
    <t>HILO</t>
  </si>
  <si>
    <t>OCRE</t>
  </si>
  <si>
    <t>CHOCLERA</t>
  </si>
  <si>
    <t xml:space="preserve">PUNTAS </t>
  </si>
  <si>
    <t>TIJERA AVI</t>
  </si>
  <si>
    <t>2 MT</t>
  </si>
  <si>
    <t>MANGUERA</t>
  </si>
  <si>
    <t>BROCA  6</t>
  </si>
  <si>
    <t>CUTER</t>
  </si>
  <si>
    <t>RAMPLU 6</t>
  </si>
  <si>
    <t>CHIP</t>
  </si>
  <si>
    <t>CHICOTILLO</t>
  </si>
  <si>
    <t>NIPLE</t>
  </si>
  <si>
    <t>TONILLO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</si>
</sst>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22.5</v>
      </c>
      <c r="E8" s="8">
        <v>46269.36611041667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45.0</v>
      </c>
      <c r="E9" s="8">
        <v>46269.37636184027</v>
      </c>
      <c r="F9" s="2"/>
      <c r="G9" s="9" t="s">
        <v>9</v>
      </c>
      <c r="H9" s="10">
        <v>27.0</v>
      </c>
      <c r="I9" s="2"/>
      <c r="J9" s="9" t="s">
        <v>10</v>
      </c>
      <c r="K9" s="10">
        <v>637.0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21.0</v>
      </c>
      <c r="E10" s="8">
        <v>46269.38502707176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3790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46269.383534444445</v>
      </c>
      <c r="F11" s="2"/>
      <c r="G11" s="9" t="s">
        <v>15</v>
      </c>
      <c r="H11" s="10">
        <v>2000.0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38.0</v>
      </c>
      <c r="E12" s="8">
        <v>46269.38512280093</v>
      </c>
      <c r="F12" s="2"/>
      <c r="G12" s="9" t="s">
        <v>18</v>
      </c>
      <c r="H12" s="12">
        <f>SUM(G24:H128)</f>
        <v>2112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13.0</v>
      </c>
      <c r="E13" s="8">
        <v>46269.391689814816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26.0</v>
      </c>
      <c r="E14" s="8">
        <v>46269.39218980324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76.0</v>
      </c>
      <c r="E15" s="8">
        <v>46269.396093981486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22.0</v>
      </c>
      <c r="E16" s="8">
        <v>46269.39613252315</v>
      </c>
      <c r="F16" s="2"/>
      <c r="G16" s="15" t="s">
        <v>25</v>
      </c>
      <c r="H16" s="16">
        <f>SUM(H9:H14)</f>
        <v>4429</v>
      </c>
      <c r="I16" s="3"/>
      <c r="J16" s="15" t="s">
        <v>26</v>
      </c>
      <c r="K16" s="16">
        <f>SUM(K9:K11)</f>
        <v>4427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63.0</v>
      </c>
      <c r="E17" s="8">
        <v>46269.39983152778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4.0</v>
      </c>
      <c r="C18" s="7" t="s">
        <v>28</v>
      </c>
      <c r="D18" s="6">
        <v>40.0</v>
      </c>
      <c r="E18" s="8">
        <v>46269.40405840278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10.0</v>
      </c>
      <c r="C19" s="7" t="s">
        <v>29</v>
      </c>
      <c r="D19" s="6">
        <v>37.0</v>
      </c>
      <c r="E19" s="8">
        <v>46269.41854704861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138.0</v>
      </c>
      <c r="E20" s="8">
        <v>46269.41863840278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5.5</v>
      </c>
      <c r="E21" s="8">
        <v>46269.4188158912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130.0</v>
      </c>
      <c r="E22" s="8">
        <v>46269.42065722222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33</v>
      </c>
      <c r="D23" s="6">
        <v>18.0</v>
      </c>
      <c r="E23" s="8">
        <v>46269.42078076389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7.0</v>
      </c>
      <c r="E24" s="8">
        <v>46269.42081626157</v>
      </c>
      <c r="F24" s="2"/>
      <c r="G24" s="22">
        <v>8.0</v>
      </c>
      <c r="H24" s="23"/>
      <c r="I24" s="2"/>
      <c r="J24" s="24" t="s">
        <v>38</v>
      </c>
      <c r="K24" s="25">
        <f>SUM(INGRESOS_YAPE[])</f>
        <v>2112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31</v>
      </c>
      <c r="D25" s="6">
        <v>4.5</v>
      </c>
      <c r="E25" s="8">
        <v>46269.42094681713</v>
      </c>
      <c r="F25" s="2"/>
      <c r="G25" s="22">
        <v>45.0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16.0</v>
      </c>
      <c r="E26" s="8">
        <v>46269.4209787037</v>
      </c>
      <c r="F26" s="2"/>
      <c r="G26" s="26">
        <v>40.0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41</v>
      </c>
      <c r="D27" s="6">
        <v>18.0</v>
      </c>
      <c r="E27" s="8">
        <v>46269.42104778935</v>
      </c>
      <c r="F27" s="2"/>
      <c r="G27" s="22">
        <v>73.0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30.0</v>
      </c>
      <c r="E28" s="8">
        <v>46269.42128376158</v>
      </c>
      <c r="F28" s="2"/>
      <c r="G28" s="22">
        <v>42.0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43</v>
      </c>
      <c r="D29" s="6">
        <v>8.0</v>
      </c>
      <c r="E29" s="8">
        <v>46269.421330729165</v>
      </c>
      <c r="F29" s="2"/>
      <c r="G29" s="22">
        <v>3.5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2112,00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44</v>
      </c>
      <c r="D30" s="6">
        <v>112.0</v>
      </c>
      <c r="E30" s="8">
        <v>46269.421508900465</v>
      </c>
      <c r="F30" s="2"/>
      <c r="G30" s="22">
        <v>501.0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17.0</v>
      </c>
      <c r="E31" s="8">
        <v>46269.421579016205</v>
      </c>
      <c r="F31" s="2"/>
      <c r="G31" s="22">
        <v>236.0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21.0</v>
      </c>
      <c r="E32" s="8">
        <v>46269.42182072917</v>
      </c>
      <c r="F32" s="2"/>
      <c r="G32" s="22">
        <v>146.0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8.0</v>
      </c>
      <c r="C33" s="7" t="s">
        <v>47</v>
      </c>
      <c r="D33" s="6">
        <v>24.0</v>
      </c>
      <c r="E33" s="8">
        <v>46269.42187291667</v>
      </c>
      <c r="F33" s="2"/>
      <c r="G33" s="22">
        <v>20.0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47.0</v>
      </c>
      <c r="E34" s="8">
        <v>46269.422110555555</v>
      </c>
      <c r="F34" s="2"/>
      <c r="G34" s="22">
        <v>65.0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93.0</v>
      </c>
      <c r="E35" s="8">
        <v>46269.41836950231</v>
      </c>
      <c r="F35" s="2"/>
      <c r="G35" s="22">
        <v>9.0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32.0</v>
      </c>
      <c r="E36" s="8">
        <v>46269.422765138894</v>
      </c>
      <c r="F36" s="2"/>
      <c r="G36" s="22">
        <v>15.0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17.5</v>
      </c>
      <c r="E37" s="8">
        <v>46269.422810902775</v>
      </c>
      <c r="F37" s="2"/>
      <c r="G37" s="22">
        <v>60.5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18.0</v>
      </c>
      <c r="E38" s="8">
        <v>46269.42284825232</v>
      </c>
      <c r="F38" s="2"/>
      <c r="G38" s="22">
        <v>338.0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26.5</v>
      </c>
      <c r="E39" s="8">
        <v>46269.4231683449</v>
      </c>
      <c r="F39" s="2"/>
      <c r="G39" s="22">
        <v>25.0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16.0</v>
      </c>
      <c r="E40" s="8">
        <v>46269.42895267361</v>
      </c>
      <c r="F40" s="2"/>
      <c r="G40" s="22">
        <v>32.0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3.0</v>
      </c>
      <c r="C41" s="7" t="s">
        <v>57</v>
      </c>
      <c r="D41" s="6">
        <v>42.0</v>
      </c>
      <c r="E41" s="8">
        <v>46269.439126770834</v>
      </c>
      <c r="F41" s="2"/>
      <c r="G41" s="22">
        <v>202.5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1.5</v>
      </c>
      <c r="C42" s="7" t="s">
        <v>58</v>
      </c>
      <c r="D42" s="6">
        <v>19.5</v>
      </c>
      <c r="E42" s="8">
        <v>46269.44447826389</v>
      </c>
      <c r="F42" s="2"/>
      <c r="G42" s="22">
        <v>160.0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59</v>
      </c>
      <c r="D43" s="6">
        <v>6.0</v>
      </c>
      <c r="E43" s="8">
        <v>46269.44451715278</v>
      </c>
      <c r="F43" s="2"/>
      <c r="G43" s="22">
        <v>10.0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29.0</v>
      </c>
      <c r="E44" s="8">
        <v>46269.444567557875</v>
      </c>
      <c r="F44" s="2"/>
      <c r="G44" s="22">
        <v>58.0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61</v>
      </c>
      <c r="D45" s="6">
        <v>3.5</v>
      </c>
      <c r="E45" s="8">
        <v>46269.44542891203</v>
      </c>
      <c r="F45" s="2"/>
      <c r="G45" s="22">
        <v>2.5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62</v>
      </c>
      <c r="D46" s="6">
        <v>36.0</v>
      </c>
      <c r="E46" s="8">
        <v>46269.459759074074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480.0</v>
      </c>
      <c r="E47" s="8">
        <v>46269.47037466435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21.0</v>
      </c>
      <c r="E48" s="8">
        <v>46269.46205939815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65</v>
      </c>
      <c r="D49" s="6">
        <v>4.0</v>
      </c>
      <c r="E49" s="8">
        <v>46269.48339907407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66</v>
      </c>
      <c r="D50" s="6">
        <v>8.0</v>
      </c>
      <c r="E50" s="8">
        <v>46269.47046898148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125.0</v>
      </c>
      <c r="E51" s="8">
        <v>46269.48361372685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62.0</v>
      </c>
      <c r="E52" s="8">
        <v>46269.48365581018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49.0</v>
      </c>
      <c r="E53" s="8">
        <v>46269.48395756945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33">
        <v>8.0</v>
      </c>
      <c r="E54" s="8">
        <v>46269.49923728009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33">
        <v>35.0</v>
      </c>
      <c r="E55" s="8">
        <v>46269.508713564814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32.0</v>
      </c>
      <c r="E56" s="8">
        <v>46269.50873976852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39.0</v>
      </c>
      <c r="E57" s="8">
        <v>46269.508842627314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40.0</v>
      </c>
      <c r="E58" s="8">
        <v>46269.50905190972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13.0</v>
      </c>
      <c r="E59" s="8">
        <v>46269.50917070602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23.0</v>
      </c>
      <c r="E60" s="8">
        <v>46269.51373070602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8.0</v>
      </c>
      <c r="E61" s="8">
        <v>46269.51383585648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20.0</v>
      </c>
      <c r="E62" s="8">
        <v>46269.53376449074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11.0</v>
      </c>
      <c r="E63" s="8">
        <v>46269.54243696759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20.0</v>
      </c>
      <c r="E64" s="8">
        <v>46269.54427820602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65.0</v>
      </c>
      <c r="E65" s="8">
        <v>46269.5553309838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6.0</v>
      </c>
      <c r="C66" s="7" t="s">
        <v>81</v>
      </c>
      <c r="D66" s="6">
        <v>2.0</v>
      </c>
      <c r="E66" s="8">
        <v>46269.56123340278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32.0</v>
      </c>
      <c r="E67" s="8">
        <v>46269.56820214121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45.0</v>
      </c>
      <c r="E68" s="8">
        <v>46269.568173946755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83</v>
      </c>
      <c r="C69" s="7" t="s">
        <v>84</v>
      </c>
      <c r="D69" s="6">
        <v>10.0</v>
      </c>
      <c r="E69" s="8">
        <v>46269.568097615746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3.0</v>
      </c>
      <c r="E70" s="8">
        <v>46269.57508409722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3.0</v>
      </c>
      <c r="E71" s="8">
        <v>46269.57505290509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3.0</v>
      </c>
      <c r="E72" s="8">
        <v>46269.57495581018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16.0</v>
      </c>
      <c r="E73" s="8">
        <v>46269.579557523146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6.0</v>
      </c>
      <c r="C74" s="7" t="s">
        <v>89</v>
      </c>
      <c r="D74" s="6">
        <v>28.0</v>
      </c>
      <c r="E74" s="8">
        <v>46269.610804895834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50.0</v>
      </c>
      <c r="E75" s="8">
        <v>46269.62166050926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18.0</v>
      </c>
      <c r="E76" s="8">
        <v>46269.67243291667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24.0</v>
      </c>
      <c r="C77" s="7" t="s">
        <v>92</v>
      </c>
      <c r="D77" s="6">
        <v>32.5</v>
      </c>
      <c r="E77" s="8">
        <v>46269.685664386576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28.0</v>
      </c>
      <c r="E78" s="8">
        <v>46269.68578703704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25.0</v>
      </c>
      <c r="E79" s="8">
        <v>46269.688327083335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20.0</v>
      </c>
      <c r="E80" s="8">
        <v>46269.69205300926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101.0</v>
      </c>
      <c r="E81" s="8">
        <v>46269.70104341435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186.0</v>
      </c>
      <c r="E82" s="8">
        <v>46269.70079850694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98</v>
      </c>
      <c r="D83" s="6">
        <v>51.0</v>
      </c>
      <c r="E83" s="8">
        <v>46269.70075428241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99</v>
      </c>
      <c r="D84" s="6">
        <v>25.0</v>
      </c>
      <c r="E84" s="8">
        <v>46269.70264335648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100</v>
      </c>
      <c r="D85" s="6">
        <v>23.0</v>
      </c>
      <c r="E85" s="8">
        <v>46269.70929298611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6">
        <v>56.0</v>
      </c>
      <c r="E86" s="8">
        <v>46269.709402569446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2.0</v>
      </c>
      <c r="E87" s="8">
        <v>46269.70949570602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4.0</v>
      </c>
      <c r="E88" s="8">
        <v>46269.709585833334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49.0</v>
      </c>
      <c r="E89" s="8">
        <v>46269.70975879629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3.5</v>
      </c>
      <c r="E90" s="8">
        <v>46269.70987519676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6">
        <v>4.0</v>
      </c>
      <c r="E91" s="8">
        <v>46269.71001521991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4.0</v>
      </c>
      <c r="C92" s="7" t="s">
        <v>107</v>
      </c>
      <c r="D92" s="6">
        <v>32.0</v>
      </c>
      <c r="E92" s="8">
        <v>46269.71697760417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6.0</v>
      </c>
      <c r="C93" s="7" t="s">
        <v>108</v>
      </c>
      <c r="D93" s="6">
        <v>12.0</v>
      </c>
      <c r="E93" s="8">
        <v>46269.725722800926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6.0</v>
      </c>
      <c r="C94" s="7" t="s">
        <v>109</v>
      </c>
      <c r="D94" s="6">
        <v>2.0</v>
      </c>
      <c r="E94" s="8">
        <v>46269.72586179398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110</v>
      </c>
      <c r="D95" s="6">
        <v>36.0</v>
      </c>
      <c r="E95" s="8">
        <v>46269.74660716435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2.0</v>
      </c>
      <c r="C96" s="7" t="s">
        <v>111</v>
      </c>
      <c r="D96" s="6">
        <v>50.0</v>
      </c>
      <c r="E96" s="8">
        <v>46269.749441990745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112</v>
      </c>
      <c r="D97" s="6">
        <v>110.0</v>
      </c>
      <c r="E97" s="8">
        <v>46269.74952896991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4.0</v>
      </c>
      <c r="C98" s="7" t="s">
        <v>113</v>
      </c>
      <c r="D98" s="6">
        <v>10.0</v>
      </c>
      <c r="E98" s="8">
        <v>46269.75117495371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114</v>
      </c>
      <c r="D99" s="6">
        <v>17.0</v>
      </c>
      <c r="E99" s="8">
        <v>46269.75546059028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115</v>
      </c>
      <c r="D100" s="6">
        <v>6.0</v>
      </c>
      <c r="E100" s="8">
        <v>46269.755584768514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116</v>
      </c>
      <c r="D101" s="6">
        <v>37.0</v>
      </c>
      <c r="E101" s="8">
        <v>46269.755725763884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2.0</v>
      </c>
      <c r="C102" s="7" t="s">
        <v>117</v>
      </c>
      <c r="D102" s="6">
        <v>9.0</v>
      </c>
      <c r="E102" s="8">
        <v>46269.75594974537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118</v>
      </c>
      <c r="D103" s="6">
        <v>49.0</v>
      </c>
      <c r="E103" s="8">
        <v>46269.7561121412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 t="s">
        <v>119</v>
      </c>
      <c r="C104" s="7" t="s">
        <v>120</v>
      </c>
      <c r="D104" s="6">
        <v>13.0</v>
      </c>
      <c r="E104" s="8">
        <v>46269.75634997685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121</v>
      </c>
      <c r="D105" s="6">
        <v>32.0</v>
      </c>
      <c r="E105" s="8">
        <v>46269.756643078705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122</v>
      </c>
      <c r="D106" s="6">
        <v>50.0</v>
      </c>
      <c r="E106" s="8">
        <v>46269.75679670139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50.0</v>
      </c>
      <c r="C107" s="7" t="s">
        <v>123</v>
      </c>
      <c r="D107" s="6">
        <v>5.0</v>
      </c>
      <c r="E107" s="8">
        <v>46269.757147743054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50.0</v>
      </c>
      <c r="C108" s="7" t="s">
        <v>124</v>
      </c>
      <c r="D108" s="6">
        <v>14.0</v>
      </c>
      <c r="E108" s="8">
        <v>46269.757380358795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125</v>
      </c>
      <c r="D109" s="6">
        <v>49.0</v>
      </c>
      <c r="E109" s="8">
        <v>46269.76490064815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3.0</v>
      </c>
      <c r="C110" s="7" t="s">
        <v>47</v>
      </c>
      <c r="D110" s="6">
        <v>9.0</v>
      </c>
      <c r="E110" s="8">
        <v>46269.76517059028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126</v>
      </c>
      <c r="D111" s="6">
        <v>2.5</v>
      </c>
      <c r="E111" s="8">
        <v>46269.76944474537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4.0</v>
      </c>
      <c r="C112" s="7" t="s">
        <v>123</v>
      </c>
      <c r="D112" s="6">
        <v>2.0</v>
      </c>
      <c r="E112" s="8">
        <v>46269.76960878472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4.0</v>
      </c>
      <c r="C113" s="7" t="s">
        <v>127</v>
      </c>
      <c r="D113" s="6">
        <v>2.0</v>
      </c>
      <c r="E113" s="8">
        <v>46269.76972766204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2">
        <v>20.0</v>
      </c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