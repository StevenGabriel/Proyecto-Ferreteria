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<sst xmlns="http://schemas.openxmlformats.org/spreadsheetml/2006/main" count="120" uniqueCount="119">
  <si>
    <t>HOJA DE CALCULO FERRETERIA</t>
  </si>
  <si>
    <t>CODIGO</t>
  </si>
  <si>
    <t>CANTIDAD</t>
  </si>
  <si>
    <t>DESCRIPCION</t>
  </si>
  <si>
    <t>Columna 4</t>
  </si>
  <si>
    <t>HORA</t>
  </si>
  <si>
    <t>CUADRAR</t>
  </si>
  <si>
    <t>bolsa de precintos</t>
  </si>
  <si>
    <t>jaladores economicos</t>
  </si>
  <si>
    <t>MONEDAS</t>
  </si>
  <si>
    <t>CAJA CHICA</t>
  </si>
  <si>
    <t>precinto 16m</t>
  </si>
  <si>
    <t>BILLETES 10-20</t>
  </si>
  <si>
    <t>TOTAL VENTAS DIA</t>
  </si>
  <si>
    <t>clavo 25mm</t>
  </si>
  <si>
    <t>BILLETES 50-100-200</t>
  </si>
  <si>
    <t>AUMENTO DE DINERO</t>
  </si>
  <si>
    <t>yeso</t>
  </si>
  <si>
    <t>INGRESOS YAPE</t>
  </si>
  <si>
    <t>casco blanco</t>
  </si>
  <si>
    <t>INGRESOS TARJETA</t>
  </si>
  <si>
    <t>estilete</t>
  </si>
  <si>
    <t>GASTOS VARIOS</t>
  </si>
  <si>
    <t>spliter 2 sldas</t>
  </si>
  <si>
    <t>caja de distribucion 20x20</t>
  </si>
  <si>
    <t>DINERO GANADO HOY:</t>
  </si>
  <si>
    <t>CANTIDAD DINERO CAJA:</t>
  </si>
  <si>
    <t>regulador de gas</t>
  </si>
  <si>
    <t>sopladora jadever</t>
  </si>
  <si>
    <t>adaptador 3/4x1/2</t>
  </si>
  <si>
    <t>juegmo lde laminas</t>
  </si>
  <si>
    <t>espatula tramonta</t>
  </si>
  <si>
    <t>pigment</t>
  </si>
  <si>
    <t>brocha 3 atlas</t>
  </si>
  <si>
    <t>YAPE MAMÁ</t>
  </si>
  <si>
    <t>YAPE PAPÁ</t>
  </si>
  <si>
    <t>YAPE</t>
  </si>
  <si>
    <t>cinta asilante 3m</t>
  </si>
  <si>
    <t>Monto Total YAPE (No tocar):</t>
  </si>
  <si>
    <t>soporte tigre</t>
  </si>
  <si>
    <t>rodillo antigoteo</t>
  </si>
  <si>
    <t>Monto Total Registrado en aplicacion</t>
  </si>
  <si>
    <t>llavero multi</t>
  </si>
  <si>
    <t>iman</t>
  </si>
  <si>
    <t>tubo conduit 3/4</t>
  </si>
  <si>
    <t>1kl</t>
  </si>
  <si>
    <t>alambre de amarre</t>
  </si>
  <si>
    <t>CARPICOLA</t>
  </si>
  <si>
    <t>EXTENCION FLEXIBLE 26025</t>
  </si>
  <si>
    <t>PREMSA F</t>
  </si>
  <si>
    <t>FOCO 9 CALIDO</t>
  </si>
  <si>
    <t>PAGOS YAPE</t>
  </si>
  <si>
    <t>DESCRIPCION PAGO</t>
  </si>
  <si>
    <t>PIE DE AMIGO 1</t>
  </si>
  <si>
    <t>3DOC</t>
  </si>
  <si>
    <t>CHIP 3 X 16</t>
  </si>
  <si>
    <t>PRENSA ESQUINERA</t>
  </si>
  <si>
    <t>CINCEL PLANO</t>
  </si>
  <si>
    <t>BROCA CONCRETO 6</t>
  </si>
  <si>
    <t>DISCO GALLERA NORTON 4</t>
  </si>
  <si>
    <t>BROC A ENCASTRE 3/8</t>
  </si>
  <si>
    <t>LJA 1000</t>
  </si>
  <si>
    <t>LIJA 600</t>
  </si>
  <si>
    <t>LOJA 500</t>
  </si>
  <si>
    <t>LIJA 400</t>
  </si>
  <si>
    <t>BADILEJO 8</t>
  </si>
  <si>
    <t>AEROSOL CAFE OSCURO</t>
  </si>
  <si>
    <t>tornillo10x1/2+arandelas</t>
  </si>
  <si>
    <t>debor fierro 3</t>
  </si>
  <si>
    <t>clavija</t>
  </si>
  <si>
    <t>cinta tela</t>
  </si>
  <si>
    <t>clefa 100</t>
  </si>
  <si>
    <t>atomizador turper l</t>
  </si>
  <si>
    <t>1/2M</t>
  </si>
  <si>
    <t>LIJA 220</t>
  </si>
  <si>
    <t>BISAGRA TORNEADA</t>
  </si>
  <si>
    <t>FUNIGADOR</t>
  </si>
  <si>
    <t>ALARGADOR 3M</t>
  </si>
  <si>
    <t>PERNO HEXA</t>
  </si>
  <si>
    <t>M SOGA PERLOS</t>
  </si>
  <si>
    <t>CINA CRISTRAL FIVE</t>
  </si>
  <si>
    <t>SINTETICA 220</t>
  </si>
  <si>
    <t>PARABON</t>
  </si>
  <si>
    <t>DESAGU 4</t>
  </si>
  <si>
    <t>YEE 4 DESAGUE</t>
  </si>
  <si>
    <t>CAJA SIFONADA 4</t>
  </si>
  <si>
    <t>REDUCCION 4 X 2</t>
  </si>
  <si>
    <t>SEMICODO DESAGUE 4</t>
  </si>
  <si>
    <t>CODO DESAGUE 4</t>
  </si>
  <si>
    <t>TUBO DESAGUE 2</t>
  </si>
  <si>
    <t>CAÑERIA 1/2</t>
  </si>
  <si>
    <t>CODO PVC 1/2</t>
  </si>
  <si>
    <t>SEMICODO PVC 1/2</t>
  </si>
  <si>
    <t>TEE PVC 1/2</t>
  </si>
  <si>
    <t xml:space="preserve">LIMPIADOR </t>
  </si>
  <si>
    <t>INTERRUPTOR SOBREPONER</t>
  </si>
  <si>
    <t>LIJAS 60</t>
  </si>
  <si>
    <t>BARBIJO</t>
  </si>
  <si>
    <t>BISAGRA PISPOT</t>
  </si>
  <si>
    <t xml:space="preserve">JALADOR </t>
  </si>
  <si>
    <t>PISPOT</t>
  </si>
  <si>
    <t>CHIP 3,5</t>
  </si>
  <si>
    <t>1 MT</t>
  </si>
  <si>
    <t>MANGUERA</t>
  </si>
  <si>
    <t>SOPLETE PINT-</t>
  </si>
  <si>
    <t>CADEA 1/4</t>
  </si>
  <si>
    <t>JGO ALICATE</t>
  </si>
  <si>
    <t>MASCARA DOBLE PTERL</t>
  </si>
  <si>
    <t>FILTROL POLVO</t>
  </si>
  <si>
    <t xml:space="preserve">M CADENA </t>
  </si>
  <si>
    <t>1 KG</t>
  </si>
  <si>
    <t>ALALAMB</t>
  </si>
  <si>
    <t xml:space="preserve">CANDODO </t>
  </si>
  <si>
    <t>BROC 5 CONCRETO</t>
  </si>
  <si>
    <t>DISCO FE</t>
  </si>
  <si>
    <t>BROCA 6 H</t>
  </si>
  <si>
    <t>SERRUCHO</t>
  </si>
  <si>
    <t>DOC CHIP</t>
  </si>
  <si>
    <t>GRIFO 1/2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</si>
</sst>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12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Columna 4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12.0</v>
      </c>
      <c r="E8" s="8">
        <v>46218.35525916667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4.0</v>
      </c>
      <c r="C9" s="7" t="s">
        <v>8</v>
      </c>
      <c r="D9" s="6">
        <v>32.0</v>
      </c>
      <c r="E9" s="8">
        <v>46218.35544409722</v>
      </c>
      <c r="F9" s="2"/>
      <c r="G9" s="9" t="s">
        <v>9</v>
      </c>
      <c r="H9" s="10">
        <v>115.0</v>
      </c>
      <c r="I9" s="2"/>
      <c r="J9" s="9" t="s">
        <v>10</v>
      </c>
      <c r="K9" s="10">
        <v>636.5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14.0</v>
      </c>
      <c r="E10" s="8">
        <v>46218.35741675926</v>
      </c>
      <c r="F10" s="2"/>
      <c r="G10" s="9" t="s">
        <v>12</v>
      </c>
      <c r="H10" s="10">
        <v>500.0</v>
      </c>
      <c r="I10" s="2"/>
      <c r="J10" s="9" t="s">
        <v>13</v>
      </c>
      <c r="K10" s="11">
        <f>SUM(PRINCIPAL[Columna 4])</f>
        <v>3610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63.0</v>
      </c>
      <c r="E11" s="8">
        <v>46218.36150619213</v>
      </c>
      <c r="F11" s="2"/>
      <c r="G11" s="9" t="s">
        <v>15</v>
      </c>
      <c r="H11" s="10">
        <v>2500.0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16.0</v>
      </c>
      <c r="E12" s="8">
        <v>46218.37731694445</v>
      </c>
      <c r="F12" s="2"/>
      <c r="G12" s="9" t="s">
        <v>18</v>
      </c>
      <c r="H12" s="12">
        <f>SUM(G24:H361)</f>
        <v>1064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40.0</v>
      </c>
      <c r="E13" s="8">
        <v>46218.37739476852</v>
      </c>
      <c r="F13" s="2"/>
      <c r="G13" s="9" t="s">
        <v>20</v>
      </c>
      <c r="H13" s="10">
        <v>39.0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20.0</v>
      </c>
      <c r="E14" s="8">
        <v>46218.37808952546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15">
        <v>20.0</v>
      </c>
      <c r="E15" s="8">
        <v>46218.3883178588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30.0</v>
      </c>
      <c r="E16" s="8">
        <v>46218.40124905093</v>
      </c>
      <c r="F16" s="2"/>
      <c r="G16" s="16" t="s">
        <v>25</v>
      </c>
      <c r="H16" s="17">
        <f>SUM(H9:H14)</f>
        <v>4218</v>
      </c>
      <c r="I16" s="3"/>
      <c r="J16" s="16" t="s">
        <v>26</v>
      </c>
      <c r="K16" s="17">
        <f>SUM(K9:K11)</f>
        <v>4246.5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35.0</v>
      </c>
      <c r="E17" s="8">
        <v>46218.40646106482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165.0</v>
      </c>
      <c r="E18" s="8">
        <v>46218.413081562496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28,50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15">
        <v>75.0</v>
      </c>
      <c r="E19" s="8">
        <v>46218.419618472224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35.0</v>
      </c>
      <c r="E20" s="8">
        <v>46218.41693086806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15.0</v>
      </c>
      <c r="E21" s="19"/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10.0</v>
      </c>
      <c r="E22" s="8">
        <v>46218.41700769676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50.0</v>
      </c>
      <c r="E23" s="8">
        <v>46218.41870978009</v>
      </c>
      <c r="F23" s="2"/>
      <c r="G23" s="21" t="s">
        <v>34</v>
      </c>
      <c r="H23" s="21" t="s">
        <v>35</v>
      </c>
      <c r="I23" s="2"/>
      <c r="J23" s="22" t="s">
        <v>36</v>
      </c>
      <c r="L23" s="23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37</v>
      </c>
      <c r="D24" s="6">
        <v>18.5</v>
      </c>
      <c r="E24" s="8">
        <v>46218.41890881944</v>
      </c>
      <c r="F24" s="2"/>
      <c r="G24" s="24">
        <v>40.0</v>
      </c>
      <c r="H24" s="25"/>
      <c r="I24" s="2"/>
      <c r="J24" s="26" t="s">
        <v>38</v>
      </c>
      <c r="K24" s="27">
        <f>SUM(INGRESOS_YAPE[])</f>
        <v>1064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15.0</v>
      </c>
      <c r="E25" s="8">
        <v>46218.4189860301</v>
      </c>
      <c r="F25" s="2"/>
      <c r="G25" s="24">
        <v>165.0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40</v>
      </c>
      <c r="D26" s="6">
        <v>16.5</v>
      </c>
      <c r="E26" s="8">
        <v>46218.41909697917</v>
      </c>
      <c r="F26" s="2"/>
      <c r="G26" s="28">
        <v>138.0</v>
      </c>
      <c r="H26" s="25"/>
      <c r="I26" s="2"/>
      <c r="J26" s="29" t="s">
        <v>41</v>
      </c>
      <c r="K26" s="30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42</v>
      </c>
      <c r="D27" s="6">
        <v>78.0</v>
      </c>
      <c r="E27" s="8">
        <v>46218.43287372685</v>
      </c>
      <c r="F27" s="2"/>
      <c r="G27" s="24">
        <v>50.0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43</v>
      </c>
      <c r="D28" s="6">
        <v>50.0</v>
      </c>
      <c r="E28" s="8">
        <v>46218.43294935185</v>
      </c>
      <c r="F28" s="2"/>
      <c r="G28" s="24">
        <v>198.0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44</v>
      </c>
      <c r="D29" s="6">
        <v>8.0</v>
      </c>
      <c r="E29" s="8">
        <v>46218.459823321755</v>
      </c>
      <c r="F29" s="2"/>
      <c r="G29" s="24">
        <v>66.0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1064,00</v>
      </c>
      <c r="L29" s="2"/>
      <c r="M29" s="2"/>
      <c r="N29" s="2"/>
      <c r="O29" s="2"/>
      <c r="P29" s="2"/>
      <c r="Q29" s="2"/>
    </row>
    <row r="30" ht="22.5" customHeight="1">
      <c r="A30" s="13"/>
      <c r="B30" s="6" t="s">
        <v>45</v>
      </c>
      <c r="C30" s="7" t="s">
        <v>46</v>
      </c>
      <c r="D30" s="6">
        <v>19.0</v>
      </c>
      <c r="E30" s="8">
        <v>46218.482730081014</v>
      </c>
      <c r="F30" s="2"/>
      <c r="G30" s="24">
        <v>41.0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47</v>
      </c>
      <c r="D31" s="6">
        <v>26.0</v>
      </c>
      <c r="E31" s="8">
        <v>46218.50476471065</v>
      </c>
      <c r="F31" s="2"/>
      <c r="G31" s="24">
        <v>21.0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48</v>
      </c>
      <c r="D32" s="15">
        <v>24.0</v>
      </c>
      <c r="E32" s="8">
        <v>46218.505260729165</v>
      </c>
      <c r="F32" s="2"/>
      <c r="G32" s="24">
        <v>6.0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49</v>
      </c>
      <c r="D33" s="6">
        <v>136.0</v>
      </c>
      <c r="E33" s="8">
        <v>46218.51132341435</v>
      </c>
      <c r="F33" s="2"/>
      <c r="G33" s="24">
        <v>66.0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50</v>
      </c>
      <c r="D34" s="6">
        <v>26.0</v>
      </c>
      <c r="E34" s="8">
        <v>46218.51157509259</v>
      </c>
      <c r="F34" s="2"/>
      <c r="G34" s="24">
        <v>85.0</v>
      </c>
      <c r="H34" s="25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12.0</v>
      </c>
      <c r="C35" s="7" t="s">
        <v>53</v>
      </c>
      <c r="D35" s="6">
        <v>12.0</v>
      </c>
      <c r="E35" s="8">
        <v>46218.51334449074</v>
      </c>
      <c r="F35" s="2"/>
      <c r="G35" s="24">
        <v>28.0</v>
      </c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3"/>
      <c r="B36" s="6" t="s">
        <v>54</v>
      </c>
      <c r="C36" s="7" t="s">
        <v>55</v>
      </c>
      <c r="D36" s="6">
        <v>6.0</v>
      </c>
      <c r="E36" s="8">
        <v>46218.513454768516</v>
      </c>
      <c r="F36" s="2"/>
      <c r="G36" s="24">
        <v>55.0</v>
      </c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56</v>
      </c>
      <c r="D37" s="6">
        <v>50.0</v>
      </c>
      <c r="E37" s="8">
        <v>46218.513541203705</v>
      </c>
      <c r="F37" s="2"/>
      <c r="G37" s="24">
        <v>19.0</v>
      </c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57</v>
      </c>
      <c r="D38" s="6">
        <v>36.0</v>
      </c>
      <c r="E38" s="8">
        <v>46218.51407685185</v>
      </c>
      <c r="F38" s="2"/>
      <c r="G38" s="24">
        <v>76.0</v>
      </c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58</v>
      </c>
      <c r="D39" s="6">
        <v>16.0</v>
      </c>
      <c r="E39" s="8">
        <v>46218.51420539352</v>
      </c>
      <c r="F39" s="2"/>
      <c r="G39" s="24">
        <v>10.0</v>
      </c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3"/>
      <c r="B40" s="6">
        <v>10.0</v>
      </c>
      <c r="C40" s="7" t="s">
        <v>59</v>
      </c>
      <c r="D40" s="6">
        <v>90.0</v>
      </c>
      <c r="E40" s="8">
        <v>46218.51429516204</v>
      </c>
      <c r="F40" s="2"/>
      <c r="G40" s="25"/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60</v>
      </c>
      <c r="D41" s="6">
        <v>33.0</v>
      </c>
      <c r="E41" s="8">
        <v>46218.51450800926</v>
      </c>
      <c r="F41" s="2"/>
      <c r="G41" s="25"/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61</v>
      </c>
      <c r="D42" s="6">
        <v>8.0</v>
      </c>
      <c r="E42" s="8">
        <v>46218.51460810185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62</v>
      </c>
      <c r="D43" s="6">
        <v>5.0</v>
      </c>
      <c r="E43" s="8">
        <v>46218.51574122685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63</v>
      </c>
      <c r="D44" s="6">
        <v>5.0</v>
      </c>
      <c r="E44" s="8">
        <v>46218.51579928241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64</v>
      </c>
      <c r="D45" s="6">
        <v>5.0</v>
      </c>
      <c r="E45" s="8">
        <v>46218.51583900463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65</v>
      </c>
      <c r="D46" s="15">
        <v>15.0</v>
      </c>
      <c r="E46" s="8">
        <v>46218.51614685185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20.0</v>
      </c>
      <c r="E47" s="8">
        <v>46218.526496770835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6.0</v>
      </c>
      <c r="C48" s="7" t="s">
        <v>67</v>
      </c>
      <c r="D48" s="15">
        <v>4.0</v>
      </c>
      <c r="E48" s="8">
        <v>46218.53839123843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10.0</v>
      </c>
      <c r="E49" s="8">
        <v>46218.538488680555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8.0</v>
      </c>
      <c r="E50" s="8">
        <v>46218.55011347222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18.0</v>
      </c>
      <c r="E51" s="8">
        <v>46218.55014600694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15.0</v>
      </c>
      <c r="E52" s="8">
        <v>46218.55019850694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72</v>
      </c>
      <c r="D53" s="6">
        <v>69.0</v>
      </c>
      <c r="E53" s="8">
        <v>46218.55232958333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 t="s">
        <v>73</v>
      </c>
      <c r="C54" s="7" t="s">
        <v>74</v>
      </c>
      <c r="D54" s="6">
        <v>5.0</v>
      </c>
      <c r="E54" s="8">
        <v>46218.55563872685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75</v>
      </c>
      <c r="D55" s="6">
        <v>45.0</v>
      </c>
      <c r="E55" s="8">
        <v>46218.5559528125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76</v>
      </c>
      <c r="D56" s="6">
        <v>68.0</v>
      </c>
      <c r="E56" s="8">
        <v>46218.55629756945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77</v>
      </c>
      <c r="D57" s="6">
        <v>39.0</v>
      </c>
      <c r="E57" s="8">
        <v>46218.55751778935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78</v>
      </c>
      <c r="D58" s="6">
        <v>6.0</v>
      </c>
      <c r="E58" s="8">
        <v>46218.57746832176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10.0</v>
      </c>
      <c r="C59" s="7" t="s">
        <v>79</v>
      </c>
      <c r="D59" s="6">
        <v>15.0</v>
      </c>
      <c r="E59" s="8">
        <v>46218.57755277777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80</v>
      </c>
      <c r="D60" s="6">
        <v>50.0</v>
      </c>
      <c r="E60" s="8">
        <v>46218.57817436343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81</v>
      </c>
      <c r="D61" s="6">
        <v>20.0</v>
      </c>
      <c r="E61" s="8">
        <v>46218.578656365746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82</v>
      </c>
      <c r="D62" s="6">
        <v>178.0</v>
      </c>
      <c r="E62" s="8">
        <v>46218.59361892361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4.0</v>
      </c>
      <c r="C63" s="7" t="s">
        <v>83</v>
      </c>
      <c r="D63" s="6">
        <v>420.0</v>
      </c>
      <c r="E63" s="8">
        <v>46218.59373439815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3.0</v>
      </c>
      <c r="C64" s="7" t="s">
        <v>84</v>
      </c>
      <c r="D64" s="6">
        <v>72.0</v>
      </c>
      <c r="E64" s="8">
        <v>46218.59391268519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85</v>
      </c>
      <c r="D65" s="6">
        <v>40.0</v>
      </c>
      <c r="E65" s="8">
        <v>46218.59409225694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3.0</v>
      </c>
      <c r="C66" s="7" t="s">
        <v>86</v>
      </c>
      <c r="D66" s="6">
        <v>24.0</v>
      </c>
      <c r="E66" s="8">
        <v>46218.5942390625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2.0</v>
      </c>
      <c r="C67" s="7" t="s">
        <v>87</v>
      </c>
      <c r="D67" s="6">
        <v>32.0</v>
      </c>
      <c r="E67" s="8">
        <v>46218.59441480324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88</v>
      </c>
      <c r="D68" s="6">
        <v>19.0</v>
      </c>
      <c r="E68" s="8">
        <v>46218.59468275463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89</v>
      </c>
      <c r="D69" s="6">
        <v>49.0</v>
      </c>
      <c r="E69" s="8">
        <v>46218.59481952546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2.0</v>
      </c>
      <c r="C70" s="7" t="s">
        <v>90</v>
      </c>
      <c r="D70" s="6">
        <v>98.0</v>
      </c>
      <c r="E70" s="8">
        <v>46218.59496466436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4.0</v>
      </c>
      <c r="C71" s="7" t="s">
        <v>91</v>
      </c>
      <c r="D71" s="6">
        <v>16.0</v>
      </c>
      <c r="E71" s="8">
        <v>46218.595094965276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92</v>
      </c>
      <c r="D72" s="6">
        <v>6.0</v>
      </c>
      <c r="E72" s="8">
        <v>46218.59520997685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4.0</v>
      </c>
      <c r="C73" s="7" t="s">
        <v>93</v>
      </c>
      <c r="D73" s="6">
        <v>20.0</v>
      </c>
      <c r="E73" s="8">
        <v>46218.59527298612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94</v>
      </c>
      <c r="D74" s="6">
        <v>60.0</v>
      </c>
      <c r="E74" s="8">
        <v>46218.59538614583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95</v>
      </c>
      <c r="D75" s="6">
        <v>6.0</v>
      </c>
      <c r="E75" s="8">
        <v>46218.60174680555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96</v>
      </c>
      <c r="D76" s="6">
        <v>24.0</v>
      </c>
      <c r="E76" s="8">
        <v>46218.66198960648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2.0</v>
      </c>
      <c r="C77" s="7" t="s">
        <v>97</v>
      </c>
      <c r="D77" s="6">
        <v>6.0</v>
      </c>
      <c r="E77" s="8">
        <v>46218.662102013885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98</v>
      </c>
      <c r="D78" s="6">
        <v>28.0</v>
      </c>
      <c r="E78" s="8">
        <v>46218.72711989583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99</v>
      </c>
      <c r="D79" s="6">
        <v>38.0</v>
      </c>
      <c r="E79" s="8">
        <v>46218.72732803241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2.0</v>
      </c>
      <c r="C80" s="7" t="s">
        <v>100</v>
      </c>
      <c r="D80" s="6">
        <v>12.0</v>
      </c>
      <c r="E80" s="8">
        <v>46218.727443599535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53</v>
      </c>
      <c r="D81" s="6">
        <v>7.0</v>
      </c>
      <c r="E81" s="8">
        <v>46218.727588368056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6.0</v>
      </c>
      <c r="C82" s="7" t="s">
        <v>101</v>
      </c>
      <c r="D82" s="6">
        <v>2.5</v>
      </c>
      <c r="E82" s="8">
        <v>46218.73256510417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 t="s">
        <v>102</v>
      </c>
      <c r="C83" s="7" t="s">
        <v>103</v>
      </c>
      <c r="D83" s="6">
        <v>4.5</v>
      </c>
      <c r="E83" s="8">
        <v>46218.736982372684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104</v>
      </c>
      <c r="D84" s="6">
        <v>220.0</v>
      </c>
      <c r="E84" s="8">
        <v>46218.73976672454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105</v>
      </c>
      <c r="D85" s="6">
        <v>28.0</v>
      </c>
      <c r="E85" s="8">
        <v>46218.743196192125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106</v>
      </c>
      <c r="D86" s="6">
        <v>55.0</v>
      </c>
      <c r="E86" s="8">
        <v>46218.74834832176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107</v>
      </c>
      <c r="D87" s="6">
        <v>100.0</v>
      </c>
      <c r="E87" s="8">
        <v>46218.7487858449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108</v>
      </c>
      <c r="D88" s="6">
        <v>40.0</v>
      </c>
      <c r="E88" s="8">
        <v>46218.74891732639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109</v>
      </c>
      <c r="D89" s="6">
        <v>28.0</v>
      </c>
      <c r="E89" s="8">
        <v>46218.74905033565</v>
      </c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 t="s">
        <v>110</v>
      </c>
      <c r="C90" s="7" t="s">
        <v>111</v>
      </c>
      <c r="D90" s="6">
        <v>19.0</v>
      </c>
      <c r="E90" s="8">
        <v>46218.74982891204</v>
      </c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112</v>
      </c>
      <c r="D91" s="6">
        <v>73.0</v>
      </c>
      <c r="E91" s="8">
        <v>46218.75071775463</v>
      </c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113</v>
      </c>
      <c r="D92" s="35">
        <v>14.0</v>
      </c>
      <c r="E92" s="8">
        <v>46218.75968635417</v>
      </c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2.0</v>
      </c>
      <c r="C93" s="7" t="s">
        <v>114</v>
      </c>
      <c r="D93" s="6">
        <v>10.0</v>
      </c>
      <c r="E93" s="8">
        <v>46218.760692916665</v>
      </c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115</v>
      </c>
      <c r="D94" s="6">
        <v>13.0</v>
      </c>
      <c r="E94" s="8">
        <v>46218.76741920139</v>
      </c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116</v>
      </c>
      <c r="D95" s="6">
        <v>55.0</v>
      </c>
      <c r="E95" s="8">
        <v>46218.77353310185</v>
      </c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2.0</v>
      </c>
      <c r="C96" s="7" t="s">
        <v>117</v>
      </c>
      <c r="D96" s="6">
        <v>6.0</v>
      </c>
      <c r="E96" s="8">
        <v>46218.7737268287</v>
      </c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118</v>
      </c>
      <c r="D97" s="6">
        <v>65.0</v>
      </c>
      <c r="E97" s="8">
        <v>46218.77386612269</v>
      </c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6"/>
      <c r="D98" s="37"/>
      <c r="E98" s="19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6"/>
      <c r="D99" s="37"/>
      <c r="E99" s="19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6"/>
      <c r="D100" s="37"/>
      <c r="E100" s="19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6"/>
      <c r="D101" s="37"/>
      <c r="E101" s="19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6"/>
      <c r="D102" s="37"/>
      <c r="E102" s="19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6"/>
      <c r="D103" s="37"/>
      <c r="E103" s="19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6"/>
      <c r="D104" s="37"/>
      <c r="E104" s="19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6"/>
      <c r="D105" s="37"/>
      <c r="E105" s="19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6"/>
      <c r="D106" s="37"/>
      <c r="E106" s="19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6"/>
      <c r="D107" s="37"/>
      <c r="E107" s="19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6"/>
      <c r="D108" s="37"/>
      <c r="E108" s="19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6"/>
      <c r="D109" s="37"/>
      <c r="E109" s="19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6"/>
      <c r="D110" s="37"/>
      <c r="E110" s="19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6"/>
      <c r="D111" s="37"/>
      <c r="E111" s="19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6"/>
      <c r="D112" s="37"/>
      <c r="E112" s="19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6"/>
      <c r="D113" s="37"/>
      <c r="E113" s="19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6"/>
      <c r="D114" s="37"/>
      <c r="E114" s="19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6"/>
      <c r="D115" s="37"/>
      <c r="E115" s="19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6"/>
      <c r="D116" s="37"/>
      <c r="E116" s="19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6"/>
      <c r="D117" s="37"/>
      <c r="E117" s="19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6"/>
      <c r="D118" s="37"/>
      <c r="E118" s="19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6"/>
      <c r="D119" s="37"/>
      <c r="E119" s="19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6"/>
      <c r="D120" s="37"/>
      <c r="E120" s="19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6"/>
      <c r="D121" s="37"/>
      <c r="E121" s="19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6"/>
      <c r="D122" s="37"/>
      <c r="E122" s="19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6"/>
      <c r="D123" s="37"/>
      <c r="E123" s="19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6"/>
      <c r="D124" s="37"/>
      <c r="E124" s="19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6"/>
      <c r="D125" s="37"/>
      <c r="E125" s="19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6"/>
      <c r="D126" s="37"/>
      <c r="E126" s="19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6"/>
      <c r="D127" s="37"/>
      <c r="E127" s="19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6"/>
      <c r="D128" s="37"/>
      <c r="E128" s="19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6"/>
      <c r="D129" s="37"/>
      <c r="E129" s="19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6"/>
      <c r="D130" s="37"/>
      <c r="E130" s="19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6"/>
      <c r="D131" s="37"/>
      <c r="E131" s="19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6"/>
      <c r="D132" s="37"/>
      <c r="E132" s="19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6"/>
      <c r="D133" s="37"/>
      <c r="E133" s="19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6"/>
      <c r="D134" s="37"/>
      <c r="E134" s="19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6"/>
      <c r="D135" s="37"/>
      <c r="E135" s="19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6"/>
      <c r="D136" s="37"/>
      <c r="E136" s="19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6"/>
      <c r="D137" s="37"/>
      <c r="E137" s="19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6"/>
      <c r="D138" s="37"/>
      <c r="E138" s="19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6"/>
      <c r="D139" s="37"/>
      <c r="E139" s="19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6"/>
      <c r="D140" s="37"/>
      <c r="E140" s="19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6"/>
      <c r="D141" s="37"/>
      <c r="E141" s="19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6"/>
      <c r="D142" s="37"/>
      <c r="E142" s="19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6"/>
      <c r="D143" s="37"/>
      <c r="E143" s="19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6"/>
      <c r="D144" s="37"/>
      <c r="E144" s="19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6"/>
      <c r="D145" s="37"/>
      <c r="E145" s="19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6"/>
      <c r="D146" s="37"/>
      <c r="E146" s="19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6"/>
      <c r="D147" s="37"/>
      <c r="E147" s="19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6"/>
      <c r="D148" s="37"/>
      <c r="E148" s="19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6"/>
      <c r="D149" s="37"/>
      <c r="E149" s="19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6"/>
      <c r="D150" s="37"/>
      <c r="E150" s="19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6"/>
      <c r="D151" s="37"/>
      <c r="E151" s="19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6"/>
      <c r="D152" s="37"/>
      <c r="E152" s="19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6"/>
      <c r="D153" s="37"/>
      <c r="E153" s="19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6"/>
      <c r="D154" s="37"/>
      <c r="E154" s="19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6"/>
      <c r="D155" s="37"/>
      <c r="E155" s="19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6"/>
      <c r="D156" s="37"/>
      <c r="E156" s="19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6"/>
      <c r="D157" s="37"/>
      <c r="E157" s="19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6"/>
      <c r="D158" s="37"/>
      <c r="E158" s="19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6"/>
      <c r="D159" s="37"/>
      <c r="E159" s="19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6"/>
      <c r="D160" s="37"/>
      <c r="E160" s="19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6"/>
      <c r="D161" s="37"/>
      <c r="E161" s="19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6"/>
      <c r="D162" s="37"/>
      <c r="E162" s="19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6"/>
      <c r="D163" s="37"/>
      <c r="E163" s="19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6"/>
      <c r="D164" s="37"/>
      <c r="E164" s="19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6"/>
      <c r="D165" s="37"/>
      <c r="E165" s="19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6"/>
      <c r="D166" s="37"/>
      <c r="E166" s="19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6"/>
      <c r="D167" s="37"/>
      <c r="E167" s="19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6"/>
      <c r="D168" s="37"/>
      <c r="E168" s="19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6"/>
      <c r="D169" s="37"/>
      <c r="E169" s="19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6"/>
      <c r="D170" s="37"/>
      <c r="E170" s="19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6"/>
      <c r="D171" s="37"/>
      <c r="E171" s="19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6"/>
      <c r="D172" s="37"/>
      <c r="E172" s="19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6"/>
      <c r="D173" s="37"/>
      <c r="E173" s="19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6"/>
      <c r="D174" s="37"/>
      <c r="E174" s="19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6"/>
      <c r="D175" s="37"/>
      <c r="E175" s="19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6"/>
      <c r="D176" s="37"/>
      <c r="E176" s="19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6"/>
      <c r="D177" s="37"/>
      <c r="E177" s="19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6"/>
      <c r="D178" s="37"/>
      <c r="E178" s="19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6"/>
      <c r="D179" s="37"/>
      <c r="E179" s="19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6"/>
      <c r="D180" s="37"/>
      <c r="E180" s="19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6"/>
      <c r="D181" s="37"/>
      <c r="E181" s="19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6"/>
      <c r="D182" s="37"/>
      <c r="E182" s="19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6"/>
      <c r="D183" s="37"/>
      <c r="E183" s="19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6"/>
      <c r="D184" s="37"/>
      <c r="E184" s="19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6"/>
      <c r="D185" s="37"/>
      <c r="E185" s="19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6"/>
      <c r="D186" s="37"/>
      <c r="E186" s="19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6"/>
      <c r="D187" s="37"/>
      <c r="E187" s="19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6"/>
      <c r="D188" s="37"/>
      <c r="E188" s="19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6"/>
      <c r="D189" s="37"/>
      <c r="E189" s="19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6"/>
      <c r="D190" s="37"/>
      <c r="E190" s="19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6"/>
      <c r="D191" s="37"/>
      <c r="E191" s="19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6"/>
      <c r="D192" s="37"/>
      <c r="E192" s="19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6"/>
      <c r="D193" s="37"/>
      <c r="E193" s="19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6"/>
      <c r="D194" s="37"/>
      <c r="E194" s="19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6"/>
      <c r="D195" s="37"/>
      <c r="E195" s="19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6"/>
      <c r="D196" s="37"/>
      <c r="E196" s="19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6"/>
      <c r="D197" s="37"/>
      <c r="E197" s="19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6"/>
      <c r="D198" s="37"/>
      <c r="E198" s="19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6"/>
      <c r="D199" s="37"/>
      <c r="E199" s="19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6"/>
      <c r="D200" s="37"/>
      <c r="E200" s="19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6"/>
      <c r="D201" s="37"/>
      <c r="E201" s="19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6"/>
      <c r="D202" s="37"/>
      <c r="E202" s="19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6"/>
      <c r="D203" s="37"/>
      <c r="E203" s="19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6"/>
      <c r="D204" s="37"/>
      <c r="E204" s="19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6"/>
      <c r="D205" s="37"/>
      <c r="E205" s="19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6"/>
      <c r="D206" s="37"/>
      <c r="E206" s="19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6"/>
      <c r="D207" s="37"/>
      <c r="E207" s="19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6"/>
      <c r="D208" s="37"/>
      <c r="E208" s="19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6"/>
      <c r="D209" s="37"/>
      <c r="E209" s="19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6"/>
      <c r="D210" s="37"/>
      <c r="E210" s="19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6"/>
      <c r="D211" s="37"/>
      <c r="E211" s="19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6"/>
      <c r="D212" s="37"/>
      <c r="E212" s="19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6"/>
      <c r="D213" s="37"/>
      <c r="E213" s="19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6"/>
      <c r="D214" s="37"/>
      <c r="E214" s="19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6"/>
      <c r="D215" s="37"/>
      <c r="E215" s="19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6"/>
      <c r="D216" s="37"/>
      <c r="E216" s="19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6"/>
      <c r="D217" s="37"/>
      <c r="E217" s="19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6"/>
      <c r="D218" s="37"/>
      <c r="E218" s="19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6"/>
      <c r="D219" s="37"/>
      <c r="E219" s="19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6"/>
      <c r="D220" s="37"/>
      <c r="E220" s="19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6"/>
      <c r="D221" s="37"/>
      <c r="E221" s="19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6"/>
      <c r="D222" s="37"/>
      <c r="E222" s="19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6"/>
      <c r="D223" s="37"/>
      <c r="E223" s="19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6"/>
      <c r="D224" s="37"/>
      <c r="E224" s="19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6"/>
      <c r="D225" s="37"/>
      <c r="E225" s="19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6"/>
      <c r="D226" s="37"/>
      <c r="E226" s="19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6"/>
      <c r="D227" s="37"/>
      <c r="E227" s="19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6"/>
      <c r="D228" s="37"/>
      <c r="E228" s="19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6"/>
      <c r="D229" s="37"/>
      <c r="E229" s="19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6"/>
      <c r="D230" s="37"/>
      <c r="E230" s="19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6"/>
      <c r="D231" s="37"/>
      <c r="E231" s="19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6"/>
      <c r="D232" s="37"/>
      <c r="E232" s="19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6"/>
      <c r="D233" s="37"/>
      <c r="E233" s="19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6"/>
      <c r="D234" s="37"/>
      <c r="E234" s="19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6"/>
      <c r="D235" s="37"/>
      <c r="E235" s="19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6"/>
      <c r="D236" s="37"/>
      <c r="E236" s="19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6"/>
      <c r="D237" s="37"/>
      <c r="E237" s="19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6"/>
      <c r="D238" s="37"/>
      <c r="E238" s="19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6"/>
      <c r="D239" s="37"/>
      <c r="E239" s="19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6"/>
      <c r="D240" s="37"/>
      <c r="E240" s="19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6"/>
      <c r="D241" s="37"/>
      <c r="E241" s="19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6"/>
      <c r="D242" s="37"/>
      <c r="E242" s="19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6"/>
      <c r="D243" s="37"/>
      <c r="E243" s="19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6"/>
      <c r="D244" s="37"/>
      <c r="E244" s="19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6"/>
      <c r="D245" s="37"/>
      <c r="E245" s="19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6"/>
      <c r="D246" s="37"/>
      <c r="E246" s="19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6"/>
      <c r="D247" s="37"/>
      <c r="E247" s="19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6"/>
      <c r="D248" s="37"/>
      <c r="E248" s="19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6"/>
      <c r="D249" s="37"/>
      <c r="E249" s="19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6"/>
      <c r="D250" s="37"/>
      <c r="E250" s="19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6"/>
      <c r="D251" s="37"/>
      <c r="E251" s="19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6"/>
      <c r="D252" s="37"/>
      <c r="E252" s="19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6"/>
      <c r="D253" s="37"/>
      <c r="E253" s="19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6"/>
      <c r="D254" s="37"/>
      <c r="E254" s="19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6"/>
      <c r="D255" s="37"/>
      <c r="E255" s="19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6"/>
      <c r="D256" s="37"/>
      <c r="E256" s="19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6"/>
      <c r="D257" s="37"/>
      <c r="E257" s="19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6"/>
      <c r="D258" s="37"/>
      <c r="E258" s="19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6"/>
      <c r="D259" s="37"/>
      <c r="E259" s="19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6"/>
      <c r="D260" s="37"/>
      <c r="E260" s="19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6"/>
      <c r="D261" s="37"/>
      <c r="E261" s="19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6"/>
      <c r="D262" s="37"/>
      <c r="E262" s="19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6"/>
      <c r="D263" s="37"/>
      <c r="E263" s="19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6"/>
      <c r="D264" s="37"/>
      <c r="E264" s="19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6"/>
      <c r="D265" s="37"/>
      <c r="E265" s="19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6"/>
      <c r="D266" s="37"/>
      <c r="E266" s="19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6"/>
      <c r="D267" s="37"/>
      <c r="E267" s="19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6"/>
      <c r="D268" s="37"/>
      <c r="E268" s="19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6"/>
      <c r="D269" s="37"/>
      <c r="E269" s="19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6"/>
      <c r="D270" s="37"/>
      <c r="E270" s="19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6"/>
      <c r="D271" s="37"/>
      <c r="E271" s="19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6"/>
      <c r="D272" s="37"/>
      <c r="E272" s="19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6"/>
      <c r="D273" s="37"/>
      <c r="E273" s="19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6"/>
      <c r="D274" s="37"/>
      <c r="E274" s="19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6"/>
      <c r="D275" s="37"/>
      <c r="E275" s="19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6"/>
      <c r="D276" s="37"/>
      <c r="E276" s="19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6"/>
      <c r="D277" s="37"/>
      <c r="E277" s="19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6"/>
      <c r="D278" s="37"/>
      <c r="E278" s="19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6"/>
      <c r="D279" s="37"/>
      <c r="E279" s="19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6"/>
      <c r="D280" s="37"/>
      <c r="E280" s="19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6"/>
      <c r="D281" s="37"/>
      <c r="E281" s="19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6"/>
      <c r="D282" s="37"/>
      <c r="E282" s="19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6"/>
      <c r="D283" s="37"/>
      <c r="E283" s="19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6"/>
      <c r="D284" s="37"/>
      <c r="E284" s="19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6"/>
      <c r="D285" s="37"/>
      <c r="E285" s="19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6"/>
      <c r="D286" s="37"/>
      <c r="E286" s="19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6"/>
      <c r="D287" s="37"/>
      <c r="E287" s="19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6"/>
      <c r="D288" s="37"/>
      <c r="E288" s="19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6"/>
      <c r="D289" s="37"/>
      <c r="E289" s="19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6"/>
      <c r="D290" s="37"/>
      <c r="E290" s="19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6"/>
      <c r="D291" s="37"/>
      <c r="E291" s="19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6"/>
      <c r="D292" s="37"/>
      <c r="E292" s="19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6"/>
      <c r="D293" s="37"/>
      <c r="E293" s="19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6"/>
      <c r="D294" s="37"/>
      <c r="E294" s="19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6"/>
      <c r="D295" s="37"/>
      <c r="E295" s="19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6"/>
      <c r="D296" s="37"/>
      <c r="E296" s="19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6"/>
      <c r="D297" s="37"/>
      <c r="E297" s="19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6"/>
      <c r="D298" s="37"/>
      <c r="E298" s="19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6"/>
      <c r="D299" s="37"/>
      <c r="E299" s="19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6"/>
      <c r="D300" s="37"/>
      <c r="E300" s="19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6"/>
      <c r="D301" s="37"/>
      <c r="E301" s="19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