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<sst xmlns="http://schemas.openxmlformats.org/spreadsheetml/2006/main" count="118" uniqueCount="116">
  <si>
    <t>HOJA DE CALCULO FERRETERIA</t>
  </si>
  <si>
    <t>CODIGO</t>
  </si>
  <si>
    <t>CANTIDAD</t>
  </si>
  <si>
    <t>DESCRIPCION</t>
  </si>
  <si>
    <t>TOTAL</t>
  </si>
  <si>
    <t>HORA</t>
  </si>
  <si>
    <t>CUADRAR</t>
  </si>
  <si>
    <t>focos 60 w</t>
  </si>
  <si>
    <t>piton maco</t>
  </si>
  <si>
    <t>MONEDAS</t>
  </si>
  <si>
    <t>CAJA CHICA</t>
  </si>
  <si>
    <t>ramplus</t>
  </si>
  <si>
    <t>BILLETES 10-20</t>
  </si>
  <si>
    <t>TOTAL VENTAS DIA</t>
  </si>
  <si>
    <t>chip</t>
  </si>
  <si>
    <t>BILLETES 50-100-200</t>
  </si>
  <si>
    <t>AUMENTO DE DINERO</t>
  </si>
  <si>
    <t>llavero</t>
  </si>
  <si>
    <t>INGRESOS YAPE</t>
  </si>
  <si>
    <t>ramls 6</t>
  </si>
  <si>
    <t>INGRESOS TARJETA</t>
  </si>
  <si>
    <t xml:space="preserve">ramplu ladirllo </t>
  </si>
  <si>
    <t>GASTOS VARIOS</t>
  </si>
  <si>
    <t>chip 4,4</t>
  </si>
  <si>
    <t>3 doc</t>
  </si>
  <si>
    <t>ramplu 8</t>
  </si>
  <si>
    <t>DINERO GANADO HOY:</t>
  </si>
  <si>
    <t>CANTIDAD DINERO CAJA:</t>
  </si>
  <si>
    <t>tiraf 1/4</t>
  </si>
  <si>
    <t>broca flecha</t>
  </si>
  <si>
    <t>niple 1/2</t>
  </si>
  <si>
    <t xml:space="preserve">rastrillo artezanal </t>
  </si>
  <si>
    <t>desarmador recersib</t>
  </si>
  <si>
    <t>llave stilson</t>
  </si>
  <si>
    <t>YAPE MAMÁ</t>
  </si>
  <si>
    <t>YAPE PAPÁ</t>
  </si>
  <si>
    <t>YAPE</t>
  </si>
  <si>
    <t>caja jadever</t>
  </si>
  <si>
    <t>Monto Total YAPE (No tocar):</t>
  </si>
  <si>
    <t xml:space="preserve">llace silson </t>
  </si>
  <si>
    <t>theee</t>
  </si>
  <si>
    <t>Monto Total Registrado en aplicacion</t>
  </si>
  <si>
    <t xml:space="preserve">cemento cola </t>
  </si>
  <si>
    <t>tapon hembra</t>
  </si>
  <si>
    <t>resistenci lo res</t>
  </si>
  <si>
    <t xml:space="preserve">soquet </t>
  </si>
  <si>
    <t>sellador de pintura</t>
  </si>
  <si>
    <t>broch aatlas 3</t>
  </si>
  <si>
    <t>brocha atlas 4</t>
  </si>
  <si>
    <t>correcto de distancia atlas</t>
  </si>
  <si>
    <t>PAGOS YAPE</t>
  </si>
  <si>
    <t>DESCRIPCION PAGO</t>
  </si>
  <si>
    <t>bandeja</t>
  </si>
  <si>
    <t>carpicola 75 ml</t>
  </si>
  <si>
    <t>pulpito</t>
  </si>
  <si>
    <t xml:space="preserve">juagod e desamadora </t>
  </si>
  <si>
    <t>manguera tramonta</t>
  </si>
  <si>
    <t>broca truepr</t>
  </si>
  <si>
    <t>lija 1000</t>
  </si>
  <si>
    <t>lija2000</t>
  </si>
  <si>
    <t>lija 1500</t>
  </si>
  <si>
    <t>lijas 600</t>
  </si>
  <si>
    <t>arandera</t>
  </si>
  <si>
    <t>reistencia lorenze</t>
  </si>
  <si>
    <t xml:space="preserve">M CAÑERIA </t>
  </si>
  <si>
    <t xml:space="preserve">GRIFO </t>
  </si>
  <si>
    <t>CODO1/2</t>
  </si>
  <si>
    <t>TAPA DE INODORON</t>
  </si>
  <si>
    <t>PIGMENTO</t>
  </si>
  <si>
    <t>DISCO PULR CONCRETO 7</t>
  </si>
  <si>
    <t>DISCO GASLLETA 9</t>
  </si>
  <si>
    <t>DSICO LIJA</t>
  </si>
  <si>
    <t>DISCO LIJA</t>
  </si>
  <si>
    <t>DANDA DO MOTO 43923</t>
  </si>
  <si>
    <t>TOMAS MARICIO BLANC</t>
  </si>
  <si>
    <t>PLACA DOBLE MARI</t>
  </si>
  <si>
    <t xml:space="preserve">TUBOX </t>
  </si>
  <si>
    <t>REMACHADOARA</t>
  </si>
  <si>
    <t>ALDABA</t>
  </si>
  <si>
    <t>SILCIONA TRNASPARENTE</t>
  </si>
  <si>
    <t>BISAGRAS 11/2</t>
  </si>
  <si>
    <t>CLAVO CALAMINA</t>
  </si>
  <si>
    <t>ALAMBRES DE AMARRE</t>
  </si>
  <si>
    <t>KL CLAO 21/2</t>
  </si>
  <si>
    <t>SOPAPAP</t>
  </si>
  <si>
    <t>CLEFA FORTE</t>
  </si>
  <si>
    <t>DSICO GALEETA</t>
  </si>
  <si>
    <t>PLIAS D DURACEL</t>
  </si>
  <si>
    <t>AMOLADORA INALAMBRICA</t>
  </si>
  <si>
    <t>PISTOLA DE SILICONA</t>
  </si>
  <si>
    <t>BROCA PUNTA FLECHA</t>
  </si>
  <si>
    <t>CALRFA 100</t>
  </si>
  <si>
    <t>CODO DESGUE 2</t>
  </si>
  <si>
    <t>CANDADO TR</t>
  </si>
  <si>
    <t>DOBLE CONTACTO 3M</t>
  </si>
  <si>
    <t>DEBOR 4MM FIERRO</t>
  </si>
  <si>
    <t>HIDROPISTOLA TR</t>
  </si>
  <si>
    <t>MASRTILLO CHAPERO</t>
  </si>
  <si>
    <t>SILICON</t>
  </si>
  <si>
    <t>6M</t>
  </si>
  <si>
    <t>MANGUERA NIVEL 5/16</t>
  </si>
  <si>
    <t>BRAZO DE DUCHA 40CM</t>
  </si>
  <si>
    <t>GANGOCHO ESCOMBRO</t>
  </si>
  <si>
    <t>PILAS AA</t>
  </si>
  <si>
    <t>SISETECIA NEGRO</t>
  </si>
  <si>
    <t>BROCHA ROJAS</t>
  </si>
  <si>
    <t>AEROSOL AMARILLO</t>
  </si>
  <si>
    <t>JUEGO ACIPLES DE RIEGO TOLSEN</t>
  </si>
  <si>
    <t>IHIDRO PISTOLA TRUPER</t>
  </si>
  <si>
    <t>PICO 1/2</t>
  </si>
  <si>
    <t>regleta 25a</t>
  </si>
  <si>
    <t>juego de tijera</t>
  </si>
  <si>
    <t>LLAVE CRECEN</t>
  </si>
  <si>
    <t>ANTICORROSIVO ALUMINIO</t>
  </si>
  <si>
    <t>GRAMPA</t>
  </si>
  <si>
    <t>CLAVE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</si>
</sst>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9.0</v>
      </c>
      <c r="E8" s="8">
        <v>46285.390244062495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16.0</v>
      </c>
      <c r="E9" s="8">
        <v>46285.393151435186</v>
      </c>
      <c r="F9" s="2"/>
      <c r="G9" s="9" t="s">
        <v>9</v>
      </c>
      <c r="H9" s="10">
        <v>157.0</v>
      </c>
      <c r="I9" s="2"/>
      <c r="J9" s="9" t="s">
        <v>10</v>
      </c>
      <c r="K9" s="10">
        <v>764.0</v>
      </c>
      <c r="L9" s="2"/>
      <c r="M9" s="2"/>
      <c r="N9" s="2"/>
      <c r="O9" s="2"/>
      <c r="P9" s="2"/>
      <c r="Q9" s="2"/>
    </row>
    <row r="10" ht="22.5" customHeight="1">
      <c r="A10" s="6"/>
      <c r="B10" s="6">
        <v>48.0</v>
      </c>
      <c r="C10" s="7" t="s">
        <v>11</v>
      </c>
      <c r="D10" s="6">
        <v>12.0</v>
      </c>
      <c r="E10" s="8">
        <v>46285.40575336806</v>
      </c>
      <c r="F10" s="2"/>
      <c r="G10" s="9" t="s">
        <v>12</v>
      </c>
      <c r="H10" s="10">
        <v>370.0</v>
      </c>
      <c r="I10" s="2"/>
      <c r="J10" s="9" t="s">
        <v>13</v>
      </c>
      <c r="K10" s="11">
        <f>SUM(PRINCIPAL[TOTAL])</f>
        <v>4653.5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48.0</v>
      </c>
      <c r="C11" s="7" t="s">
        <v>14</v>
      </c>
      <c r="D11" s="6">
        <v>12.0</v>
      </c>
      <c r="E11" s="8">
        <v>46285.4057991088</v>
      </c>
      <c r="F11" s="2"/>
      <c r="G11" s="9" t="s">
        <v>15</v>
      </c>
      <c r="H11" s="10">
        <v>3400.0</v>
      </c>
      <c r="I11" s="2"/>
      <c r="J11" s="9" t="s">
        <v>16</v>
      </c>
      <c r="K11" s="10">
        <v>165.0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22.0</v>
      </c>
      <c r="E12" s="8">
        <v>46285.40585064815</v>
      </c>
      <c r="F12" s="2"/>
      <c r="G12" s="9" t="s">
        <v>18</v>
      </c>
      <c r="H12" s="12">
        <f>SUM(G24:H361)</f>
        <v>1595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48.0</v>
      </c>
      <c r="C13" s="7" t="s">
        <v>19</v>
      </c>
      <c r="D13" s="6">
        <v>4.5</v>
      </c>
      <c r="E13" s="8">
        <v>46285.422809930555</v>
      </c>
      <c r="F13" s="2"/>
      <c r="G13" s="9" t="s">
        <v>20</v>
      </c>
      <c r="H13" s="10">
        <v>115.0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48.0</v>
      </c>
      <c r="C14" s="7" t="s">
        <v>21</v>
      </c>
      <c r="D14" s="6">
        <v>12.5</v>
      </c>
      <c r="E14" s="8">
        <v>46285.42286693287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48.0</v>
      </c>
      <c r="C15" s="7" t="s">
        <v>23</v>
      </c>
      <c r="D15" s="6">
        <v>6.0</v>
      </c>
      <c r="E15" s="8">
        <v>46285.42302199074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7.0</v>
      </c>
      <c r="E16" s="8">
        <v>46285.42553864583</v>
      </c>
      <c r="F16" s="2"/>
      <c r="G16" s="15" t="s">
        <v>26</v>
      </c>
      <c r="H16" s="16">
        <f>SUM(H9:H14)</f>
        <v>5637</v>
      </c>
      <c r="I16" s="3"/>
      <c r="J16" s="15" t="s">
        <v>27</v>
      </c>
      <c r="K16" s="16">
        <f>SUM(K9:K11)</f>
        <v>5582.5</v>
      </c>
      <c r="L16" s="2"/>
      <c r="M16" s="2"/>
      <c r="N16" s="2"/>
      <c r="O16" s="2"/>
      <c r="P16" s="2"/>
      <c r="Q16" s="2"/>
    </row>
    <row r="17" ht="22.5" customHeight="1">
      <c r="A17" s="13"/>
      <c r="B17" s="6" t="s">
        <v>24</v>
      </c>
      <c r="C17" s="7" t="s">
        <v>28</v>
      </c>
      <c r="D17" s="6">
        <v>24.0</v>
      </c>
      <c r="E17" s="8">
        <v>46285.42568543981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42.0</v>
      </c>
      <c r="E18" s="8">
        <v>46285.42588833334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54,50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6">
        <v>5.0</v>
      </c>
      <c r="E19" s="8">
        <v>46285.442750625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68.0</v>
      </c>
      <c r="E20" s="8">
        <v>46285.44592565972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10.0</v>
      </c>
      <c r="E21" s="8">
        <v>46285.46172133102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7.0</v>
      </c>
      <c r="E22" s="8">
        <v>46285.46177628472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35.0</v>
      </c>
      <c r="E23" s="8">
        <v>46285.46200458333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70.0</v>
      </c>
      <c r="E24" s="8">
        <v>46285.46206251158</v>
      </c>
      <c r="F24" s="2"/>
      <c r="G24" s="22">
        <v>23.0</v>
      </c>
      <c r="H24" s="23"/>
      <c r="I24" s="2"/>
      <c r="J24" s="24" t="s">
        <v>38</v>
      </c>
      <c r="K24" s="25">
        <f>SUM(INGRESOS_YAPE[])</f>
        <v>1595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42.0</v>
      </c>
      <c r="E25" s="8">
        <v>46285.47045450231</v>
      </c>
      <c r="F25" s="2"/>
      <c r="G25" s="22">
        <v>73.0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38.0</v>
      </c>
      <c r="E26" s="8">
        <v>46285.47095275463</v>
      </c>
      <c r="F26" s="2"/>
      <c r="G26" s="26">
        <v>5.0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31.0</v>
      </c>
      <c r="E27" s="8">
        <v>46285.47120677083</v>
      </c>
      <c r="F27" s="2"/>
      <c r="G27" s="22">
        <v>68.0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3.0</v>
      </c>
      <c r="E28" s="8">
        <v>46285.47130395833</v>
      </c>
      <c r="F28" s="2"/>
      <c r="G28" s="22">
        <v>3.0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28.0</v>
      </c>
      <c r="E29" s="8">
        <v>46285.471387129626</v>
      </c>
      <c r="F29" s="2"/>
      <c r="G29" s="22">
        <v>35.0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1595,00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9.0</v>
      </c>
      <c r="E30" s="8">
        <v>46285.47819033565</v>
      </c>
      <c r="F30" s="2"/>
      <c r="G30" s="22">
        <v>169.0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95.0</v>
      </c>
      <c r="E31" s="8">
        <v>46285.478572314816</v>
      </c>
      <c r="F31" s="2"/>
      <c r="G31" s="22">
        <v>149.0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26.0</v>
      </c>
      <c r="E32" s="8">
        <v>46285.47867971065</v>
      </c>
      <c r="F32" s="2"/>
      <c r="G32" s="22">
        <v>17.0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27.0</v>
      </c>
      <c r="E33" s="8">
        <v>46285.47873282408</v>
      </c>
      <c r="F33" s="2"/>
      <c r="G33" s="22">
        <v>55.0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49</v>
      </c>
      <c r="D34" s="6">
        <v>110.0</v>
      </c>
      <c r="E34" s="8">
        <v>46285.47884011574</v>
      </c>
      <c r="F34" s="2"/>
      <c r="G34" s="22">
        <v>78.0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19.0</v>
      </c>
      <c r="E35" s="8">
        <v>46285.47888689815</v>
      </c>
      <c r="F35" s="2"/>
      <c r="G35" s="22">
        <v>5.0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10.0</v>
      </c>
      <c r="E36" s="8">
        <v>46285.479004849534</v>
      </c>
      <c r="F36" s="2"/>
      <c r="G36" s="22">
        <v>27.0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73.0</v>
      </c>
      <c r="E37" s="8">
        <v>46285.48457222222</v>
      </c>
      <c r="F37" s="2"/>
      <c r="G37" s="22">
        <v>116.0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38.0</v>
      </c>
      <c r="E38" s="8">
        <v>46285.48878746528</v>
      </c>
      <c r="F38" s="2"/>
      <c r="G38" s="22">
        <v>19.0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10.0</v>
      </c>
      <c r="C39" s="7" t="s">
        <v>56</v>
      </c>
      <c r="D39" s="6">
        <v>70.0</v>
      </c>
      <c r="E39" s="8">
        <v>46285.49117871528</v>
      </c>
      <c r="F39" s="2"/>
      <c r="G39" s="22">
        <v>310.0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42.0</v>
      </c>
      <c r="E40" s="8">
        <v>46285.519663784726</v>
      </c>
      <c r="F40" s="2"/>
      <c r="G40" s="22">
        <v>54.0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12.0</v>
      </c>
      <c r="E41" s="8">
        <v>46285.5002088426</v>
      </c>
      <c r="F41" s="2"/>
      <c r="G41" s="22">
        <v>39.0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12.0</v>
      </c>
      <c r="E42" s="8">
        <v>46285.500349884256</v>
      </c>
      <c r="F42" s="2"/>
      <c r="G42" s="22">
        <v>87.0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12.0</v>
      </c>
      <c r="E43" s="8">
        <v>46285.500462337965</v>
      </c>
      <c r="F43" s="2"/>
      <c r="G43" s="22">
        <v>42.0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61</v>
      </c>
      <c r="D44" s="6">
        <v>16.0</v>
      </c>
      <c r="E44" s="8">
        <v>46285.500580023145</v>
      </c>
      <c r="F44" s="2"/>
      <c r="G44" s="22">
        <v>69.0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24.0</v>
      </c>
      <c r="C45" s="7" t="s">
        <v>62</v>
      </c>
      <c r="D45" s="6">
        <v>5.0</v>
      </c>
      <c r="E45" s="8">
        <v>46285.51332604166</v>
      </c>
      <c r="F45" s="2"/>
      <c r="G45" s="22">
        <v>152.0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20.0</v>
      </c>
      <c r="E46" s="8">
        <v>46285.51956388888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10.0</v>
      </c>
      <c r="E47" s="8">
        <v>46286.35714059028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120.0</v>
      </c>
      <c r="E48" s="8">
        <v>46286.357176053236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4.0</v>
      </c>
      <c r="E49" s="8">
        <v>46286.35721825231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142.0</v>
      </c>
      <c r="E50" s="8">
        <v>46286.35727152778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10.0</v>
      </c>
      <c r="E51" s="8">
        <v>46286.35731651621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149.0</v>
      </c>
      <c r="E52" s="8">
        <v>46286.363709247686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20.0</v>
      </c>
      <c r="E53" s="8">
        <v>46286.36383364583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25.0</v>
      </c>
      <c r="E54" s="8">
        <v>46286.3831244676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16.0</v>
      </c>
      <c r="E55" s="8">
        <v>46286.383332314814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33">
        <v>77.0</v>
      </c>
      <c r="E56" s="8">
        <v>46286.396187199076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4.0</v>
      </c>
      <c r="C57" s="7" t="s">
        <v>74</v>
      </c>
      <c r="D57" s="6">
        <v>48.0</v>
      </c>
      <c r="E57" s="8">
        <v>46286.396445578706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75</v>
      </c>
      <c r="D58" s="6">
        <v>24.0</v>
      </c>
      <c r="E58" s="8">
        <v>46286.39664917824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17.0</v>
      </c>
      <c r="E59" s="8">
        <v>46286.41049238426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55.0</v>
      </c>
      <c r="E60" s="8">
        <v>46286.41748940972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5.0</v>
      </c>
      <c r="E61" s="8">
        <v>46286.418822569445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33.0</v>
      </c>
      <c r="E62" s="8">
        <v>46286.41890113426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80</v>
      </c>
      <c r="D63" s="6">
        <v>4.5</v>
      </c>
      <c r="E63" s="8">
        <v>46286.41897892361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40.0</v>
      </c>
      <c r="E64" s="8">
        <v>46286.42162057871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20.0</v>
      </c>
      <c r="E65" s="8">
        <v>46286.42972756944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83</v>
      </c>
      <c r="D66" s="6">
        <v>24.0</v>
      </c>
      <c r="E66" s="8">
        <v>46286.42978943287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78.0</v>
      </c>
      <c r="E67" s="8">
        <v>46286.43059797454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17.0</v>
      </c>
      <c r="E68" s="8">
        <v>46286.43295973379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86</v>
      </c>
      <c r="D69" s="6">
        <v>5.0</v>
      </c>
      <c r="E69" s="8">
        <v>46286.44469939815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75.0</v>
      </c>
      <c r="E70" s="8">
        <v>46286.449707395834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88</v>
      </c>
      <c r="D71" s="6">
        <v>640.0</v>
      </c>
      <c r="E71" s="8">
        <v>46286.4498121412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89</v>
      </c>
      <c r="D72" s="33">
        <v>26.0</v>
      </c>
      <c r="E72" s="8">
        <v>46286.45062664352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90</v>
      </c>
      <c r="D73" s="6">
        <v>44.0</v>
      </c>
      <c r="E73" s="8">
        <v>46286.450956898145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91</v>
      </c>
      <c r="D74" s="6">
        <v>17.0</v>
      </c>
      <c r="E74" s="8">
        <v>46286.46335496528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92</v>
      </c>
      <c r="D75" s="6">
        <v>10.0</v>
      </c>
      <c r="E75" s="8">
        <v>46286.46341621528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93</v>
      </c>
      <c r="D76" s="33">
        <v>116.0</v>
      </c>
      <c r="E76" s="8">
        <v>46286.46496762731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94</v>
      </c>
      <c r="D77" s="6">
        <v>310.0</v>
      </c>
      <c r="E77" s="8">
        <v>46286.48136696759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95</v>
      </c>
      <c r="D78" s="6">
        <v>19.0</v>
      </c>
      <c r="E78" s="8">
        <v>46286.48343158565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54.0</v>
      </c>
      <c r="E79" s="8">
        <v>46286.49343795139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115.0</v>
      </c>
      <c r="E80" s="8">
        <v>46286.49904782407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34.0</v>
      </c>
      <c r="E81" s="8">
        <v>46286.556892395834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 t="s">
        <v>99</v>
      </c>
      <c r="C82" s="7" t="s">
        <v>100</v>
      </c>
      <c r="D82" s="6">
        <v>39.0</v>
      </c>
      <c r="E82" s="8">
        <v>46286.590299143514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101</v>
      </c>
      <c r="D83" s="6">
        <v>87.0</v>
      </c>
      <c r="E83" s="8">
        <v>46286.6004321875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3.0</v>
      </c>
      <c r="C84" s="7" t="s">
        <v>102</v>
      </c>
      <c r="D84" s="6">
        <v>18.0</v>
      </c>
      <c r="E84" s="8">
        <v>46286.60664835648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4.0</v>
      </c>
      <c r="C85" s="7" t="s">
        <v>103</v>
      </c>
      <c r="D85" s="6">
        <v>24.0</v>
      </c>
      <c r="E85" s="8">
        <v>46286.62448103009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104</v>
      </c>
      <c r="D86" s="6">
        <v>60.0</v>
      </c>
      <c r="E86" s="8">
        <v>46286.624582557866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105</v>
      </c>
      <c r="D87" s="6">
        <v>6.0</v>
      </c>
      <c r="E87" s="8">
        <v>46286.62462451389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106</v>
      </c>
      <c r="D88" s="6">
        <v>20.0</v>
      </c>
      <c r="E88" s="8">
        <v>46286.62467578704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107</v>
      </c>
      <c r="D89" s="6">
        <v>40.0</v>
      </c>
      <c r="E89" s="8">
        <v>46286.627262071765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108</v>
      </c>
      <c r="D90" s="6">
        <v>86.0</v>
      </c>
      <c r="E90" s="8">
        <v>46286.62735134259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109</v>
      </c>
      <c r="D91" s="6">
        <v>7.0</v>
      </c>
      <c r="E91" s="8">
        <v>46286.627401261576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110</v>
      </c>
      <c r="D92" s="6">
        <v>69.0</v>
      </c>
      <c r="E92" s="8">
        <v>46286.66370844908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111</v>
      </c>
      <c r="D93" s="6">
        <v>198.0</v>
      </c>
      <c r="E93" s="8">
        <v>46286.67773043981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112</v>
      </c>
      <c r="D94" s="6">
        <v>63.0</v>
      </c>
      <c r="E94" s="8">
        <v>46286.713396817126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2.0</v>
      </c>
      <c r="C95" s="7" t="s">
        <v>113</v>
      </c>
      <c r="D95" s="6">
        <v>152.0</v>
      </c>
      <c r="E95" s="8">
        <v>46286.77251869213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114</v>
      </c>
      <c r="D96" s="6">
        <v>123.0</v>
      </c>
      <c r="E96" s="8">
        <v>46286.77781746528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115</v>
      </c>
      <c r="D97" s="6">
        <v>158.0</v>
      </c>
      <c r="E97" s="8">
        <v>46286.77783284722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