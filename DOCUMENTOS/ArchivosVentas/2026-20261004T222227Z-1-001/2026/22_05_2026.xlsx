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<sst xmlns="http://schemas.openxmlformats.org/spreadsheetml/2006/main" count="98" uniqueCount="93">
  <si>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</si>
  <si>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</si>
  <si>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</si>
  <si>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</si>
  <si>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</si>
  <si>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</si>
  <si>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</si>
  <si>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m malla hexagonal </t>
  </si>
  <si>
    <t>disco conreto uyus 9</t>
  </si>
  <si>
    <t>MONEDAS</t>
  </si>
  <si>
    <t>CAJA CHICA</t>
  </si>
  <si>
    <t>1/2m</t>
  </si>
  <si>
    <t>lija 50</t>
  </si>
  <si>
    <t>BILLETES 10-20</t>
  </si>
  <si>
    <t>TOTAL VENTAS DIA</t>
  </si>
  <si>
    <t>disco conceto uyus 7</t>
  </si>
  <si>
    <t>BILLETES 50-100-200</t>
  </si>
  <si>
    <t>AUMENTO DE DINERO</t>
  </si>
  <si>
    <t>SUMIDERO ASTRA</t>
  </si>
  <si>
    <t>INGRESOS YAPE</t>
  </si>
  <si>
    <t>BROCA FIERRO DEBOR 12</t>
  </si>
  <si>
    <t>INGRESOS TARJETA</t>
  </si>
  <si>
    <t>BROCHA ATAS NEGRA</t>
  </si>
  <si>
    <t>GASTOS VARIOS</t>
  </si>
  <si>
    <t>BROCA ESCASTRE 14</t>
  </si>
  <si>
    <t>TUBO DESAGUE 11/2 TIGRE</t>
  </si>
  <si>
    <t>DINERO GANADO HOY:</t>
  </si>
  <si>
    <t>CANTIDAD DINERO CAJA:</t>
  </si>
  <si>
    <t xml:space="preserve">LLAVE CADENA </t>
  </si>
  <si>
    <t>REJILLA DE LABAPLATOS</t>
  </si>
  <si>
    <t>SIERRA CALADORA</t>
  </si>
  <si>
    <t>LLVE ALEN</t>
  </si>
  <si>
    <t>GUASNTE TR</t>
  </si>
  <si>
    <t>GUANTE M</t>
  </si>
  <si>
    <t>CAJA DE DISTRIBUCION 10X10</t>
  </si>
  <si>
    <t>YAPE MAMÁ</t>
  </si>
  <si>
    <t>YAPE PAPÁ</t>
  </si>
  <si>
    <t>YAPE</t>
  </si>
  <si>
    <t>CAÑERIA DE 1/2</t>
  </si>
  <si>
    <t>Monto Total YAPE (No tocar):</t>
  </si>
  <si>
    <t>BROCA 6 H</t>
  </si>
  <si>
    <t>CAJA DE GRAMPAS</t>
  </si>
  <si>
    <t>Monto Total Registrado en aplicacion</t>
  </si>
  <si>
    <t>CHIP</t>
  </si>
  <si>
    <t>RAMPLU</t>
  </si>
  <si>
    <t>BROCA IRWIN 3</t>
  </si>
  <si>
    <t>POXILINA</t>
  </si>
  <si>
    <t>POXOPOL</t>
  </si>
  <si>
    <t>CINTA ASILANTE</t>
  </si>
  <si>
    <t>TEFLON</t>
  </si>
  <si>
    <t>PAGOS YAPE</t>
  </si>
  <si>
    <t>DESCRIPCION PAGO</t>
  </si>
  <si>
    <t>RODILLO 5CM</t>
  </si>
  <si>
    <t>LIMA PLANA</t>
  </si>
  <si>
    <t>LIMA REDONDA</t>
  </si>
  <si>
    <t>PISTOLA DE CALOR TOTAL</t>
  </si>
  <si>
    <t>BARRA DE ESTAÑO</t>
  </si>
  <si>
    <t>CLEFA</t>
  </si>
  <si>
    <t>ALICATE PUNTA TR</t>
  </si>
  <si>
    <t>BROCHA 2 1/2</t>
  </si>
  <si>
    <t>BROCAH 3</t>
  </si>
  <si>
    <t>RODILLOESPONJA</t>
  </si>
  <si>
    <t>MASQUIN 1</t>
  </si>
  <si>
    <t>PINTURA MARRON SINTETICA 3.5</t>
  </si>
  <si>
    <t>DSICO COTE 9 UYUS</t>
  </si>
  <si>
    <t>KLALAMBRE DE AMRRET</t>
  </si>
  <si>
    <t>AMOLADORA TOTAL</t>
  </si>
  <si>
    <t>DISOC FLAP</t>
  </si>
  <si>
    <t xml:space="preserve">AEROSOSL </t>
  </si>
  <si>
    <t>DADO 12</t>
  </si>
  <si>
    <t>AKFI 705</t>
  </si>
  <si>
    <t xml:space="preserve">CORTA VIDRIO </t>
  </si>
  <si>
    <t>CINA CRISTA{</t>
  </si>
  <si>
    <t xml:space="preserve">LLAVE COMBIINA </t>
  </si>
  <si>
    <t>RUEDA FLPA</t>
  </si>
  <si>
    <t>RUED FALP</t>
  </si>
  <si>
    <t>DADO TORK</t>
  </si>
  <si>
    <t>JUEGO LLAVES ALEN</t>
  </si>
  <si>
    <t>CHAPA LION</t>
  </si>
  <si>
    <t>MALETA TRIPLE TR</t>
  </si>
  <si>
    <t>SUPER GLU</t>
  </si>
  <si>
    <t>HIDROPISTOLA</t>
  </si>
  <si>
    <t>PICO</t>
  </si>
  <si>
    <t>ACOPLE RAPIDO</t>
  </si>
  <si>
    <t>A40</t>
  </si>
  <si>
    <t>MT CARTON ASF</t>
  </si>
  <si>
    <t>REGLETA</t>
  </si>
  <si>
    <t>NITROLAC PASAD</t>
  </si>
  <si>
    <t>CORTATUBO</t>
  </si>
  <si>
    <t>SILICON</t>
  </si>
  <si>
    <t xml:space="preserve">BROCA </t>
  </si>
  <si>
    <t>FLEXO</t>
  </si>
  <si>
    <t>POXIPOL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</si>
</sst>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10.0</v>
      </c>
      <c r="C8" s="7" t="s">
        <v>7</v>
      </c>
      <c r="D8" s="6">
        <v>60.0</v>
      </c>
      <c r="E8" s="8">
        <v>46164.36185372685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126.0</v>
      </c>
      <c r="E9" s="8">
        <v>46164.385234699075</v>
      </c>
      <c r="F9" s="2"/>
      <c r="G9" s="9" t="s">
        <v>9</v>
      </c>
      <c r="H9" s="10">
        <v>176.0</v>
      </c>
      <c r="I9" s="2"/>
      <c r="J9" s="9" t="s">
        <v>10</v>
      </c>
      <c r="K9" s="10">
        <v>626.0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11</v>
      </c>
      <c r="C10" s="7" t="s">
        <v>12</v>
      </c>
      <c r="D10" s="6">
        <v>6.0</v>
      </c>
      <c r="E10" s="8">
        <v>46164.38498238426</v>
      </c>
      <c r="F10" s="2"/>
      <c r="G10" s="9" t="s">
        <v>13</v>
      </c>
      <c r="H10" s="10">
        <v>590.0</v>
      </c>
      <c r="I10" s="2"/>
      <c r="J10" s="9" t="s">
        <v>14</v>
      </c>
      <c r="K10" s="11">
        <f>SUM(PRINCIPAL[TOTAL])</f>
        <v>3830.5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53.0</v>
      </c>
      <c r="E11" s="8">
        <v>46164.385314444444</v>
      </c>
      <c r="F11" s="2"/>
      <c r="G11" s="9" t="s">
        <v>16</v>
      </c>
      <c r="H11" s="10">
        <v>2150.0</v>
      </c>
      <c r="I11" s="2"/>
      <c r="J11" s="9" t="s">
        <v>17</v>
      </c>
      <c r="K11" s="10">
        <v>441.0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40.0</v>
      </c>
      <c r="E12" s="8">
        <v>46164.40493747685</v>
      </c>
      <c r="F12" s="2"/>
      <c r="G12" s="9" t="s">
        <v>19</v>
      </c>
      <c r="H12" s="12">
        <f>SUM(G24:H361)</f>
        <v>1981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75.0</v>
      </c>
      <c r="E13" s="8">
        <v>46164.41355431713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13.0</v>
      </c>
      <c r="E14" s="8">
        <v>46164.41136413194</v>
      </c>
      <c r="F14" s="2"/>
      <c r="G14" s="9" t="s">
        <v>23</v>
      </c>
      <c r="H14" s="10">
        <v>10.0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58.0</v>
      </c>
      <c r="E15" s="8">
        <v>46164.41866418981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38.0</v>
      </c>
      <c r="E16" s="8">
        <v>46164.423402835644</v>
      </c>
      <c r="F16" s="2"/>
      <c r="G16" s="15" t="s">
        <v>26</v>
      </c>
      <c r="H16" s="16">
        <f>SUM(H9:H14)</f>
        <v>4907</v>
      </c>
      <c r="I16" s="3"/>
      <c r="J16" s="15" t="s">
        <v>27</v>
      </c>
      <c r="K16" s="16">
        <f>SUM(K9:K11)</f>
        <v>4897.5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236.0</v>
      </c>
      <c r="E17" s="8">
        <v>46164.43728565972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12.0</v>
      </c>
      <c r="E18" s="8">
        <v>46164.44189677083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26.0</v>
      </c>
      <c r="E19" s="8">
        <v>46164.44260283565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8.0</v>
      </c>
      <c r="E20" s="8">
        <v>46164.44265473379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19.0</v>
      </c>
      <c r="E21" s="8">
        <v>46164.446458148144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10.0</v>
      </c>
      <c r="E22" s="8">
        <v>46164.44656070602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12.0</v>
      </c>
      <c r="E23" s="8">
        <v>46164.448439513886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49.0</v>
      </c>
      <c r="E24" s="8">
        <v>46164.45560246528</v>
      </c>
      <c r="F24" s="2"/>
      <c r="G24" s="22">
        <v>60.0</v>
      </c>
      <c r="H24" s="23"/>
      <c r="I24" s="2"/>
      <c r="J24" s="24" t="s">
        <v>39</v>
      </c>
      <c r="K24" s="25">
        <f>SUM(INGRESOS_YAPE[])</f>
        <v>1981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15.0</v>
      </c>
      <c r="E25" s="8">
        <v>46164.455874907406</v>
      </c>
      <c r="F25" s="2"/>
      <c r="G25" s="22">
        <v>40.0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15.0</v>
      </c>
      <c r="E26" s="8">
        <v>46164.456033263894</v>
      </c>
      <c r="F26" s="2"/>
      <c r="G26" s="26">
        <v>91.0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12.0</v>
      </c>
      <c r="C27" s="7" t="s">
        <v>43</v>
      </c>
      <c r="D27" s="6">
        <v>3.0</v>
      </c>
      <c r="E27" s="8">
        <v>46164.456151122686</v>
      </c>
      <c r="F27" s="2"/>
      <c r="G27" s="22">
        <v>12.0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12.0</v>
      </c>
      <c r="C28" s="7" t="s">
        <v>44</v>
      </c>
      <c r="D28" s="6">
        <v>2.0</v>
      </c>
      <c r="E28" s="8">
        <v>46164.456256631944</v>
      </c>
      <c r="F28" s="2"/>
      <c r="G28" s="22">
        <v>196.0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12.0</v>
      </c>
      <c r="E29" s="8">
        <v>46164.46058125</v>
      </c>
      <c r="F29" s="2"/>
      <c r="G29" s="22">
        <v>291.0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1981,00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46</v>
      </c>
      <c r="D30" s="6">
        <v>114.0</v>
      </c>
      <c r="E30" s="8">
        <v>46164.46914685185</v>
      </c>
      <c r="F30" s="2"/>
      <c r="G30" s="22">
        <v>56.0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47</v>
      </c>
      <c r="D31" s="6">
        <v>108.0</v>
      </c>
      <c r="E31" s="8">
        <v>46164.469195937505</v>
      </c>
      <c r="F31" s="2"/>
      <c r="G31" s="22">
        <v>392.0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6.0</v>
      </c>
      <c r="C32" s="7" t="s">
        <v>48</v>
      </c>
      <c r="D32" s="6">
        <v>54.0</v>
      </c>
      <c r="E32" s="8">
        <v>46164.469281087964</v>
      </c>
      <c r="F32" s="2"/>
      <c r="G32" s="22">
        <v>34.0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6.0</v>
      </c>
      <c r="C33" s="7" t="s">
        <v>49</v>
      </c>
      <c r="D33" s="6">
        <v>15.0</v>
      </c>
      <c r="E33" s="8">
        <v>46164.46934149305</v>
      </c>
      <c r="F33" s="2"/>
      <c r="G33" s="22">
        <v>64.0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9.0</v>
      </c>
      <c r="E34" s="8">
        <v>46164.47325814815</v>
      </c>
      <c r="F34" s="2"/>
      <c r="G34" s="22">
        <v>25.0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20.0</v>
      </c>
      <c r="E35" s="8">
        <v>46164.47624481481</v>
      </c>
      <c r="F35" s="2"/>
      <c r="G35" s="22">
        <v>10.0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39.0</v>
      </c>
      <c r="E36" s="8">
        <v>46164.49403980324</v>
      </c>
      <c r="F36" s="2"/>
      <c r="G36" s="22">
        <v>670.0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32.0</v>
      </c>
      <c r="E37" s="8">
        <v>46164.494101793985</v>
      </c>
      <c r="F37" s="2"/>
      <c r="G37" s="22">
        <v>15.0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196.0</v>
      </c>
      <c r="E38" s="8">
        <v>46164.50672123843</v>
      </c>
      <c r="F38" s="2"/>
      <c r="G38" s="22">
        <v>25.0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25.0</v>
      </c>
      <c r="E39" s="8">
        <v>46164.510448368055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26.5</v>
      </c>
      <c r="E40" s="8">
        <v>46164.55436692129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65.0</v>
      </c>
      <c r="E41" s="8">
        <v>46164.58026243055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16.0</v>
      </c>
      <c r="E42" s="8">
        <v>46164.58699070602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18.0</v>
      </c>
      <c r="E43" s="8">
        <v>46164.58703094907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17.0</v>
      </c>
      <c r="E44" s="8">
        <v>46164.58709752315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62</v>
      </c>
      <c r="D45" s="6">
        <v>33.0</v>
      </c>
      <c r="E45" s="8">
        <v>46164.58719329861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207.0</v>
      </c>
      <c r="E46" s="8">
        <v>46164.58731349537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18.0</v>
      </c>
      <c r="E47" s="8">
        <v>46164.58932113426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65</v>
      </c>
      <c r="D48" s="6">
        <v>38.0</v>
      </c>
      <c r="E48" s="8">
        <v>46164.58940765046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380.0</v>
      </c>
      <c r="E49" s="8">
        <v>46164.5900527662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12.0</v>
      </c>
      <c r="E50" s="8">
        <v>46164.59058256944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20.0</v>
      </c>
      <c r="E51" s="8">
        <v>46164.59202885417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38.0</v>
      </c>
      <c r="E52" s="8">
        <v>46164.608262187496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34.0</v>
      </c>
      <c r="E53" s="8">
        <v>46164.617637442134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64.0</v>
      </c>
      <c r="E54" s="8">
        <v>46164.632580833335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45.0</v>
      </c>
      <c r="E55" s="8">
        <v>46164.64840409722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25.0</v>
      </c>
      <c r="E56" s="8">
        <v>46164.66080438657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21.0</v>
      </c>
      <c r="E57" s="8">
        <v>46164.66721193287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14.0</v>
      </c>
      <c r="E58" s="8">
        <v>46164.66726739584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34.0</v>
      </c>
      <c r="E59" s="8">
        <v>46164.6673137037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80.0</v>
      </c>
      <c r="E60" s="8">
        <v>46164.66738315972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10.0</v>
      </c>
      <c r="E61" s="8">
        <v>46164.68250873843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670.0</v>
      </c>
      <c r="E62" s="8">
        <v>46164.68627207176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16.0</v>
      </c>
      <c r="E63" s="8">
        <v>46164.69577665509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79.0</v>
      </c>
      <c r="E64" s="8">
        <v>46164.69586162037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7.0</v>
      </c>
      <c r="E65" s="8">
        <v>46164.69616103009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83</v>
      </c>
      <c r="D66" s="6">
        <v>7.0</v>
      </c>
      <c r="E66" s="8">
        <v>46164.69624525463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30.0</v>
      </c>
      <c r="E67" s="8">
        <v>46164.699913958335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85</v>
      </c>
      <c r="D68" s="6">
        <v>32.0</v>
      </c>
      <c r="E68" s="8">
        <v>46164.72530953704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86</v>
      </c>
      <c r="D69" s="6">
        <v>15.0</v>
      </c>
      <c r="E69" s="8">
        <v>46164.726809189815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25.0</v>
      </c>
      <c r="E70" s="8">
        <v>46164.72933307871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88</v>
      </c>
      <c r="D71" s="6">
        <v>85.0</v>
      </c>
      <c r="E71" s="8">
        <v>46164.73456305556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48</v>
      </c>
      <c r="D72" s="6">
        <v>12.0</v>
      </c>
      <c r="E72" s="8">
        <v>46164.75029505787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78</v>
      </c>
      <c r="D73" s="6">
        <v>10.0</v>
      </c>
      <c r="E73" s="8">
        <v>46164.75040456018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30</v>
      </c>
      <c r="D74" s="6">
        <v>26.0</v>
      </c>
      <c r="E74" s="8">
        <v>46164.75057230324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89</v>
      </c>
      <c r="D75" s="6">
        <v>35.0</v>
      </c>
      <c r="E75" s="8">
        <v>46164.75069100695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90</v>
      </c>
      <c r="D76" s="6">
        <v>23.0</v>
      </c>
      <c r="E76" s="8">
        <v>46164.75092431713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91</v>
      </c>
      <c r="D77" s="6">
        <v>19.0</v>
      </c>
      <c r="E77" s="8">
        <v>46164.75128067129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92</v>
      </c>
      <c r="D78" s="6">
        <v>12.0</v>
      </c>
      <c r="E78" s="8">
        <v>46164.75674505787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100.0</v>
      </c>
      <c r="C79" s="7" t="s">
        <v>43</v>
      </c>
      <c r="D79" s="6">
        <v>12.0</v>
      </c>
      <c r="E79" s="8">
        <v>46164.77086464121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