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<sst xmlns="http://schemas.openxmlformats.org/spreadsheetml/2006/main" count="110" uniqueCount="109">
  <si>
    <t>HOJA DE CALCULO FERRETERIA</t>
  </si>
  <si>
    <t>CODIGO</t>
  </si>
  <si>
    <t>CANTIDAD</t>
  </si>
  <si>
    <t>DESCRIPCION</t>
  </si>
  <si>
    <t>TOTAL</t>
  </si>
  <si>
    <t>HORA</t>
  </si>
  <si>
    <t>CUADRAR</t>
  </si>
  <si>
    <t>lente tr</t>
  </si>
  <si>
    <t>candado hermex</t>
  </si>
  <si>
    <t>MONEDAS</t>
  </si>
  <si>
    <t>CAJA CHICA</t>
  </si>
  <si>
    <t>m lijas</t>
  </si>
  <si>
    <t>BILLETES 10-20</t>
  </si>
  <si>
    <t>TOTAL VENTAS DIA</t>
  </si>
  <si>
    <t>clefa 500ml</t>
  </si>
  <si>
    <t>BILLETES 50-100-200</t>
  </si>
  <si>
    <t>AUMENTO DE DINERO</t>
  </si>
  <si>
    <t>estilete</t>
  </si>
  <si>
    <t>INGRESOS YAPE</t>
  </si>
  <si>
    <t>flexo 5m</t>
  </si>
  <si>
    <t>INGRESOS TARJETA</t>
  </si>
  <si>
    <t>disco ceramica 4</t>
  </si>
  <si>
    <t>GASTOS VARIOS</t>
  </si>
  <si>
    <t>coma aodñamte</t>
  </si>
  <si>
    <t>4m</t>
  </si>
  <si>
    <t>plastico 1m</t>
  </si>
  <si>
    <t>DINERO GANADO HOY:</t>
  </si>
  <si>
    <t>CANTIDAD DINERO CAJA:</t>
  </si>
  <si>
    <t>1l</t>
  </si>
  <si>
    <t>thinner duco</t>
  </si>
  <si>
    <t>lentes truper</t>
  </si>
  <si>
    <t>PERNOS</t>
  </si>
  <si>
    <t>CHAPA TR</t>
  </si>
  <si>
    <t>SOPAPA COFLEX</t>
  </si>
  <si>
    <t>TAPON AUDIRITO</t>
  </si>
  <si>
    <t>BISAGRA ACERO</t>
  </si>
  <si>
    <t>YAPE MAMÁ</t>
  </si>
  <si>
    <t>YAPE PAPÁ</t>
  </si>
  <si>
    <t>YAPE</t>
  </si>
  <si>
    <t>SODA CAUSTICA</t>
  </si>
  <si>
    <t>Monto Total YAPE (No tocar):</t>
  </si>
  <si>
    <t>CHUPADOR  11/4</t>
  </si>
  <si>
    <t>M HILO CORTAPASTO</t>
  </si>
  <si>
    <t>Monto Total Registrado en aplicacion</t>
  </si>
  <si>
    <t>ARMELLAS +RAMPLU</t>
  </si>
  <si>
    <t>NIVEL TOTLSEN</t>
  </si>
  <si>
    <t>CARBON</t>
  </si>
  <si>
    <t>VALVULARTETECION 2</t>
  </si>
  <si>
    <t>TEFLON</t>
  </si>
  <si>
    <t>LLAVE STILSON 8</t>
  </si>
  <si>
    <t>SIFON LAVAMANOS</t>
  </si>
  <si>
    <t>GRAMPA 8MM</t>
  </si>
  <si>
    <t>PAGOS YAPE</t>
  </si>
  <si>
    <t>DESCRIPCION PAGO</t>
  </si>
  <si>
    <t>BROCA FIERRO DEBOTR</t>
  </si>
  <si>
    <t>BROCA FIERRO DEOR</t>
  </si>
  <si>
    <t>BROCA MADERA 5/16</t>
  </si>
  <si>
    <t>GRAMPAS 3/4 CABLE</t>
  </si>
  <si>
    <t>CHOCLERA</t>
  </si>
  <si>
    <t>OCRE</t>
  </si>
  <si>
    <t>ADAPTADOR ULTRA</t>
  </si>
  <si>
    <t>SILICONA BLACA</t>
  </si>
  <si>
    <t>BROCA CONCRETO 6</t>
  </si>
  <si>
    <t>VALVULA DE RETENCION 1/2 H</t>
  </si>
  <si>
    <t>TRMAPS PARA RATON</t>
  </si>
  <si>
    <t>2KL</t>
  </si>
  <si>
    <t>ALAMBRE AMARRE</t>
  </si>
  <si>
    <t>REGLETA 25A</t>
  </si>
  <si>
    <t>1KL</t>
  </si>
  <si>
    <t>ELECTRODO GRUESO</t>
  </si>
  <si>
    <t>CINTA ASINLANTE</t>
  </si>
  <si>
    <t>SIERRA MECANICA</t>
  </si>
  <si>
    <t>FOCO 9</t>
  </si>
  <si>
    <t>DOBLE CONTACTO 1</t>
  </si>
  <si>
    <t>PIGMETO VERDE</t>
  </si>
  <si>
    <t>DOBLE CONTACTO 1/2</t>
  </si>
  <si>
    <t>pernos</t>
  </si>
  <si>
    <t>ramplu 8 lh</t>
  </si>
  <si>
    <t>LINTERNA CABEZA</t>
  </si>
  <si>
    <t>modulo con tierra</t>
  </si>
  <si>
    <t>pie de amigo 8x10</t>
  </si>
  <si>
    <t>pie de amigo 6x8</t>
  </si>
  <si>
    <t>riel telescopuica 40cm</t>
  </si>
  <si>
    <t>disco conreto 4</t>
  </si>
  <si>
    <t>grifo fv lavaplatos</t>
  </si>
  <si>
    <t>singer</t>
  </si>
  <si>
    <t>broca punta flecha 6</t>
  </si>
  <si>
    <t>adaptador h 1/4</t>
  </si>
  <si>
    <t>abrazadera 5/8</t>
  </si>
  <si>
    <t>grampas 8mm</t>
  </si>
  <si>
    <t>1kl</t>
  </si>
  <si>
    <t>alalmbre galvanizxado 18</t>
  </si>
  <si>
    <t>4par</t>
  </si>
  <si>
    <t>bisagra 3</t>
  </si>
  <si>
    <t>7par</t>
  </si>
  <si>
    <t>bisagra 3 reforzada</t>
  </si>
  <si>
    <t>picaporte 2 1/2</t>
  </si>
  <si>
    <t>repúesto para cuter</t>
  </si>
  <si>
    <t>burete novo horizonte 80cm</t>
  </si>
  <si>
    <t>burete novo horizonte 90cm</t>
  </si>
  <si>
    <t>kl almbre de amrre</t>
  </si>
  <si>
    <t>permaq red</t>
  </si>
  <si>
    <t>cja de punta</t>
  </si>
  <si>
    <t>brocha encastre</t>
  </si>
  <si>
    <t>corta tuboe</t>
  </si>
  <si>
    <t>silicona rtv</t>
  </si>
  <si>
    <t xml:space="preserve">cadena </t>
  </si>
  <si>
    <t>modulo toma</t>
  </si>
  <si>
    <t>flexo 10 m uyustools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</si>
</sst>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7" fontId="5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36.0</v>
      </c>
      <c r="E8" s="8">
        <v>46219.373015000005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68.0</v>
      </c>
      <c r="E9" s="8">
        <v>46219.374316643516</v>
      </c>
      <c r="F9" s="2"/>
      <c r="G9" s="9" t="s">
        <v>9</v>
      </c>
      <c r="H9" s="10">
        <v>121.0</v>
      </c>
      <c r="I9" s="2"/>
      <c r="J9" s="9" t="s">
        <v>10</v>
      </c>
      <c r="K9" s="10">
        <v>815.0</v>
      </c>
      <c r="L9" s="2"/>
      <c r="M9" s="2"/>
      <c r="N9" s="2"/>
      <c r="O9" s="2"/>
      <c r="P9" s="2"/>
      <c r="Q9" s="2"/>
    </row>
    <row r="10" ht="22.5" customHeight="1">
      <c r="A10" s="6"/>
      <c r="B10" s="6">
        <v>2.0</v>
      </c>
      <c r="C10" s="7" t="s">
        <v>11</v>
      </c>
      <c r="D10" s="6">
        <v>20.0</v>
      </c>
      <c r="E10" s="8">
        <v>46219.37442153935</v>
      </c>
      <c r="F10" s="2"/>
      <c r="G10" s="9" t="s">
        <v>12</v>
      </c>
      <c r="H10" s="10">
        <v>590.0</v>
      </c>
      <c r="I10" s="2"/>
      <c r="J10" s="9" t="s">
        <v>13</v>
      </c>
      <c r="K10" s="11">
        <f>SUM(PRINCIPAL[TOTAL])</f>
        <v>3707.5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49.0</v>
      </c>
      <c r="E11" s="8">
        <v>46219.3848569213</v>
      </c>
      <c r="F11" s="2"/>
      <c r="G11" s="9" t="s">
        <v>15</v>
      </c>
      <c r="H11" s="10">
        <v>2800.0</v>
      </c>
      <c r="I11" s="2"/>
      <c r="J11" s="9" t="s">
        <v>16</v>
      </c>
      <c r="K11" s="10">
        <v>135.0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21.0</v>
      </c>
      <c r="E12" s="8">
        <v>46219.38495839121</v>
      </c>
      <c r="F12" s="2"/>
      <c r="G12" s="9" t="s">
        <v>18</v>
      </c>
      <c r="H12" s="12">
        <f>SUM(G24:H361)</f>
        <v>1218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20.0</v>
      </c>
      <c r="E13" s="8">
        <v>46219.385040636575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25.0</v>
      </c>
      <c r="E14" s="8">
        <v>46219.394876018516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9.0</v>
      </c>
      <c r="E15" s="8">
        <v>46219.39981822917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 t="s">
        <v>24</v>
      </c>
      <c r="C16" s="7" t="s">
        <v>25</v>
      </c>
      <c r="D16" s="6">
        <v>24.0</v>
      </c>
      <c r="E16" s="8">
        <v>46219.399921828706</v>
      </c>
      <c r="F16" s="2"/>
      <c r="G16" s="15" t="s">
        <v>26</v>
      </c>
      <c r="H16" s="16">
        <f>SUM(H9:H14)</f>
        <v>4729</v>
      </c>
      <c r="I16" s="3"/>
      <c r="J16" s="15" t="s">
        <v>27</v>
      </c>
      <c r="K16" s="16">
        <f>SUM(K9:K11)</f>
        <v>4657.5</v>
      </c>
      <c r="L16" s="2"/>
      <c r="M16" s="2"/>
      <c r="N16" s="2"/>
      <c r="O16" s="2"/>
      <c r="P16" s="2"/>
      <c r="Q16" s="2"/>
    </row>
    <row r="17" ht="22.5" customHeight="1">
      <c r="A17" s="13"/>
      <c r="B17" s="6" t="s">
        <v>28</v>
      </c>
      <c r="C17" s="7" t="s">
        <v>29</v>
      </c>
      <c r="D17" s="6">
        <v>35.0</v>
      </c>
      <c r="E17" s="8">
        <v>46219.400076446764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30</v>
      </c>
      <c r="D18" s="6">
        <v>28.0</v>
      </c>
      <c r="E18" s="8">
        <v>46219.40256428241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71,50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6.0</v>
      </c>
      <c r="C19" s="7" t="s">
        <v>31</v>
      </c>
      <c r="D19" s="18">
        <v>5.5</v>
      </c>
      <c r="E19" s="8">
        <v>46219.40651059028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32</v>
      </c>
      <c r="D20" s="6">
        <v>146.0</v>
      </c>
      <c r="E20" s="8">
        <v>46219.40828478009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4.0</v>
      </c>
      <c r="C21" s="7" t="s">
        <v>33</v>
      </c>
      <c r="D21" s="6">
        <v>288.0</v>
      </c>
      <c r="E21" s="8">
        <v>46219.41074269676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4.0</v>
      </c>
      <c r="C22" s="7" t="s">
        <v>34</v>
      </c>
      <c r="D22" s="6">
        <v>24.0</v>
      </c>
      <c r="E22" s="8">
        <v>46219.41080614583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3.0</v>
      </c>
      <c r="C23" s="7" t="s">
        <v>35</v>
      </c>
      <c r="D23" s="18">
        <v>165.0</v>
      </c>
      <c r="E23" s="8">
        <v>46219.41500228009</v>
      </c>
      <c r="F23" s="2"/>
      <c r="G23" s="20" t="s">
        <v>36</v>
      </c>
      <c r="H23" s="20" t="s">
        <v>37</v>
      </c>
      <c r="I23" s="2"/>
      <c r="J23" s="21" t="s">
        <v>38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39</v>
      </c>
      <c r="D24" s="6">
        <v>44.0</v>
      </c>
      <c r="E24" s="8">
        <v>46219.415357210644</v>
      </c>
      <c r="F24" s="2"/>
      <c r="G24" s="23">
        <v>59.0</v>
      </c>
      <c r="H24" s="24"/>
      <c r="I24" s="2"/>
      <c r="J24" s="25" t="s">
        <v>40</v>
      </c>
      <c r="K24" s="26">
        <f>SUM(INGRESOS_YAPE[])</f>
        <v>1218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41</v>
      </c>
      <c r="D25" s="6">
        <v>160.0</v>
      </c>
      <c r="E25" s="8">
        <v>46219.41784733796</v>
      </c>
      <c r="F25" s="2"/>
      <c r="G25" s="23">
        <v>160.0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5.0</v>
      </c>
      <c r="C26" s="7" t="s">
        <v>42</v>
      </c>
      <c r="D26" s="6">
        <v>10.0</v>
      </c>
      <c r="E26" s="8">
        <v>46219.41858219907</v>
      </c>
      <c r="F26" s="2"/>
      <c r="G26" s="27">
        <v>10.0</v>
      </c>
      <c r="H26" s="24"/>
      <c r="I26" s="2"/>
      <c r="J26" s="28" t="s">
        <v>43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4.0</v>
      </c>
      <c r="C27" s="7" t="s">
        <v>44</v>
      </c>
      <c r="D27" s="6">
        <v>2.0</v>
      </c>
      <c r="E27" s="8">
        <v>46219.42089662037</v>
      </c>
      <c r="F27" s="2"/>
      <c r="G27" s="23">
        <v>67.0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45</v>
      </c>
      <c r="D28" s="6">
        <v>67.0</v>
      </c>
      <c r="E28" s="8">
        <v>46219.42821657407</v>
      </c>
      <c r="F28" s="2"/>
      <c r="G28" s="23">
        <v>42.0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46</v>
      </c>
      <c r="D29" s="6">
        <v>25.0</v>
      </c>
      <c r="E29" s="8">
        <v>46219.44588903935</v>
      </c>
      <c r="F29" s="2"/>
      <c r="G29" s="23">
        <v>90.0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1218,00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47</v>
      </c>
      <c r="D30" s="6">
        <v>345.0</v>
      </c>
      <c r="E30" s="8">
        <v>46219.45563131945</v>
      </c>
      <c r="F30" s="2"/>
      <c r="G30" s="23">
        <v>213.0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8.0</v>
      </c>
      <c r="C31" s="7" t="s">
        <v>48</v>
      </c>
      <c r="D31" s="6">
        <v>20.0</v>
      </c>
      <c r="E31" s="8">
        <v>46219.45567015046</v>
      </c>
      <c r="F31" s="2"/>
      <c r="G31" s="23">
        <v>13.0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49</v>
      </c>
      <c r="D32" s="6">
        <v>118.0</v>
      </c>
      <c r="E32" s="8">
        <v>46219.45969887731</v>
      </c>
      <c r="F32" s="2"/>
      <c r="G32" s="23">
        <v>36.0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50</v>
      </c>
      <c r="D33" s="6">
        <v>57.0</v>
      </c>
      <c r="E33" s="8">
        <v>46219.459803171296</v>
      </c>
      <c r="F33" s="2"/>
      <c r="G33" s="23">
        <v>29.0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51</v>
      </c>
      <c r="D34" s="6">
        <v>17.0</v>
      </c>
      <c r="E34" s="8">
        <v>46219.45984297454</v>
      </c>
      <c r="F34" s="2"/>
      <c r="G34" s="23">
        <v>24.0</v>
      </c>
      <c r="H34" s="24"/>
      <c r="I34" s="2"/>
      <c r="J34" s="31" t="s">
        <v>52</v>
      </c>
      <c r="K34" s="31" t="s">
        <v>53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54</v>
      </c>
      <c r="D35" s="6">
        <v>10.0</v>
      </c>
      <c r="E35" s="8">
        <v>46219.46702621528</v>
      </c>
      <c r="F35" s="2"/>
      <c r="G35" s="23">
        <v>33.0</v>
      </c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55</v>
      </c>
      <c r="D36" s="6">
        <v>10.0</v>
      </c>
      <c r="E36" s="8">
        <v>46219.467142187495</v>
      </c>
      <c r="F36" s="2"/>
      <c r="G36" s="23">
        <v>22.0</v>
      </c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56</v>
      </c>
      <c r="D37" s="18">
        <v>40.0</v>
      </c>
      <c r="E37" s="8">
        <v>46219.46991753472</v>
      </c>
      <c r="F37" s="2"/>
      <c r="G37" s="23">
        <v>127.0</v>
      </c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57</v>
      </c>
      <c r="D38" s="18">
        <v>32.0</v>
      </c>
      <c r="E38" s="8">
        <v>46219.49680010417</v>
      </c>
      <c r="F38" s="2"/>
      <c r="G38" s="23">
        <v>18.0</v>
      </c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58</v>
      </c>
      <c r="D39" s="6">
        <v>31.0</v>
      </c>
      <c r="E39" s="8">
        <v>46219.5000668287</v>
      </c>
      <c r="F39" s="2"/>
      <c r="G39" s="23">
        <v>50.0</v>
      </c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59</v>
      </c>
      <c r="D40" s="6">
        <v>5.0</v>
      </c>
      <c r="E40" s="8">
        <v>46219.50010444444</v>
      </c>
      <c r="F40" s="2"/>
      <c r="G40" s="23">
        <v>150.0</v>
      </c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60</v>
      </c>
      <c r="D41" s="6">
        <v>10.0</v>
      </c>
      <c r="E41" s="8">
        <v>46219.5054781713</v>
      </c>
      <c r="F41" s="2"/>
      <c r="G41" s="23">
        <v>75.0</v>
      </c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61</v>
      </c>
      <c r="D42" s="6">
        <v>26.0</v>
      </c>
      <c r="E42" s="8">
        <v>46219.51396383102</v>
      </c>
      <c r="F42" s="2"/>
      <c r="G42" s="24"/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62</v>
      </c>
      <c r="D43" s="6">
        <v>16.0</v>
      </c>
      <c r="E43" s="8">
        <v>46219.51406033565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63</v>
      </c>
      <c r="D44" s="6">
        <v>90.0</v>
      </c>
      <c r="E44" s="8">
        <v>46219.517860949076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64</v>
      </c>
      <c r="D45" s="6">
        <v>25.0</v>
      </c>
      <c r="E45" s="8">
        <v>46219.56650548612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 t="s">
        <v>65</v>
      </c>
      <c r="C46" s="7" t="s">
        <v>66</v>
      </c>
      <c r="D46" s="6">
        <v>38.0</v>
      </c>
      <c r="E46" s="8">
        <v>46219.55980564815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67</v>
      </c>
      <c r="D47" s="6">
        <v>80.0</v>
      </c>
      <c r="E47" s="8">
        <v>46219.56017438657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68</v>
      </c>
      <c r="C48" s="7" t="s">
        <v>69</v>
      </c>
      <c r="D48" s="6">
        <v>56.0</v>
      </c>
      <c r="E48" s="8">
        <v>46219.56034795139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70</v>
      </c>
      <c r="D49" s="6">
        <v>9.0</v>
      </c>
      <c r="E49" s="8">
        <v>46219.560412604165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71</v>
      </c>
      <c r="D50" s="6">
        <v>15.0</v>
      </c>
      <c r="E50" s="8">
        <v>46219.560513344906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71</v>
      </c>
      <c r="D51" s="6">
        <v>15.0</v>
      </c>
      <c r="E51" s="8">
        <v>46219.5605500463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72</v>
      </c>
      <c r="D52" s="6">
        <v>13.0</v>
      </c>
      <c r="E52" s="8">
        <v>46219.59156299768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73</v>
      </c>
      <c r="D53" s="6">
        <v>36.0</v>
      </c>
      <c r="E53" s="8">
        <v>46219.591665266205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74</v>
      </c>
      <c r="D54" s="6">
        <v>10.0</v>
      </c>
      <c r="E54" s="8">
        <v>46219.59742061343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75</v>
      </c>
      <c r="D55" s="6">
        <v>10.0</v>
      </c>
      <c r="E55" s="8">
        <v>46219.61457670139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18.0</v>
      </c>
      <c r="C56" s="7" t="s">
        <v>76</v>
      </c>
      <c r="D56" s="18">
        <v>9.0</v>
      </c>
      <c r="E56" s="8">
        <v>46219.6287921412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18.0</v>
      </c>
      <c r="C57" s="7" t="s">
        <v>77</v>
      </c>
      <c r="D57" s="6">
        <v>9.0</v>
      </c>
      <c r="E57" s="8">
        <v>46219.628925625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78</v>
      </c>
      <c r="D58" s="6">
        <v>172.0</v>
      </c>
      <c r="E58" s="8">
        <v>46219.63314395833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79</v>
      </c>
      <c r="D59" s="6">
        <v>24.0</v>
      </c>
      <c r="E59" s="8">
        <v>46219.633296423606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80</v>
      </c>
      <c r="D60" s="6">
        <v>12.0</v>
      </c>
      <c r="E60" s="8">
        <v>46219.63339952547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81</v>
      </c>
      <c r="D61" s="6">
        <v>10.0</v>
      </c>
      <c r="E61" s="8">
        <v>46219.63348200232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82</v>
      </c>
      <c r="D62" s="6">
        <v>33.0</v>
      </c>
      <c r="E62" s="8">
        <v>46219.63357347222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83</v>
      </c>
      <c r="D63" s="6">
        <v>22.0</v>
      </c>
      <c r="E63" s="8">
        <v>46219.64386391204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84</v>
      </c>
      <c r="D64" s="6">
        <v>127.0</v>
      </c>
      <c r="E64" s="8">
        <v>46219.652011875005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85</v>
      </c>
      <c r="D65" s="6">
        <v>15.0</v>
      </c>
      <c r="E65" s="8">
        <v>46219.657558182866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86</v>
      </c>
      <c r="D66" s="6">
        <v>29.0</v>
      </c>
      <c r="E66" s="8">
        <v>46219.67708001158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87</v>
      </c>
      <c r="D67" s="6">
        <v>15.0</v>
      </c>
      <c r="E67" s="8">
        <v>46219.67946703704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88</v>
      </c>
      <c r="D68" s="6">
        <v>3.0</v>
      </c>
      <c r="E68" s="8">
        <v>46219.679551099536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3.0</v>
      </c>
      <c r="C69" s="7" t="s">
        <v>89</v>
      </c>
      <c r="D69" s="6">
        <v>24.0</v>
      </c>
      <c r="E69" s="8">
        <v>46219.68174349537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 t="s">
        <v>90</v>
      </c>
      <c r="C70" s="7" t="s">
        <v>91</v>
      </c>
      <c r="D70" s="18">
        <v>30.0</v>
      </c>
      <c r="E70" s="8">
        <v>46219.68182912037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 t="s">
        <v>92</v>
      </c>
      <c r="C71" s="7" t="s">
        <v>93</v>
      </c>
      <c r="D71" s="6">
        <v>24.0</v>
      </c>
      <c r="E71" s="8">
        <v>46219.69187491898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 t="s">
        <v>94</v>
      </c>
      <c r="C72" s="7" t="s">
        <v>95</v>
      </c>
      <c r="D72" s="6">
        <v>189.0</v>
      </c>
      <c r="E72" s="8">
        <v>46219.69206331018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4.0</v>
      </c>
      <c r="C73" s="7" t="s">
        <v>96</v>
      </c>
      <c r="D73" s="6">
        <v>48.0</v>
      </c>
      <c r="E73" s="8">
        <v>46219.69217836806</v>
      </c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97</v>
      </c>
      <c r="D74" s="6">
        <v>17.0</v>
      </c>
      <c r="E74" s="8">
        <v>46219.69693954861</v>
      </c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98</v>
      </c>
      <c r="D75" s="6">
        <v>47.0</v>
      </c>
      <c r="E75" s="8">
        <v>46219.69729041666</v>
      </c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99</v>
      </c>
      <c r="D76" s="6">
        <v>51.0</v>
      </c>
      <c r="E76" s="8">
        <v>46219.69735016204</v>
      </c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2.0</v>
      </c>
      <c r="C77" s="7" t="s">
        <v>100</v>
      </c>
      <c r="D77" s="6">
        <v>38.0</v>
      </c>
      <c r="E77" s="8">
        <v>46219.70555121527</v>
      </c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100.0</v>
      </c>
      <c r="C78" s="7" t="s">
        <v>101</v>
      </c>
      <c r="D78" s="6">
        <v>27.0</v>
      </c>
      <c r="E78" s="8">
        <v>46219.71101596065</v>
      </c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102</v>
      </c>
      <c r="D79" s="6">
        <v>38.0</v>
      </c>
      <c r="E79" s="8">
        <v>46219.71129864584</v>
      </c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103</v>
      </c>
      <c r="D80" s="6">
        <v>40.0</v>
      </c>
      <c r="E80" s="8">
        <v>46219.711457349535</v>
      </c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104</v>
      </c>
      <c r="D81" s="6">
        <v>110.0</v>
      </c>
      <c r="E81" s="8">
        <v>46219.714615046294</v>
      </c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105</v>
      </c>
      <c r="D82" s="6">
        <v>15.0</v>
      </c>
      <c r="E82" s="8">
        <v>46219.72646071759</v>
      </c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0.5</v>
      </c>
      <c r="C83" s="7" t="s">
        <v>106</v>
      </c>
      <c r="D83" s="6">
        <v>39.0</v>
      </c>
      <c r="E83" s="8">
        <v>46219.72654877315</v>
      </c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107</v>
      </c>
      <c r="D84" s="6">
        <v>10.0</v>
      </c>
      <c r="E84" s="8">
        <v>46219.72998122685</v>
      </c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108</v>
      </c>
      <c r="D85" s="6">
        <v>75.0</v>
      </c>
      <c r="E85" s="8">
        <v>46219.73646435185</v>
      </c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5"/>
      <c r="E86" s="36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5"/>
      <c r="E87" s="36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5"/>
      <c r="E88" s="36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