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<sst xmlns="http://schemas.openxmlformats.org/spreadsheetml/2006/main" count="139" uniqueCount="139">
  <si>
    <t>HOJA DE CALCULO FERRETERIA</t>
  </si>
  <si>
    <t>CODIGO</t>
  </si>
  <si>
    <t>CANTIDAD</t>
  </si>
  <si>
    <t>DESCRIPCION</t>
  </si>
  <si>
    <t>TOTAL</t>
  </si>
  <si>
    <t>HORA</t>
  </si>
  <si>
    <t>CUADRAR</t>
  </si>
  <si>
    <t>2 doc</t>
  </si>
  <si>
    <t xml:space="preserve"> chip</t>
  </si>
  <si>
    <t>litero de lates 2000</t>
  </si>
  <si>
    <t>MONEDAS</t>
  </si>
  <si>
    <t>CAJA CHICA</t>
  </si>
  <si>
    <t>lija 50</t>
  </si>
  <si>
    <t>BILLETES 10-20</t>
  </si>
  <si>
    <t>TOTAL VENTAS DIA</t>
  </si>
  <si>
    <t>aerosol negro</t>
  </si>
  <si>
    <t>BILLETES 50-100-200</t>
  </si>
  <si>
    <t>AUMENTO DE DINERO</t>
  </si>
  <si>
    <t xml:space="preserve">aicte de precion </t>
  </si>
  <si>
    <t>INGRESOS YAPE</t>
  </si>
  <si>
    <t xml:space="preserve">modulo toma </t>
  </si>
  <si>
    <t>INGRESOS TARJETA</t>
  </si>
  <si>
    <t>busca polo</t>
  </si>
  <si>
    <t>GASTOS VARIOS</t>
  </si>
  <si>
    <t>jaladora</t>
  </si>
  <si>
    <t>cinta aisltnat</t>
  </si>
  <si>
    <t>DINERO GANADO HOY:</t>
  </si>
  <si>
    <t>CANTIDAD DINERO CAJA:</t>
  </si>
  <si>
    <t>brkoca truper</t>
  </si>
  <si>
    <t>brokca tolse</t>
  </si>
  <si>
    <t>m magjrues forte</t>
  </si>
  <si>
    <t>silicon akfix blanco</t>
  </si>
  <si>
    <t>silcion akdi</t>
  </si>
  <si>
    <t>cinta asialnte</t>
  </si>
  <si>
    <t>mperlon 11</t>
  </si>
  <si>
    <t>YAPE MAMÁ</t>
  </si>
  <si>
    <t>YAPE PAPÁ</t>
  </si>
  <si>
    <t>clavija  schuaco</t>
  </si>
  <si>
    <t>clavija tramonta</t>
  </si>
  <si>
    <t>toma sobre poner</t>
  </si>
  <si>
    <t xml:space="preserve">m cable b ipolar </t>
  </si>
  <si>
    <t>cemetno cola redimils</t>
  </si>
  <si>
    <t>destabapor preru</t>
  </si>
  <si>
    <t>fluorecere</t>
  </si>
  <si>
    <t>foco tramontia</t>
  </si>
  <si>
    <t>mod int schn</t>
  </si>
  <si>
    <t xml:space="preserve">mod toma </t>
  </si>
  <si>
    <t xml:space="preserve">placa doble </t>
  </si>
  <si>
    <t>soquetporc</t>
  </si>
  <si>
    <t>timbre vera</t>
  </si>
  <si>
    <t>cinta asilantet</t>
  </si>
  <si>
    <t>cemento blanco</t>
  </si>
  <si>
    <t xml:space="preserve">llave crecen </t>
  </si>
  <si>
    <t>codo rg 1 /12</t>
  </si>
  <si>
    <t>lete tr</t>
  </si>
  <si>
    <t>DISCO JADEVER</t>
  </si>
  <si>
    <t>BROCA MADERA 10 LARGO</t>
  </si>
  <si>
    <t>30M</t>
  </si>
  <si>
    <t>HILO PODAR</t>
  </si>
  <si>
    <t>DEBOR FIERRO 4.5</t>
  </si>
  <si>
    <t>KIT DE LJAS PARA MOTO</t>
  </si>
  <si>
    <t>HJALADOR</t>
  </si>
  <si>
    <t>ALDABA</t>
  </si>
  <si>
    <t>PICAPIRTE REDONDO 3</t>
  </si>
  <si>
    <t>MASQUIN 3/4</t>
  </si>
  <si>
    <t>PUNTAS TALADRO</t>
  </si>
  <si>
    <t>CLAVO 2 1/2</t>
  </si>
  <si>
    <t>GUANTE TR</t>
  </si>
  <si>
    <t>HILO CAÑA 0.8</t>
  </si>
  <si>
    <t>10M</t>
  </si>
  <si>
    <t>PERLON 3</t>
  </si>
  <si>
    <t>BROCA 12 ENCASTRE</t>
  </si>
  <si>
    <t>BROCA ENCASTRE 16</t>
  </si>
  <si>
    <t>RODILLO ANTIGOTERO 10CM</t>
  </si>
  <si>
    <t>BROCA 3 AZUL</t>
  </si>
  <si>
    <t>BROCHA 4 TIGRE</t>
  </si>
  <si>
    <t>CLAVIJA</t>
  </si>
  <si>
    <t>COPLA REDUCCION 1 X3/4</t>
  </si>
  <si>
    <t>REDUCCION BUJE 3/4 X 1/2</t>
  </si>
  <si>
    <t>CHAPA HR PUERTA CORREDIZA</t>
  </si>
  <si>
    <t>GUANTE JADEVER</t>
  </si>
  <si>
    <t>ASPERSON TR</t>
  </si>
  <si>
    <t>PICO TR</t>
  </si>
  <si>
    <t>ASAPTADOR ANGULAS TR</t>
  </si>
  <si>
    <t>REMAHCADORA</t>
  </si>
  <si>
    <t>BROCA 1 1/2</t>
  </si>
  <si>
    <t>TIRAFONFO 3/8</t>
  </si>
  <si>
    <t>LINTERNA DE CABEZA</t>
  </si>
  <si>
    <t>BARNIZ</t>
  </si>
  <si>
    <t>JUEGO LLAVE ALLEM KAMSA</t>
  </si>
  <si>
    <t>20M</t>
  </si>
  <si>
    <t>PLASTICO 1M ROJO</t>
  </si>
  <si>
    <t>1KL</t>
  </si>
  <si>
    <t>ALAMBRE GAL 18</t>
  </si>
  <si>
    <t>GOMAS LAVANDERIA</t>
  </si>
  <si>
    <t>SACABOCADO 40</t>
  </si>
  <si>
    <t>DISCO FLAP</t>
  </si>
  <si>
    <t>DISCO LIJA 4</t>
  </si>
  <si>
    <t>BROCA FIERRO IREIN</t>
  </si>
  <si>
    <t>BROCA FIERRO IRWIN</t>
  </si>
  <si>
    <t>PEGAMENTO 705</t>
  </si>
  <si>
    <t>BRKOCA DEBOR 1,5 MM</t>
  </si>
  <si>
    <t>M CADENA PLASTICO</t>
  </si>
  <si>
    <t>disco concreto uyus</t>
  </si>
  <si>
    <t>candado hermex</t>
  </si>
  <si>
    <t>alicate uyus</t>
  </si>
  <si>
    <t>cubre cable 10x10</t>
  </si>
  <si>
    <t>7m</t>
  </si>
  <si>
    <t>cable 7h 14</t>
  </si>
  <si>
    <t>cinta aislante</t>
  </si>
  <si>
    <t>codoconduti 1/2</t>
  </si>
  <si>
    <t>tuvo conduit 1/2</t>
  </si>
  <si>
    <t>canddo clve hermex</t>
  </si>
  <si>
    <t xml:space="preserve">cancda moto </t>
  </si>
  <si>
    <t>disco uyustol</t>
  </si>
  <si>
    <t>chio 4,5*40</t>
  </si>
  <si>
    <t xml:space="preserve">disco uyus  lijas </t>
  </si>
  <si>
    <t>ducha atlas</t>
  </si>
  <si>
    <t>cala 20x20</t>
  </si>
  <si>
    <t>trabasil</t>
  </si>
  <si>
    <t xml:space="preserve">caja de grampas </t>
  </si>
  <si>
    <t>doc chip</t>
  </si>
  <si>
    <t>doc de ara</t>
  </si>
  <si>
    <t>grifo lavaplatos fontavi</t>
  </si>
  <si>
    <t>soda caustica</t>
  </si>
  <si>
    <t>clefa 100</t>
  </si>
  <si>
    <t>clerfa llitro</t>
  </si>
  <si>
    <t>niples 3/4</t>
  </si>
  <si>
    <t>union paten 3/4</t>
  </si>
  <si>
    <t>5 mt</t>
  </si>
  <si>
    <t>alambre 7 h 12</t>
  </si>
  <si>
    <t>m hilo corta pasto</t>
  </si>
  <si>
    <t>alicate precion</t>
  </si>
  <si>
    <t>gitia</t>
  </si>
  <si>
    <t>caja degramkpa</t>
  </si>
  <si>
    <t xml:space="preserve">carbon </t>
  </si>
  <si>
    <t>m malla sodada</t>
  </si>
  <si>
    <t>tijera de podar</t>
  </si>
  <si>
    <t>kl alamvre galvanazizso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</si>
</sst>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 t="s">
        <v>7</v>
      </c>
      <c r="C8" s="7" t="s">
        <v>8</v>
      </c>
      <c r="D8" s="6">
        <v>3.0</v>
      </c>
      <c r="E8" s="8">
        <v>46096.395527141205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9</v>
      </c>
      <c r="D9" s="6">
        <v>32.0</v>
      </c>
      <c r="E9" s="8">
        <v>46096.39608773148</v>
      </c>
      <c r="F9" s="2"/>
      <c r="G9" s="9" t="s">
        <v>10</v>
      </c>
      <c r="H9" s="10">
        <v>183.0</v>
      </c>
      <c r="I9" s="2"/>
      <c r="J9" s="9" t="s">
        <v>11</v>
      </c>
      <c r="K9" s="10">
        <v>759.0</v>
      </c>
      <c r="L9" s="2"/>
      <c r="M9" s="2"/>
      <c r="N9" s="2"/>
      <c r="O9" s="2"/>
      <c r="P9" s="2"/>
      <c r="Q9" s="2"/>
    </row>
    <row r="10" ht="22.5" customHeight="1">
      <c r="A10" s="6"/>
      <c r="B10" s="6">
        <v>0.5</v>
      </c>
      <c r="C10" s="7" t="s">
        <v>12</v>
      </c>
      <c r="D10" s="6">
        <v>6.0</v>
      </c>
      <c r="E10" s="8">
        <v>46096.39618564815</v>
      </c>
      <c r="F10" s="2"/>
      <c r="G10" s="9" t="s">
        <v>13</v>
      </c>
      <c r="H10" s="10">
        <v>170.0</v>
      </c>
      <c r="I10" s="2"/>
      <c r="J10" s="9" t="s">
        <v>14</v>
      </c>
      <c r="K10" s="11">
        <f>SUM(PRINCIPAL[TOTAL])</f>
        <v>4905.5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15</v>
      </c>
      <c r="D11" s="6">
        <v>20.0</v>
      </c>
      <c r="E11" s="8">
        <v>46096.42907479167</v>
      </c>
      <c r="F11" s="2"/>
      <c r="G11" s="9" t="s">
        <v>16</v>
      </c>
      <c r="H11" s="10">
        <v>3900.0</v>
      </c>
      <c r="I11" s="2"/>
      <c r="J11" s="9" t="s">
        <v>17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18</v>
      </c>
      <c r="D12" s="6">
        <v>48.0</v>
      </c>
      <c r="E12" s="8">
        <v>46096.43644402778</v>
      </c>
      <c r="F12" s="2"/>
      <c r="G12" s="9" t="s">
        <v>19</v>
      </c>
      <c r="H12" s="12">
        <f>SUM(G24:H361)</f>
        <v>1352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20</v>
      </c>
      <c r="D13" s="6">
        <v>22.0</v>
      </c>
      <c r="E13" s="8">
        <v>46096.45099922454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12.0</v>
      </c>
      <c r="E14" s="8">
        <v>46096.4510715162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4.0</v>
      </c>
      <c r="C15" s="7" t="s">
        <v>24</v>
      </c>
      <c r="D15" s="6">
        <v>24.0</v>
      </c>
      <c r="E15" s="8">
        <v>46096.45112787037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12.0</v>
      </c>
      <c r="E16" s="8">
        <v>46096.45131895834</v>
      </c>
      <c r="F16" s="2"/>
      <c r="G16" s="15" t="s">
        <v>26</v>
      </c>
      <c r="H16" s="16">
        <f>SUM(H9:H14)</f>
        <v>5605</v>
      </c>
      <c r="I16" s="3"/>
      <c r="J16" s="15" t="s">
        <v>27</v>
      </c>
      <c r="K16" s="16">
        <f>SUM(K9:K11)</f>
        <v>5664.5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27.0</v>
      </c>
      <c r="E17" s="8">
        <v>46096.45139894676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15.0</v>
      </c>
      <c r="E18" s="8">
        <v>46096.45146028935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59,50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3.0</v>
      </c>
      <c r="C19" s="7" t="s">
        <v>30</v>
      </c>
      <c r="D19" s="6">
        <v>24.0</v>
      </c>
      <c r="E19" s="8">
        <v>46096.461862129625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33.0</v>
      </c>
      <c r="E20" s="8">
        <v>46096.46596458333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34.0</v>
      </c>
      <c r="E21" s="8">
        <v>46096.47391502315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9.0</v>
      </c>
      <c r="E22" s="8">
        <v>46096.4778968287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6.0</v>
      </c>
      <c r="C23" s="7" t="s">
        <v>34</v>
      </c>
      <c r="D23" s="6">
        <v>45.0</v>
      </c>
      <c r="E23" s="8">
        <v>46096.4805147338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4.0</v>
      </c>
      <c r="C24" s="7" t="s">
        <v>37</v>
      </c>
      <c r="D24" s="6">
        <v>156.0</v>
      </c>
      <c r="E24" s="8">
        <v>46096.48147171296</v>
      </c>
      <c r="F24" s="2"/>
      <c r="G24" s="20">
        <v>48.0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38</v>
      </c>
      <c r="D25" s="6">
        <v>16.0</v>
      </c>
      <c r="E25" s="8">
        <v>46096.48162034722</v>
      </c>
      <c r="F25" s="2"/>
      <c r="G25" s="20">
        <v>34.0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8.0</v>
      </c>
      <c r="E26" s="8">
        <v>46096.48177564815</v>
      </c>
      <c r="F26" s="2"/>
      <c r="G26" s="22">
        <v>70.0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6.0</v>
      </c>
      <c r="C27" s="7" t="s">
        <v>40</v>
      </c>
      <c r="D27" s="6">
        <v>36.0</v>
      </c>
      <c r="E27" s="8">
        <v>46096.48195611111</v>
      </c>
      <c r="F27" s="2"/>
      <c r="G27" s="20">
        <v>45.0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4.0</v>
      </c>
      <c r="C28" s="7" t="s">
        <v>41</v>
      </c>
      <c r="D28" s="6">
        <v>80.0</v>
      </c>
      <c r="E28" s="8">
        <v>46096.483373888885</v>
      </c>
      <c r="F28" s="2"/>
      <c r="G28" s="20">
        <v>13.0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179.0</v>
      </c>
      <c r="E29" s="8">
        <v>46096.48504222222</v>
      </c>
      <c r="F29" s="2"/>
      <c r="G29" s="20">
        <v>25.0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18.0</v>
      </c>
      <c r="E30" s="8">
        <v>46096.48945756945</v>
      </c>
      <c r="F30" s="2"/>
      <c r="G30" s="20">
        <v>271.0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19.0</v>
      </c>
      <c r="E31" s="8">
        <v>46096.489510451385</v>
      </c>
      <c r="F31" s="2"/>
      <c r="G31" s="20">
        <v>325.0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9.0</v>
      </c>
      <c r="E32" s="8">
        <v>46096.49912530092</v>
      </c>
      <c r="F32" s="2"/>
      <c r="G32" s="20">
        <v>28.0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46</v>
      </c>
      <c r="D33" s="6">
        <v>9.0</v>
      </c>
      <c r="E33" s="8">
        <v>46096.499292939814</v>
      </c>
      <c r="F33" s="2"/>
      <c r="G33" s="20">
        <v>6.0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47</v>
      </c>
      <c r="D34" s="6">
        <v>12.0</v>
      </c>
      <c r="E34" s="8">
        <v>46096.49945592592</v>
      </c>
      <c r="F34" s="2"/>
      <c r="G34" s="20">
        <v>6.0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48</v>
      </c>
      <c r="D35" s="6">
        <v>18.0</v>
      </c>
      <c r="E35" s="8">
        <v>46096.49994835648</v>
      </c>
      <c r="F35" s="2"/>
      <c r="G35" s="20">
        <v>160.0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49</v>
      </c>
      <c r="D36" s="6">
        <v>70.0</v>
      </c>
      <c r="E36" s="8">
        <v>46096.504045995374</v>
      </c>
      <c r="F36" s="2"/>
      <c r="G36" s="20">
        <v>100.0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50</v>
      </c>
      <c r="D37" s="6">
        <v>18.0</v>
      </c>
      <c r="E37" s="8">
        <v>46096.50500619213</v>
      </c>
      <c r="F37" s="2"/>
      <c r="G37" s="20">
        <v>115.0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51</v>
      </c>
      <c r="D38" s="6">
        <v>20.0</v>
      </c>
      <c r="E38" s="8">
        <v>46096.50703650463</v>
      </c>
      <c r="F38" s="2"/>
      <c r="G38" s="20">
        <v>106.0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46.0</v>
      </c>
      <c r="E39" s="8">
        <v>46097.34753204861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2.0</v>
      </c>
      <c r="C40" s="7" t="s">
        <v>53</v>
      </c>
      <c r="D40" s="6">
        <v>158.0</v>
      </c>
      <c r="E40" s="8">
        <v>46097.35724783565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54</v>
      </c>
      <c r="D41" s="6">
        <v>26.0</v>
      </c>
      <c r="E41" s="8">
        <v>46097.37162109953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55</v>
      </c>
      <c r="D42" s="6">
        <v>45.0</v>
      </c>
      <c r="E42" s="8">
        <v>46097.38948445602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56</v>
      </c>
      <c r="D43" s="6">
        <v>42.0</v>
      </c>
      <c r="E43" s="8">
        <v>46097.40676721065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 t="s">
        <v>57</v>
      </c>
      <c r="C44" s="7" t="s">
        <v>58</v>
      </c>
      <c r="D44" s="6">
        <v>45.0</v>
      </c>
      <c r="E44" s="8">
        <v>46097.41245829861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59</v>
      </c>
      <c r="D45" s="6">
        <v>13.0</v>
      </c>
      <c r="E45" s="8">
        <v>46097.42778103009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60</v>
      </c>
      <c r="D46" s="6">
        <v>45.0</v>
      </c>
      <c r="E46" s="8">
        <v>46097.43470356481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4.0</v>
      </c>
      <c r="C47" s="7" t="s">
        <v>61</v>
      </c>
      <c r="D47" s="6">
        <v>60.0</v>
      </c>
      <c r="E47" s="8">
        <v>46097.44531074074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62</v>
      </c>
      <c r="D48" s="6">
        <v>10.5</v>
      </c>
      <c r="E48" s="8">
        <v>46097.44541208333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63</v>
      </c>
      <c r="D49" s="6">
        <v>26.0</v>
      </c>
      <c r="E49" s="8">
        <v>46097.44555174769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64</v>
      </c>
      <c r="D50" s="6">
        <v>9.0</v>
      </c>
      <c r="E50" s="8">
        <v>46097.44923747685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65</v>
      </c>
      <c r="D51" s="6">
        <v>25.0</v>
      </c>
      <c r="E51" s="8">
        <v>46097.45030344908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66</v>
      </c>
      <c r="D52" s="6">
        <v>20.0</v>
      </c>
      <c r="E52" s="8">
        <v>46097.46395844907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67</v>
      </c>
      <c r="D53" s="6">
        <v>16.0</v>
      </c>
      <c r="E53" s="8">
        <v>46097.475979062496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68</v>
      </c>
      <c r="D54" s="6">
        <v>26.0</v>
      </c>
      <c r="E54" s="8">
        <v>46097.476207037034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 t="s">
        <v>69</v>
      </c>
      <c r="C55" s="7" t="s">
        <v>70</v>
      </c>
      <c r="D55" s="6">
        <v>20.0</v>
      </c>
      <c r="E55" s="8">
        <v>46097.49388893519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71</v>
      </c>
      <c r="D56" s="6">
        <v>40.0</v>
      </c>
      <c r="E56" s="8">
        <v>46097.49850743056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72</v>
      </c>
      <c r="D57" s="6">
        <v>59.0</v>
      </c>
      <c r="E57" s="8">
        <v>46097.50076988426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73</v>
      </c>
      <c r="D58" s="6">
        <v>44.0</v>
      </c>
      <c r="E58" s="8">
        <v>46097.50100304398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74</v>
      </c>
      <c r="D59" s="6">
        <v>50.0</v>
      </c>
      <c r="E59" s="8">
        <v>46097.50108148148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75</v>
      </c>
      <c r="D60" s="6">
        <v>78.0</v>
      </c>
      <c r="E60" s="8">
        <v>46097.50124090278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76</v>
      </c>
      <c r="D61" s="6">
        <v>7.0</v>
      </c>
      <c r="E61" s="8">
        <v>46097.510005833334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77</v>
      </c>
      <c r="D62" s="6">
        <v>6.5</v>
      </c>
      <c r="E62" s="8">
        <v>46097.51341487269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78</v>
      </c>
      <c r="D63" s="6">
        <v>2.0</v>
      </c>
      <c r="E63" s="8">
        <v>46097.51350180556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79</v>
      </c>
      <c r="D64" s="6">
        <v>325.0</v>
      </c>
      <c r="E64" s="8">
        <v>46097.513644652776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4.0</v>
      </c>
      <c r="C65" s="7" t="s">
        <v>80</v>
      </c>
      <c r="D65" s="6">
        <v>28.0</v>
      </c>
      <c r="E65" s="8">
        <v>46097.515499166664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81</v>
      </c>
      <c r="D66" s="6">
        <v>115.0</v>
      </c>
      <c r="E66" s="8">
        <v>46097.53891962963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82</v>
      </c>
      <c r="D67" s="6">
        <v>7.0</v>
      </c>
      <c r="E67" s="8">
        <v>46097.538980578705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83</v>
      </c>
      <c r="D68" s="6">
        <v>205.0</v>
      </c>
      <c r="E68" s="8">
        <v>46097.53928427083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84</v>
      </c>
      <c r="D69" s="6">
        <v>85.0</v>
      </c>
      <c r="E69" s="8">
        <v>46097.543091631946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85</v>
      </c>
      <c r="D70" s="6">
        <v>6.0</v>
      </c>
      <c r="E70" s="8">
        <v>46097.544764085644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2.0</v>
      </c>
      <c r="C71" s="7" t="s">
        <v>86</v>
      </c>
      <c r="D71" s="6">
        <v>6.0</v>
      </c>
      <c r="E71" s="8">
        <v>46097.54792938658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87</v>
      </c>
      <c r="D72" s="6">
        <v>160.0</v>
      </c>
      <c r="E72" s="8">
        <v>46097.57127747685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88</v>
      </c>
      <c r="D73" s="6">
        <v>10.0</v>
      </c>
      <c r="E73" s="8">
        <v>46097.58799407407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89</v>
      </c>
      <c r="D74" s="6">
        <v>28.0</v>
      </c>
      <c r="E74" s="8">
        <v>46097.5889583449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 t="s">
        <v>90</v>
      </c>
      <c r="C75" s="7" t="s">
        <v>91</v>
      </c>
      <c r="D75" s="6">
        <v>100.0</v>
      </c>
      <c r="E75" s="8">
        <v>46097.598349583335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 t="s">
        <v>92</v>
      </c>
      <c r="C76" s="7" t="s">
        <v>93</v>
      </c>
      <c r="D76" s="6">
        <v>30.0</v>
      </c>
      <c r="E76" s="8">
        <v>46097.60432270833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2.0</v>
      </c>
      <c r="C77" s="7" t="s">
        <v>94</v>
      </c>
      <c r="D77" s="6">
        <v>10.0</v>
      </c>
      <c r="E77" s="8">
        <v>46097.605938506946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95</v>
      </c>
      <c r="D78" s="6">
        <v>97.0</v>
      </c>
      <c r="E78" s="8">
        <v>46097.60601603009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96</v>
      </c>
      <c r="D79" s="6">
        <v>12.0</v>
      </c>
      <c r="E79" s="8">
        <v>46097.654086400464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97</v>
      </c>
      <c r="D80" s="6">
        <v>22.0</v>
      </c>
      <c r="E80" s="8">
        <v>46097.65413039352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2.0</v>
      </c>
      <c r="C81" s="7" t="s">
        <v>98</v>
      </c>
      <c r="D81" s="6">
        <v>26.0</v>
      </c>
      <c r="E81" s="8">
        <v>46097.65461159722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99</v>
      </c>
      <c r="D82" s="6">
        <v>14.0</v>
      </c>
      <c r="E82" s="8">
        <v>46097.65469164352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100</v>
      </c>
      <c r="D83" s="6">
        <v>41.0</v>
      </c>
      <c r="E83" s="8">
        <v>46097.654833865745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101</v>
      </c>
      <c r="D84" s="6">
        <v>8.5</v>
      </c>
      <c r="E84" s="8">
        <v>46097.65566597223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2.0</v>
      </c>
      <c r="C85" s="7" t="s">
        <v>102</v>
      </c>
      <c r="D85" s="6">
        <v>18.0</v>
      </c>
      <c r="E85" s="8">
        <v>46097.660587349535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2.0</v>
      </c>
      <c r="C86" s="7" t="s">
        <v>103</v>
      </c>
      <c r="D86" s="6">
        <v>100.0</v>
      </c>
      <c r="E86" s="8">
        <v>46097.66067849537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104</v>
      </c>
      <c r="D87" s="6">
        <v>72.0</v>
      </c>
      <c r="E87" s="8">
        <v>46097.67427099537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105</v>
      </c>
      <c r="D88" s="6">
        <v>29.0</v>
      </c>
      <c r="E88" s="8">
        <v>46097.679650335645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106</v>
      </c>
      <c r="D89" s="6">
        <v>9.0</v>
      </c>
      <c r="E89" s="8">
        <v>46097.679773310185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 t="s">
        <v>107</v>
      </c>
      <c r="C90" s="7" t="s">
        <v>108</v>
      </c>
      <c r="D90" s="6">
        <v>52.5</v>
      </c>
      <c r="E90" s="8">
        <v>46097.679908391205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109</v>
      </c>
      <c r="D91" s="6">
        <v>9.0</v>
      </c>
      <c r="E91" s="8">
        <v>46097.68026784722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110</v>
      </c>
      <c r="D92" s="6">
        <v>1.0</v>
      </c>
      <c r="E92" s="8">
        <v>46097.68038628472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111</v>
      </c>
      <c r="D93" s="6">
        <v>5.5</v>
      </c>
      <c r="E93" s="8">
        <v>46097.68045140046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112</v>
      </c>
      <c r="D94" s="6">
        <v>72.0</v>
      </c>
      <c r="E94" s="8">
        <v>46097.68228418981</v>
      </c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113</v>
      </c>
      <c r="D95" s="6">
        <v>72.0</v>
      </c>
      <c r="E95" s="8">
        <v>46097.682465300924</v>
      </c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4.0</v>
      </c>
      <c r="C96" s="7" t="s">
        <v>114</v>
      </c>
      <c r="D96" s="6">
        <v>20.0</v>
      </c>
      <c r="E96" s="8">
        <v>46097.682580451394</v>
      </c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200.0</v>
      </c>
      <c r="C97" s="7" t="s">
        <v>115</v>
      </c>
      <c r="D97" s="6">
        <v>56.0</v>
      </c>
      <c r="E97" s="8">
        <v>46097.68272305556</v>
      </c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116</v>
      </c>
      <c r="D98" s="6">
        <v>10.0</v>
      </c>
      <c r="E98" s="8">
        <v>46097.68288565973</v>
      </c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117</v>
      </c>
      <c r="D99" s="6">
        <v>120.0</v>
      </c>
      <c r="E99" s="8">
        <v>46097.69341273148</v>
      </c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118</v>
      </c>
      <c r="D100" s="6">
        <v>30.0</v>
      </c>
      <c r="E100" s="8">
        <v>46097.69380289352</v>
      </c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119</v>
      </c>
      <c r="D101" s="6">
        <v>45.0</v>
      </c>
      <c r="E101" s="8">
        <v>46097.693953078706</v>
      </c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120</v>
      </c>
      <c r="D102" s="6">
        <v>8.0</v>
      </c>
      <c r="E102" s="8">
        <v>46097.69417559028</v>
      </c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121</v>
      </c>
      <c r="D103" s="6">
        <v>2.5</v>
      </c>
      <c r="E103" s="8">
        <v>46097.69429741898</v>
      </c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122</v>
      </c>
      <c r="D104" s="6">
        <v>1.5</v>
      </c>
      <c r="E104" s="8">
        <v>46097.69450858796</v>
      </c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123</v>
      </c>
      <c r="D105" s="6">
        <v>99.0</v>
      </c>
      <c r="E105" s="8">
        <v>46097.70058181713</v>
      </c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124</v>
      </c>
      <c r="D106" s="6">
        <v>25.0</v>
      </c>
      <c r="E106" s="8">
        <v>46097.70106605324</v>
      </c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125</v>
      </c>
      <c r="D107" s="6">
        <v>15.0</v>
      </c>
      <c r="E107" s="8">
        <v>46097.70670101852</v>
      </c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1.0</v>
      </c>
      <c r="C108" s="7" t="s">
        <v>126</v>
      </c>
      <c r="D108" s="6">
        <v>82.0</v>
      </c>
      <c r="E108" s="8">
        <v>46097.70675237269</v>
      </c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2.0</v>
      </c>
      <c r="C109" s="7" t="s">
        <v>127</v>
      </c>
      <c r="D109" s="6">
        <v>6.0</v>
      </c>
      <c r="E109" s="8">
        <v>46097.72845766204</v>
      </c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1.0</v>
      </c>
      <c r="C110" s="7" t="s">
        <v>128</v>
      </c>
      <c r="D110" s="6">
        <v>13.5</v>
      </c>
      <c r="E110" s="8">
        <v>46097.72865064815</v>
      </c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 t="s">
        <v>129</v>
      </c>
      <c r="C111" s="7" t="s">
        <v>130</v>
      </c>
      <c r="D111" s="6">
        <v>57.5</v>
      </c>
      <c r="E111" s="8">
        <v>46097.72924267361</v>
      </c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5.0</v>
      </c>
      <c r="C112" s="7" t="s">
        <v>131</v>
      </c>
      <c r="D112" s="6">
        <v>10.0</v>
      </c>
      <c r="E112" s="8">
        <v>46097.734505879635</v>
      </c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6">
        <v>1.0</v>
      </c>
      <c r="C113" s="7" t="s">
        <v>132</v>
      </c>
      <c r="D113" s="6">
        <v>40.0</v>
      </c>
      <c r="E113" s="8">
        <v>46097.73840332176</v>
      </c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6">
        <v>1.0</v>
      </c>
      <c r="C114" s="7" t="s">
        <v>133</v>
      </c>
      <c r="D114" s="6">
        <v>10.0</v>
      </c>
      <c r="E114" s="8">
        <v>46097.745978148145</v>
      </c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6">
        <v>3.0</v>
      </c>
      <c r="C115" s="7" t="s">
        <v>134</v>
      </c>
      <c r="D115" s="6">
        <v>384.0</v>
      </c>
      <c r="E115" s="8">
        <v>46097.75123390046</v>
      </c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6">
        <v>1.0</v>
      </c>
      <c r="C116" s="7" t="s">
        <v>135</v>
      </c>
      <c r="D116" s="6">
        <v>19.0</v>
      </c>
      <c r="E116" s="8">
        <v>46097.76026481482</v>
      </c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6">
        <v>1.0</v>
      </c>
      <c r="C117" s="7" t="s">
        <v>136</v>
      </c>
      <c r="D117" s="6">
        <v>48.0</v>
      </c>
      <c r="E117" s="8">
        <v>46097.76658101851</v>
      </c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6">
        <v>1.0</v>
      </c>
      <c r="C118" s="7" t="s">
        <v>137</v>
      </c>
      <c r="D118" s="6">
        <v>60.0</v>
      </c>
      <c r="E118" s="8">
        <v>46097.76664353009</v>
      </c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6">
        <v>0.5</v>
      </c>
      <c r="C119" s="7" t="s">
        <v>138</v>
      </c>
      <c r="D119" s="6">
        <v>15.0</v>
      </c>
      <c r="E119" s="8">
        <v>46097.76679136574</v>
      </c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