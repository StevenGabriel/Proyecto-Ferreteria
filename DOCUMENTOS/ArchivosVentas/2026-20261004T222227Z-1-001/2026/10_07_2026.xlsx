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<sst xmlns="http://schemas.openxmlformats.org/spreadsheetml/2006/main" count="115" uniqueCount="110">
  <si>
    <t>HOJA DE CALCULO FERRETERIA</t>
  </si>
  <si>
    <t>CODIGO</t>
  </si>
  <si>
    <t>CANTIDAD</t>
  </si>
  <si>
    <t>DESCRIPCION</t>
  </si>
  <si>
    <t>TOTAL</t>
  </si>
  <si>
    <t>HORA</t>
  </si>
  <si>
    <t>CUADRAR</t>
  </si>
  <si>
    <t>foco 50w</t>
  </si>
  <si>
    <t>candado tr</t>
  </si>
  <si>
    <t>MONEDAS</t>
  </si>
  <si>
    <t>CAJA CHICA</t>
  </si>
  <si>
    <t>10M</t>
  </si>
  <si>
    <t xml:space="preserve">MANGUERA NIVL </t>
  </si>
  <si>
    <t>BILLETES 10-20</t>
  </si>
  <si>
    <t>TOTAL VENTAS DIA</t>
  </si>
  <si>
    <t>FLAPER ASTRA</t>
  </si>
  <si>
    <t>BILLETES 50-100-200</t>
  </si>
  <si>
    <t>AUMENTO DE DINERO</t>
  </si>
  <si>
    <t>TERMICO 50</t>
  </si>
  <si>
    <t>INGRESOS YAPE</t>
  </si>
  <si>
    <t>CODO</t>
  </si>
  <si>
    <t>INGRESOS TARJETA</t>
  </si>
  <si>
    <t>CAÑERIA</t>
  </si>
  <si>
    <t>GASTOS VARIOS</t>
  </si>
  <si>
    <t>JEUGOD E CERPILLO TRUPER</t>
  </si>
  <si>
    <t>ESCUADRA PLANA11/2</t>
  </si>
  <si>
    <t>DINERO GANADO HOY:</t>
  </si>
  <si>
    <t>CANTIDAD DINERO CAJA:</t>
  </si>
  <si>
    <t>BROCA CERAMICA 6</t>
  </si>
  <si>
    <t>MEMBRANA BOMBA</t>
  </si>
  <si>
    <t>TARRAJA 1/2</t>
  </si>
  <si>
    <t>SINGER</t>
  </si>
  <si>
    <t>MANGUERA GAS CON REGULADOR</t>
  </si>
  <si>
    <t>ABRAZADERA REDONDA</t>
  </si>
  <si>
    <t>GRAMPA</t>
  </si>
  <si>
    <t>YAPE MAMÁ</t>
  </si>
  <si>
    <t>YAPE PAPÁ</t>
  </si>
  <si>
    <t>YAPE</t>
  </si>
  <si>
    <t>BOLSA CLAVO</t>
  </si>
  <si>
    <t>Monto Total YAPE (No tocar):</t>
  </si>
  <si>
    <t>YEE 4</t>
  </si>
  <si>
    <t>WD-40</t>
  </si>
  <si>
    <t>Monto Total Registrado en aplicacion</t>
  </si>
  <si>
    <t>DISCO GALLETA 7</t>
  </si>
  <si>
    <t>ESPUMA EXPANSIVA</t>
  </si>
  <si>
    <t>DISCO CERAMICA 4</t>
  </si>
  <si>
    <t>GOTITA</t>
  </si>
  <si>
    <t>AERSOOL CAFE OSCURO</t>
  </si>
  <si>
    <t>1/2M</t>
  </si>
  <si>
    <t>LIJA 220</t>
  </si>
  <si>
    <t xml:space="preserve">ADAPTDOR </t>
  </si>
  <si>
    <t>COMBO 1.5KL</t>
  </si>
  <si>
    <t>PAGOS YAPE</t>
  </si>
  <si>
    <t>DESCRIPCION PAGO</t>
  </si>
  <si>
    <t>CINCEL ENCASTRE</t>
  </si>
  <si>
    <t>CHAPA HR</t>
  </si>
  <si>
    <t>ESCOBA ESCOMBRE 18</t>
  </si>
  <si>
    <t>HILO DE PESCA 0.8</t>
  </si>
  <si>
    <t>1KL</t>
  </si>
  <si>
    <t>CLAVO 2</t>
  </si>
  <si>
    <t>PRESA MAKAWA</t>
  </si>
  <si>
    <t>ALICATE TIPO C TRUOER</t>
  </si>
  <si>
    <t xml:space="preserve">TUBON CONDUIT </t>
  </si>
  <si>
    <t>CODO CONDUIT</t>
  </si>
  <si>
    <t>CINA ASILANTE</t>
  </si>
  <si>
    <t>NIPLE FG 3/4X1/2</t>
  </si>
  <si>
    <t>SISNETICA AMARILLO</t>
  </si>
  <si>
    <t>TENAZAS</t>
  </si>
  <si>
    <t>LLAVE COMBINADA 22</t>
  </si>
  <si>
    <t>ESTILETES</t>
  </si>
  <si>
    <t>TRAPOS</t>
  </si>
  <si>
    <t>GUANTES ASATEX</t>
  </si>
  <si>
    <t>BROCA DEBOR 2.5</t>
  </si>
  <si>
    <t>1/4KL</t>
  </si>
  <si>
    <t>ELECCTRODP GRUEZA</t>
  </si>
  <si>
    <t>TEZADIO</t>
  </si>
  <si>
    <t>TEZADOR</t>
  </si>
  <si>
    <t>TIZA</t>
  </si>
  <si>
    <t xml:space="preserve">rodillo </t>
  </si>
  <si>
    <t>chicotilo 40 hm</t>
  </si>
  <si>
    <t>teflon</t>
  </si>
  <si>
    <t>4m</t>
  </si>
  <si>
    <t>cadena 1/8</t>
  </si>
  <si>
    <t>poxipol</t>
  </si>
  <si>
    <t>carpicola</t>
  </si>
  <si>
    <t>soble contacto cristal</t>
  </si>
  <si>
    <t>termico50 x 1</t>
  </si>
  <si>
    <t>saca bocado 32mm</t>
  </si>
  <si>
    <t>1,5m</t>
  </si>
  <si>
    <t>perlon 12</t>
  </si>
  <si>
    <t>aerosol cefe oscuro</t>
  </si>
  <si>
    <t>RESISTENCI ALORENZETY</t>
  </si>
  <si>
    <t>MEDIDOS DE AIRE UYUS</t>
  </si>
  <si>
    <t>PERLON 3</t>
  </si>
  <si>
    <t>DESARMADOR REVERCIBLE</t>
  </si>
  <si>
    <t>CADENA GAL 1/4</t>
  </si>
  <si>
    <t>CATALIZADOR PARA MASILLA</t>
  </si>
  <si>
    <t>DISCO CON LIJAS 4</t>
  </si>
  <si>
    <t>RAMPLU 8</t>
  </si>
  <si>
    <t>TONILOS</t>
  </si>
  <si>
    <t>DADO LARGO</t>
  </si>
  <si>
    <t>CARBON</t>
  </si>
  <si>
    <t>DISCO FE</t>
  </si>
  <si>
    <t>ALAMBRE ANA</t>
  </si>
  <si>
    <t>PERNOS HEX</t>
  </si>
  <si>
    <t>TEFLON</t>
  </si>
  <si>
    <t>JGO DE AIRE COMPR UYUS</t>
  </si>
  <si>
    <t>BROCHA 2</t>
  </si>
  <si>
    <t>SIERRA NICHOL</t>
  </si>
  <si>
    <t>caladoras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</si>
</sst>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theme="8"/>
        <bgColor theme="8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5" fontId="5" numFmtId="0" xfId="0" applyAlignment="1" applyBorder="1" applyFill="1" applyFon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8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58.0</v>
      </c>
      <c r="E8" s="8">
        <v>46213.359362800926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50.0</v>
      </c>
      <c r="E9" s="8">
        <v>46213.362663506945</v>
      </c>
      <c r="F9" s="2"/>
      <c r="G9" s="9" t="s">
        <v>9</v>
      </c>
      <c r="H9" s="10">
        <v>138.5</v>
      </c>
      <c r="I9" s="2"/>
      <c r="J9" s="9" t="s">
        <v>10</v>
      </c>
      <c r="K9" s="10">
        <v>549.0</v>
      </c>
      <c r="L9" s="2"/>
      <c r="M9" s="2"/>
      <c r="N9" s="2"/>
      <c r="O9" s="2"/>
      <c r="P9" s="2"/>
      <c r="Q9" s="2"/>
    </row>
    <row r="10" ht="22.5" customHeight="1">
      <c r="A10" s="6"/>
      <c r="B10" s="6" t="s">
        <v>11</v>
      </c>
      <c r="C10" s="7" t="s">
        <v>12</v>
      </c>
      <c r="D10" s="6">
        <v>140.0</v>
      </c>
      <c r="E10" s="8">
        <v>46213.37816910879</v>
      </c>
      <c r="F10" s="2"/>
      <c r="G10" s="9" t="s">
        <v>13</v>
      </c>
      <c r="H10" s="10">
        <v>410.0</v>
      </c>
      <c r="I10" s="2"/>
      <c r="J10" s="9" t="s">
        <v>14</v>
      </c>
      <c r="K10" s="11">
        <f>SUM(PRINCIPAL[TOTAL])</f>
        <v>4688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15</v>
      </c>
      <c r="D11" s="6">
        <v>8.0</v>
      </c>
      <c r="E11" s="8">
        <v>46213.37825185186</v>
      </c>
      <c r="F11" s="2"/>
      <c r="G11" s="9" t="s">
        <v>16</v>
      </c>
      <c r="H11" s="10">
        <v>2050.0</v>
      </c>
      <c r="I11" s="2"/>
      <c r="J11" s="9" t="s">
        <v>17</v>
      </c>
      <c r="K11" s="10">
        <v>370.0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6">
        <v>29.0</v>
      </c>
      <c r="E12" s="8">
        <v>46213.40010112269</v>
      </c>
      <c r="F12" s="2"/>
      <c r="G12" s="9" t="s">
        <v>19</v>
      </c>
      <c r="H12" s="12">
        <f>SUM(G24:H361)</f>
        <v>3077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4.0</v>
      </c>
      <c r="E13" s="8">
        <v>46213.40489651621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0.5</v>
      </c>
      <c r="C14" s="7" t="s">
        <v>22</v>
      </c>
      <c r="D14" s="6">
        <v>5.0</v>
      </c>
      <c r="E14" s="8">
        <v>46213.40715831019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24</v>
      </c>
      <c r="D15" s="6">
        <v>64.0</v>
      </c>
      <c r="E15" s="8">
        <v>46213.40725603009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6.0</v>
      </c>
      <c r="C16" s="7" t="s">
        <v>25</v>
      </c>
      <c r="D16" s="6">
        <v>7.5</v>
      </c>
      <c r="E16" s="8">
        <v>46213.40970346065</v>
      </c>
      <c r="F16" s="2"/>
      <c r="G16" s="15" t="s">
        <v>26</v>
      </c>
      <c r="H16" s="16">
        <f>SUM(H9:H14)</f>
        <v>5675.5</v>
      </c>
      <c r="I16" s="3"/>
      <c r="J16" s="15" t="s">
        <v>27</v>
      </c>
      <c r="K16" s="16">
        <f>SUM(K9:K11)</f>
        <v>5607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29.0</v>
      </c>
      <c r="E17" s="8">
        <v>46213.40986318287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17">
        <v>72.0</v>
      </c>
      <c r="E18" s="8">
        <v>46213.41640688658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68,50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52.0</v>
      </c>
      <c r="E19" s="8">
        <v>46213.417979756945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15.0</v>
      </c>
      <c r="E20" s="8">
        <v>46213.42067697916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69.0</v>
      </c>
      <c r="E21" s="8">
        <v>46213.42843962963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33</v>
      </c>
      <c r="D22" s="6">
        <v>6.0</v>
      </c>
      <c r="E22" s="8">
        <v>46213.42854692129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74.0</v>
      </c>
      <c r="E23" s="8">
        <v>46213.43257684028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23">
        <v>4.0</v>
      </c>
      <c r="E24" s="8">
        <v>46213.435584872685</v>
      </c>
      <c r="F24" s="2"/>
      <c r="G24" s="24">
        <v>9.0</v>
      </c>
      <c r="H24" s="24">
        <v>852.0</v>
      </c>
      <c r="I24" s="2"/>
      <c r="J24" s="25" t="s">
        <v>39</v>
      </c>
      <c r="K24" s="26">
        <f>SUM(INGRESOS_YAPE[])</f>
        <v>3077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24.0</v>
      </c>
      <c r="E25" s="8">
        <v>46213.44535729167</v>
      </c>
      <c r="F25" s="2"/>
      <c r="G25" s="24">
        <v>36.0</v>
      </c>
      <c r="H25" s="27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95.0</v>
      </c>
      <c r="E26" s="8">
        <v>46213.45062505787</v>
      </c>
      <c r="F26" s="2"/>
      <c r="G26" s="28">
        <v>52.0</v>
      </c>
      <c r="H26" s="27"/>
      <c r="I26" s="2"/>
      <c r="J26" s="29" t="s">
        <v>42</v>
      </c>
      <c r="K26" s="30"/>
      <c r="L26" s="2"/>
      <c r="M26" s="2"/>
      <c r="N26" s="2"/>
      <c r="O26" s="2"/>
      <c r="P26" s="2"/>
      <c r="Q26" s="2"/>
    </row>
    <row r="27" ht="22.5" customHeight="1">
      <c r="A27" s="13"/>
      <c r="B27" s="6">
        <v>5.0</v>
      </c>
      <c r="C27" s="7" t="s">
        <v>43</v>
      </c>
      <c r="D27" s="6">
        <v>45.0</v>
      </c>
      <c r="E27" s="8">
        <v>46213.45308597222</v>
      </c>
      <c r="F27" s="2"/>
      <c r="G27" s="24">
        <v>15.0</v>
      </c>
      <c r="H27" s="27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57.0</v>
      </c>
      <c r="E28" s="8">
        <v>46213.453159537035</v>
      </c>
      <c r="F28" s="2"/>
      <c r="G28" s="24">
        <v>75.0</v>
      </c>
      <c r="H28" s="27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91.0</v>
      </c>
      <c r="E29" s="8">
        <v>46213.453460046294</v>
      </c>
      <c r="F29" s="2"/>
      <c r="G29" s="24">
        <v>74.0</v>
      </c>
      <c r="H29" s="27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3077,00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11.0</v>
      </c>
      <c r="E30" s="8">
        <v>46213.45354368056</v>
      </c>
      <c r="F30" s="2"/>
      <c r="G30" s="24">
        <v>4.0</v>
      </c>
      <c r="H30" s="27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20.0</v>
      </c>
      <c r="E31" s="8">
        <v>46213.45368280093</v>
      </c>
      <c r="F31" s="2"/>
      <c r="G31" s="24">
        <v>193.0</v>
      </c>
      <c r="H31" s="27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 t="s">
        <v>48</v>
      </c>
      <c r="C32" s="7" t="s">
        <v>49</v>
      </c>
      <c r="D32" s="6">
        <v>5.0</v>
      </c>
      <c r="E32" s="8">
        <v>46213.453782662036</v>
      </c>
      <c r="F32" s="2"/>
      <c r="G32" s="24">
        <v>25.0</v>
      </c>
      <c r="H32" s="27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50</v>
      </c>
      <c r="D33" s="6">
        <v>10.0</v>
      </c>
      <c r="E33" s="8">
        <v>46213.45893791667</v>
      </c>
      <c r="F33" s="2"/>
      <c r="G33" s="24">
        <v>119.0</v>
      </c>
      <c r="H33" s="27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51</v>
      </c>
      <c r="D34" s="6">
        <v>83.0</v>
      </c>
      <c r="E34" s="8">
        <v>46213.47062212963</v>
      </c>
      <c r="F34" s="2"/>
      <c r="G34" s="24">
        <v>134.0</v>
      </c>
      <c r="H34" s="27"/>
      <c r="I34" s="2"/>
      <c r="J34" s="32" t="s">
        <v>52</v>
      </c>
      <c r="K34" s="32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54</v>
      </c>
      <c r="D35" s="6">
        <v>36.0</v>
      </c>
      <c r="E35" s="8">
        <v>46213.4707358912</v>
      </c>
      <c r="F35" s="2"/>
      <c r="G35" s="24">
        <v>410.0</v>
      </c>
      <c r="H35" s="27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55</v>
      </c>
      <c r="D36" s="6">
        <v>134.0</v>
      </c>
      <c r="E36" s="8">
        <v>46213.476764363426</v>
      </c>
      <c r="F36" s="2"/>
      <c r="G36" s="24">
        <v>24.0</v>
      </c>
      <c r="H36" s="27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56</v>
      </c>
      <c r="D37" s="6">
        <v>135.0</v>
      </c>
      <c r="E37" s="8">
        <v>46213.47689342593</v>
      </c>
      <c r="F37" s="2"/>
      <c r="G37" s="24">
        <v>100.0</v>
      </c>
      <c r="H37" s="27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57</v>
      </c>
      <c r="D38" s="6">
        <v>23.0</v>
      </c>
      <c r="E38" s="8">
        <v>46213.48582318287</v>
      </c>
      <c r="F38" s="2"/>
      <c r="G38" s="24">
        <v>760.0</v>
      </c>
      <c r="H38" s="27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 t="s">
        <v>58</v>
      </c>
      <c r="C39" s="7" t="s">
        <v>59</v>
      </c>
      <c r="D39" s="6">
        <v>20.0</v>
      </c>
      <c r="E39" s="8">
        <v>46213.48587953704</v>
      </c>
      <c r="F39" s="2"/>
      <c r="G39" s="24">
        <v>3.0</v>
      </c>
      <c r="H39" s="27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6">
        <v>3.0</v>
      </c>
      <c r="C40" s="7" t="s">
        <v>60</v>
      </c>
      <c r="D40" s="6">
        <v>270.0</v>
      </c>
      <c r="E40" s="8">
        <v>46213.491745983796</v>
      </c>
      <c r="F40" s="2"/>
      <c r="G40" s="24">
        <v>12.0</v>
      </c>
      <c r="H40" s="27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61</v>
      </c>
      <c r="D41" s="6">
        <v>140.0</v>
      </c>
      <c r="E41" s="8">
        <v>46213.49184081018</v>
      </c>
      <c r="F41" s="2"/>
      <c r="G41" s="24">
        <v>40.0</v>
      </c>
      <c r="H41" s="27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6">
        <v>6.0</v>
      </c>
      <c r="C42" s="7" t="s">
        <v>62</v>
      </c>
      <c r="D42" s="6">
        <v>42.0</v>
      </c>
      <c r="E42" s="8">
        <v>46213.49467439815</v>
      </c>
      <c r="F42" s="2"/>
      <c r="G42" s="24">
        <v>24.0</v>
      </c>
      <c r="H42" s="27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6.0</v>
      </c>
      <c r="C43" s="7" t="s">
        <v>63</v>
      </c>
      <c r="D43" s="6">
        <v>6.0</v>
      </c>
      <c r="E43" s="8">
        <v>46213.49474065972</v>
      </c>
      <c r="F43" s="2"/>
      <c r="G43" s="24">
        <v>91.0</v>
      </c>
      <c r="H43" s="27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64</v>
      </c>
      <c r="D44" s="6">
        <v>9.0</v>
      </c>
      <c r="E44" s="8">
        <v>46213.494821319444</v>
      </c>
      <c r="F44" s="2"/>
      <c r="G44" s="24">
        <v>25.0</v>
      </c>
      <c r="H44" s="27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65</v>
      </c>
      <c r="D45" s="6">
        <v>24.0</v>
      </c>
      <c r="E45" s="8">
        <v>46213.50206255787</v>
      </c>
      <c r="F45" s="2"/>
      <c r="G45" s="27"/>
      <c r="H45" s="27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66</v>
      </c>
      <c r="D46" s="6">
        <v>60.0</v>
      </c>
      <c r="E46" s="8">
        <v>46213.51507863426</v>
      </c>
      <c r="F46" s="2"/>
      <c r="G46" s="27"/>
      <c r="H46" s="27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2.0</v>
      </c>
      <c r="C47" s="7" t="s">
        <v>67</v>
      </c>
      <c r="D47" s="6">
        <v>198.0</v>
      </c>
      <c r="E47" s="8">
        <v>46213.515171481486</v>
      </c>
      <c r="F47" s="2"/>
      <c r="G47" s="27"/>
      <c r="H47" s="27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68</v>
      </c>
      <c r="D48" s="6">
        <v>48.0</v>
      </c>
      <c r="E48" s="8">
        <v>46213.51529814815</v>
      </c>
      <c r="F48" s="2"/>
      <c r="G48" s="27"/>
      <c r="H48" s="27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6.0</v>
      </c>
      <c r="C49" s="7" t="s">
        <v>69</v>
      </c>
      <c r="D49" s="6">
        <v>126.0</v>
      </c>
      <c r="E49" s="8">
        <v>46213.51538643519</v>
      </c>
      <c r="F49" s="2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48.0</v>
      </c>
      <c r="C50" s="7" t="s">
        <v>70</v>
      </c>
      <c r="D50" s="6">
        <v>384.0</v>
      </c>
      <c r="E50" s="8">
        <v>46213.51544326389</v>
      </c>
      <c r="F50" s="2"/>
      <c r="G50" s="27"/>
      <c r="H50" s="27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12.0</v>
      </c>
      <c r="C51" s="7" t="s">
        <v>71</v>
      </c>
      <c r="D51" s="6">
        <v>96.0</v>
      </c>
      <c r="E51" s="8">
        <v>46213.51555113426</v>
      </c>
      <c r="F51" s="2"/>
      <c r="G51" s="27"/>
      <c r="H51" s="27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10.0</v>
      </c>
      <c r="C52" s="7" t="s">
        <v>72</v>
      </c>
      <c r="D52" s="6">
        <v>100.0</v>
      </c>
      <c r="E52" s="8">
        <v>46213.527825439814</v>
      </c>
      <c r="F52" s="2"/>
      <c r="G52" s="27"/>
      <c r="H52" s="27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 t="s">
        <v>73</v>
      </c>
      <c r="C53" s="7" t="s">
        <v>74</v>
      </c>
      <c r="D53" s="6">
        <v>14.0</v>
      </c>
      <c r="E53" s="8">
        <v>46213.53068296296</v>
      </c>
      <c r="F53" s="2"/>
      <c r="G53" s="27"/>
      <c r="H53" s="27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75</v>
      </c>
      <c r="D54" s="6">
        <v>22.0</v>
      </c>
      <c r="E54" s="8">
        <v>46213.53147524306</v>
      </c>
      <c r="F54" s="2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76</v>
      </c>
      <c r="D55" s="6">
        <v>34.0</v>
      </c>
      <c r="E55" s="8">
        <v>46213.53150696759</v>
      </c>
      <c r="F55" s="2"/>
      <c r="G55" s="27"/>
      <c r="H55" s="27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77</v>
      </c>
      <c r="D56" s="6">
        <v>3.0</v>
      </c>
      <c r="E56" s="8">
        <v>46213.531573622684</v>
      </c>
      <c r="F56" s="2"/>
      <c r="G56" s="27"/>
      <c r="H56" s="27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78</v>
      </c>
      <c r="D57" s="6">
        <v>10.0</v>
      </c>
      <c r="E57" s="8">
        <v>46213.555811087965</v>
      </c>
      <c r="F57" s="2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79</v>
      </c>
      <c r="D58" s="6">
        <v>60.0</v>
      </c>
      <c r="E58" s="8">
        <v>46213.56371643519</v>
      </c>
      <c r="F58" s="2"/>
      <c r="G58" s="27"/>
      <c r="H58" s="27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80</v>
      </c>
      <c r="D59" s="6">
        <v>2.5</v>
      </c>
      <c r="E59" s="8">
        <v>46213.56375803241</v>
      </c>
      <c r="F59" s="2"/>
      <c r="G59" s="27"/>
      <c r="H59" s="27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 t="s">
        <v>81</v>
      </c>
      <c r="C60" s="7" t="s">
        <v>82</v>
      </c>
      <c r="D60" s="6">
        <v>36.0</v>
      </c>
      <c r="E60" s="8">
        <v>46213.56418819445</v>
      </c>
      <c r="F60" s="2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83</v>
      </c>
      <c r="D61" s="6">
        <v>36.0</v>
      </c>
      <c r="E61" s="8">
        <v>46213.573519722224</v>
      </c>
      <c r="F61" s="2"/>
      <c r="G61" s="27"/>
      <c r="H61" s="27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84</v>
      </c>
      <c r="D62" s="6">
        <v>8.0</v>
      </c>
      <c r="E62" s="8">
        <v>46213.58699777778</v>
      </c>
      <c r="F62" s="2"/>
      <c r="G62" s="27"/>
      <c r="H62" s="27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85</v>
      </c>
      <c r="D63" s="6">
        <v>49.0</v>
      </c>
      <c r="E63" s="8">
        <v>46213.60240015046</v>
      </c>
      <c r="F63" s="2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86</v>
      </c>
      <c r="D64" s="6">
        <v>58.0</v>
      </c>
      <c r="E64" s="8">
        <v>46213.61058627315</v>
      </c>
      <c r="F64" s="2"/>
      <c r="G64" s="27"/>
      <c r="H64" s="27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87</v>
      </c>
      <c r="D65" s="6">
        <v>78.0</v>
      </c>
      <c r="E65" s="8">
        <v>46213.61078771991</v>
      </c>
      <c r="F65" s="2"/>
      <c r="G65" s="27"/>
      <c r="H65" s="27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 t="s">
        <v>88</v>
      </c>
      <c r="C66" s="7" t="s">
        <v>89</v>
      </c>
      <c r="D66" s="6">
        <v>12.0</v>
      </c>
      <c r="E66" s="8">
        <v>46213.61102020834</v>
      </c>
      <c r="F66" s="2"/>
      <c r="G66" s="27"/>
      <c r="H66" s="27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2.0</v>
      </c>
      <c r="C67" s="7" t="s">
        <v>90</v>
      </c>
      <c r="D67" s="6">
        <v>40.0</v>
      </c>
      <c r="E67" s="8">
        <v>46213.615264837965</v>
      </c>
      <c r="F67" s="2"/>
      <c r="G67" s="27"/>
      <c r="H67" s="27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91</v>
      </c>
      <c r="D68" s="6">
        <v>24.0</v>
      </c>
      <c r="E68" s="8">
        <v>46213.616457881944</v>
      </c>
      <c r="F68" s="2"/>
      <c r="G68" s="27"/>
      <c r="H68" s="27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92</v>
      </c>
      <c r="D69" s="6">
        <v>91.0</v>
      </c>
      <c r="E69" s="8">
        <v>46213.61780960648</v>
      </c>
      <c r="F69" s="2"/>
      <c r="G69" s="27"/>
      <c r="H69" s="27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 t="s">
        <v>11</v>
      </c>
      <c r="C70" s="7" t="s">
        <v>93</v>
      </c>
      <c r="D70" s="6">
        <v>15.0</v>
      </c>
      <c r="E70" s="8">
        <v>46213.61786076389</v>
      </c>
      <c r="F70" s="2"/>
      <c r="G70" s="27"/>
      <c r="H70" s="27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94</v>
      </c>
      <c r="D71" s="6">
        <v>8.0</v>
      </c>
      <c r="E71" s="8">
        <v>46213.65677107639</v>
      </c>
      <c r="F71" s="2"/>
      <c r="G71" s="27"/>
      <c r="H71" s="27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 t="s">
        <v>48</v>
      </c>
      <c r="C72" s="7" t="s">
        <v>95</v>
      </c>
      <c r="D72" s="6">
        <v>13.0</v>
      </c>
      <c r="E72" s="8">
        <v>46213.66945606482</v>
      </c>
      <c r="F72" s="2"/>
      <c r="G72" s="27"/>
      <c r="H72" s="27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96</v>
      </c>
      <c r="D73" s="23">
        <v>16.0</v>
      </c>
      <c r="E73" s="8">
        <v>46213.67179604167</v>
      </c>
      <c r="F73" s="2"/>
      <c r="G73" s="27"/>
      <c r="H73" s="27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97</v>
      </c>
      <c r="D74" s="6">
        <v>22.0</v>
      </c>
      <c r="E74" s="8">
        <v>46213.68211479166</v>
      </c>
      <c r="F74" s="2"/>
      <c r="G74" s="27"/>
      <c r="H74" s="27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12.0</v>
      </c>
      <c r="C75" s="7" t="s">
        <v>98</v>
      </c>
      <c r="D75" s="6">
        <v>2.0</v>
      </c>
      <c r="E75" s="8">
        <v>46213.6903441551</v>
      </c>
      <c r="F75" s="2"/>
      <c r="G75" s="27"/>
      <c r="H75" s="27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12.0</v>
      </c>
      <c r="C76" s="7" t="s">
        <v>99</v>
      </c>
      <c r="D76" s="23">
        <v>5.0</v>
      </c>
      <c r="E76" s="8">
        <v>46213.690413564815</v>
      </c>
      <c r="F76" s="2"/>
      <c r="G76" s="27"/>
      <c r="H76" s="27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100</v>
      </c>
      <c r="D77" s="6">
        <v>42.0</v>
      </c>
      <c r="E77" s="8">
        <v>46213.695846215276</v>
      </c>
      <c r="F77" s="2"/>
      <c r="G77" s="27"/>
      <c r="H77" s="27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101</v>
      </c>
      <c r="D78" s="6">
        <v>25.0</v>
      </c>
      <c r="E78" s="8">
        <v>46213.704685289355</v>
      </c>
      <c r="F78" s="2"/>
      <c r="G78" s="27"/>
      <c r="H78" s="27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102</v>
      </c>
      <c r="D79" s="6">
        <v>10.0</v>
      </c>
      <c r="E79" s="8">
        <v>46213.72817459491</v>
      </c>
      <c r="F79" s="2"/>
      <c r="G79" s="27"/>
      <c r="H79" s="27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103</v>
      </c>
      <c r="D80" s="6">
        <v>40.0</v>
      </c>
      <c r="E80" s="8">
        <v>46213.75183876157</v>
      </c>
      <c r="F80" s="2"/>
      <c r="G80" s="27"/>
      <c r="H80" s="27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59</v>
      </c>
      <c r="D81" s="6">
        <v>24.0</v>
      </c>
      <c r="E81" s="8">
        <v>46213.751953831015</v>
      </c>
      <c r="F81" s="2"/>
      <c r="G81" s="27"/>
      <c r="H81" s="27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3.0</v>
      </c>
      <c r="C82" s="7" t="s">
        <v>104</v>
      </c>
      <c r="D82" s="6">
        <v>4.5</v>
      </c>
      <c r="E82" s="8">
        <v>46213.754372951385</v>
      </c>
      <c r="F82" s="2"/>
      <c r="G82" s="27"/>
      <c r="H82" s="27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33</v>
      </c>
      <c r="D83" s="6">
        <v>3.0</v>
      </c>
      <c r="E83" s="8">
        <v>46213.75650079861</v>
      </c>
      <c r="F83" s="2"/>
      <c r="G83" s="27"/>
      <c r="H83" s="27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105</v>
      </c>
      <c r="D84" s="6">
        <v>2.5</v>
      </c>
      <c r="E84" s="8">
        <v>46213.7566171875</v>
      </c>
      <c r="F84" s="2"/>
      <c r="G84" s="27"/>
      <c r="H84" s="27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106</v>
      </c>
      <c r="D85" s="6">
        <v>196.0</v>
      </c>
      <c r="E85" s="8">
        <v>46213.75688133102</v>
      </c>
      <c r="F85" s="2"/>
      <c r="G85" s="27"/>
      <c r="H85" s="27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107</v>
      </c>
      <c r="D86" s="6">
        <v>16.0</v>
      </c>
      <c r="E86" s="8">
        <v>46213.76225767361</v>
      </c>
      <c r="F86" s="2"/>
      <c r="G86" s="27"/>
      <c r="H86" s="27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94</v>
      </c>
      <c r="D87" s="6">
        <v>10.0</v>
      </c>
      <c r="E87" s="8">
        <v>46213.76548702546</v>
      </c>
      <c r="F87" s="2"/>
      <c r="G87" s="27"/>
      <c r="H87" s="27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108</v>
      </c>
      <c r="D88" s="6">
        <v>18.0</v>
      </c>
      <c r="E88" s="8">
        <v>46213.76566244213</v>
      </c>
      <c r="F88" s="2"/>
      <c r="G88" s="27"/>
      <c r="H88" s="27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7" t="s">
        <v>109</v>
      </c>
      <c r="D89" s="6">
        <v>660.0</v>
      </c>
      <c r="E89" s="8">
        <v>46213.78383784722</v>
      </c>
      <c r="F89" s="2"/>
      <c r="G89" s="27"/>
      <c r="H89" s="27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5"/>
      <c r="D90" s="36"/>
      <c r="E90" s="37"/>
      <c r="F90" s="2"/>
      <c r="G90" s="27"/>
      <c r="H90" s="27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5"/>
      <c r="D91" s="36"/>
      <c r="E91" s="37"/>
      <c r="F91" s="2"/>
      <c r="G91" s="27"/>
      <c r="H91" s="27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5"/>
      <c r="D92" s="36"/>
      <c r="E92" s="37"/>
      <c r="F92" s="2"/>
      <c r="G92" s="27"/>
      <c r="H92" s="27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5"/>
      <c r="D93" s="36"/>
      <c r="E93" s="37"/>
      <c r="F93" s="2"/>
      <c r="G93" s="27"/>
      <c r="H93" s="27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5"/>
      <c r="D94" s="36"/>
      <c r="E94" s="37"/>
      <c r="F94" s="2"/>
      <c r="G94" s="27"/>
      <c r="H94" s="27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37"/>
      <c r="F95" s="2"/>
      <c r="G95" s="27"/>
      <c r="H95" s="27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7"/>
      <c r="F96" s="2"/>
      <c r="G96" s="27"/>
      <c r="H96" s="27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7"/>
      <c r="F97" s="2"/>
      <c r="G97" s="27"/>
      <c r="H97" s="27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7"/>
      <c r="H98" s="27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7"/>
      <c r="H99" s="27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7"/>
      <c r="H100" s="27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7"/>
      <c r="H101" s="27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7"/>
      <c r="H102" s="27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7"/>
      <c r="H103" s="27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7"/>
      <c r="H104" s="27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7"/>
      <c r="H105" s="27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7"/>
      <c r="H106" s="27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7"/>
      <c r="H107" s="27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7"/>
      <c r="H108" s="27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7"/>
      <c r="H109" s="27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7"/>
      <c r="H110" s="27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7"/>
      <c r="H111" s="27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7"/>
      <c r="H112" s="27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7"/>
      <c r="H113" s="27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7"/>
      <c r="H114" s="27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7"/>
      <c r="H115" s="27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7"/>
      <c r="H116" s="27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7"/>
      <c r="H117" s="27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7"/>
      <c r="H118" s="27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7"/>
      <c r="H119" s="27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7"/>
      <c r="H120" s="27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7"/>
      <c r="H121" s="27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7"/>
      <c r="H122" s="27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7"/>
      <c r="H123" s="27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7"/>
      <c r="H124" s="27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7"/>
      <c r="H125" s="27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7"/>
      <c r="H126" s="27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7"/>
      <c r="H127" s="27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7"/>
      <c r="H128" s="27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7"/>
      <c r="H129" s="27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7"/>
      <c r="H130" s="27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7"/>
      <c r="H131" s="27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7"/>
      <c r="H132" s="27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7"/>
      <c r="H133" s="27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7"/>
      <c r="H134" s="27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7"/>
      <c r="H135" s="27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7"/>
      <c r="H136" s="27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7"/>
      <c r="H137" s="27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7"/>
      <c r="H138" s="27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7"/>
      <c r="H139" s="27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7"/>
      <c r="H140" s="27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7"/>
      <c r="H141" s="27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7"/>
      <c r="H142" s="27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7"/>
      <c r="H143" s="27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7"/>
      <c r="H144" s="27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7"/>
      <c r="H145" s="27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7"/>
      <c r="H146" s="27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7"/>
      <c r="H147" s="27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7"/>
      <c r="H148" s="27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7"/>
      <c r="H149" s="27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7"/>
      <c r="H150" s="27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7"/>
      <c r="H151" s="27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7"/>
      <c r="H152" s="27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7"/>
      <c r="H153" s="27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7"/>
      <c r="H154" s="27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7"/>
      <c r="H155" s="27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7"/>
      <c r="H156" s="27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7"/>
      <c r="H157" s="27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7"/>
      <c r="H158" s="27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7"/>
      <c r="H159" s="27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7"/>
      <c r="H160" s="27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7"/>
      <c r="H161" s="27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7"/>
      <c r="H162" s="27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7"/>
      <c r="H163" s="27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7"/>
      <c r="H164" s="27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7"/>
      <c r="H165" s="27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7"/>
      <c r="H166" s="27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7"/>
      <c r="H167" s="27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7"/>
      <c r="H168" s="27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7"/>
      <c r="H169" s="27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7"/>
      <c r="H170" s="27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7"/>
      <c r="H171" s="27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7"/>
      <c r="H172" s="27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7"/>
      <c r="H173" s="27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7"/>
      <c r="H174" s="27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7"/>
      <c r="H175" s="27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7"/>
      <c r="H176" s="27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7"/>
      <c r="H177" s="27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7"/>
      <c r="H178" s="27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7"/>
      <c r="H179" s="27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7"/>
      <c r="H180" s="27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7"/>
      <c r="H181" s="27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7"/>
      <c r="H182" s="27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7"/>
      <c r="H183" s="27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7"/>
      <c r="H184" s="27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7"/>
      <c r="H185" s="27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7"/>
      <c r="H186" s="27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7"/>
      <c r="H187" s="27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7"/>
      <c r="H188" s="27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7"/>
      <c r="H189" s="27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7"/>
      <c r="H190" s="27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7"/>
      <c r="H191" s="27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7"/>
      <c r="H192" s="27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7"/>
      <c r="H193" s="27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7"/>
      <c r="H194" s="27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7"/>
      <c r="H195" s="27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7"/>
      <c r="H196" s="27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7"/>
      <c r="H197" s="27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7"/>
      <c r="H198" s="27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7"/>
      <c r="H199" s="27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7"/>
      <c r="H200" s="27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7"/>
      <c r="H201" s="27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7"/>
      <c r="H202" s="27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7"/>
      <c r="H203" s="27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7"/>
      <c r="H204" s="27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7"/>
      <c r="H205" s="27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7"/>
      <c r="H206" s="27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7"/>
      <c r="H207" s="27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7"/>
      <c r="H208" s="27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7"/>
      <c r="H209" s="27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7"/>
      <c r="H210" s="27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7"/>
      <c r="H211" s="27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7"/>
      <c r="H212" s="27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7"/>
      <c r="H213" s="27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7"/>
      <c r="H214" s="27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7"/>
      <c r="H215" s="27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7"/>
      <c r="H216" s="27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7"/>
      <c r="H217" s="27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7"/>
      <c r="H218" s="27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7"/>
      <c r="H219" s="27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7"/>
      <c r="H220" s="27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7"/>
      <c r="H221" s="27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7"/>
      <c r="H222" s="27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7"/>
      <c r="H223" s="27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7"/>
      <c r="H224" s="27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7"/>
      <c r="H225" s="27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7"/>
      <c r="H226" s="27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7"/>
      <c r="H227" s="27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7"/>
      <c r="H228" s="27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7"/>
      <c r="H229" s="27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7"/>
      <c r="H230" s="27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7"/>
      <c r="H231" s="27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7"/>
      <c r="H232" s="27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7"/>
      <c r="H233" s="27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7"/>
      <c r="H234" s="27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7"/>
      <c r="H235" s="27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7"/>
      <c r="H236" s="27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7"/>
      <c r="H237" s="27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7"/>
      <c r="H238" s="27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7"/>
      <c r="H239" s="27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7"/>
      <c r="H240" s="27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7"/>
      <c r="H241" s="27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7"/>
      <c r="H242" s="27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7"/>
      <c r="H243" s="27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7"/>
      <c r="H244" s="27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7"/>
      <c r="H245" s="27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7"/>
      <c r="H246" s="27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7"/>
      <c r="H247" s="27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7"/>
      <c r="H248" s="27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7"/>
      <c r="H249" s="27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7"/>
      <c r="H250" s="27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7"/>
      <c r="H251" s="27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7"/>
      <c r="H252" s="27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7"/>
      <c r="H253" s="27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7"/>
      <c r="H254" s="27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7"/>
      <c r="H255" s="27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7"/>
      <c r="H256" s="27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7"/>
      <c r="H257" s="27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7"/>
      <c r="H258" s="27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7"/>
      <c r="H259" s="27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7"/>
      <c r="H260" s="27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7"/>
      <c r="H261" s="27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7"/>
      <c r="H262" s="27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7"/>
      <c r="H263" s="27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7"/>
      <c r="H264" s="27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7"/>
      <c r="H265" s="27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7"/>
      <c r="H266" s="27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7"/>
      <c r="H267" s="27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7"/>
      <c r="H268" s="27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7"/>
      <c r="H269" s="27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7"/>
      <c r="H270" s="27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7"/>
      <c r="H271" s="27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7"/>
      <c r="H272" s="27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7"/>
      <c r="H273" s="27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7"/>
      <c r="H274" s="27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7"/>
      <c r="H275" s="27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7"/>
      <c r="H276" s="27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7"/>
      <c r="H277" s="27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7"/>
      <c r="H278" s="27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7"/>
      <c r="H279" s="27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7"/>
      <c r="H280" s="27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7"/>
      <c r="H281" s="27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7"/>
      <c r="H282" s="27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7"/>
      <c r="H283" s="27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7"/>
      <c r="H284" s="27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7"/>
      <c r="H285" s="27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7"/>
      <c r="H286" s="27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7"/>
      <c r="H287" s="27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7"/>
      <c r="H288" s="27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7"/>
      <c r="H289" s="27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7"/>
      <c r="H290" s="27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7"/>
      <c r="H291" s="27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7"/>
      <c r="H292" s="27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7"/>
      <c r="H293" s="27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7"/>
      <c r="H294" s="27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7"/>
      <c r="H295" s="27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7"/>
      <c r="H296" s="27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7"/>
      <c r="H297" s="27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7"/>
      <c r="H298" s="27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7"/>
      <c r="H299" s="27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7"/>
      <c r="H300" s="27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7"/>
      <c r="H301" s="27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