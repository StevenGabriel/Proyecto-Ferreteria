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<sst xmlns="http://schemas.openxmlformats.org/spreadsheetml/2006/main" count="79" uniqueCount="77">
  <si>
    <t>HOJA DE CALCULO FERRETERIA</t>
  </si>
  <si>
    <t>CODIGO</t>
  </si>
  <si>
    <t>CANTIDAD</t>
  </si>
  <si>
    <t>DESCRIPCION</t>
  </si>
  <si>
    <t>TOTAL</t>
  </si>
  <si>
    <t>HORA</t>
  </si>
  <si>
    <t>CUADRAR</t>
  </si>
  <si>
    <t>broca encastre 6</t>
  </si>
  <si>
    <t>silicona trnasparente</t>
  </si>
  <si>
    <t>MONEDAS</t>
  </si>
  <si>
    <t>CAJA CHICA</t>
  </si>
  <si>
    <t>disco ceramica</t>
  </si>
  <si>
    <t>BILLETES 10-20</t>
  </si>
  <si>
    <t>TOTAL VENTAS DIA</t>
  </si>
  <si>
    <t>contratuerca</t>
  </si>
  <si>
    <t>BILLETES 50-100-200</t>
  </si>
  <si>
    <t>AUMENTO DE DINERO</t>
  </si>
  <si>
    <t>llave amoadora</t>
  </si>
  <si>
    <t>INGRESOS YAPE</t>
  </si>
  <si>
    <t>clavija tramon lateral</t>
  </si>
  <si>
    <t>INGRESOS TARJETA</t>
  </si>
  <si>
    <t>disco cepillo</t>
  </si>
  <si>
    <t>GASTOS VARIOS</t>
  </si>
  <si>
    <t>disco cepillo 4.5</t>
  </si>
  <si>
    <t>cemetno cola inox</t>
  </si>
  <si>
    <t>DINERO GANADO HOY:</t>
  </si>
  <si>
    <t>CANTIDAD DINERO CAJA:</t>
  </si>
  <si>
    <t>grampas</t>
  </si>
  <si>
    <t>kl alambre de amarre</t>
  </si>
  <si>
    <t>bandolas</t>
  </si>
  <si>
    <t xml:space="preserve">lijas </t>
  </si>
  <si>
    <t>pistolqa de silicona uyus</t>
  </si>
  <si>
    <t>grifo lavaplatos</t>
  </si>
  <si>
    <t>cepillo de acero</t>
  </si>
  <si>
    <t>YAPE MAMÁ</t>
  </si>
  <si>
    <t>YAPE PAPÁ</t>
  </si>
  <si>
    <t>YAPE</t>
  </si>
  <si>
    <t>clefa 100</t>
  </si>
  <si>
    <t>Monto Total YAPE (No tocar):</t>
  </si>
  <si>
    <t>acple rapido 3/4</t>
  </si>
  <si>
    <t>5m</t>
  </si>
  <si>
    <t>manguera 5/8</t>
  </si>
  <si>
    <t>Monto Total Registrado en aplicacion</t>
  </si>
  <si>
    <t>chaleco reflextivo</t>
  </si>
  <si>
    <t>pstina crema</t>
  </si>
  <si>
    <t>clavija</t>
  </si>
  <si>
    <t>llave de paso gas 1/2 fv</t>
  </si>
  <si>
    <t>silciona estructural</t>
  </si>
  <si>
    <t>cortatubo tr</t>
  </si>
  <si>
    <t>ramplu 8</t>
  </si>
  <si>
    <t>PAGOS YAPE</t>
  </si>
  <si>
    <t>DESCRIPCION PAGO</t>
  </si>
  <si>
    <t>tornillos 10x2</t>
  </si>
  <si>
    <t>arandelas</t>
  </si>
  <si>
    <t>1M</t>
  </si>
  <si>
    <t>LIJA 80</t>
  </si>
  <si>
    <t>LIJA 100</t>
  </si>
  <si>
    <t>ABRAZADERA REDONDA</t>
  </si>
  <si>
    <t>YESO</t>
  </si>
  <si>
    <t>KG ALAMBRE</t>
  </si>
  <si>
    <t>ESCUADRA</t>
  </si>
  <si>
    <t>NIVEL UYUS</t>
  </si>
  <si>
    <t>BROCHA 1 1/2</t>
  </si>
  <si>
    <t>ROCHA 2 1/2</t>
  </si>
  <si>
    <t>SET DE CEPILLOS TALADRO</t>
  </si>
  <si>
    <t>BROCA FIERRO 8.5</t>
  </si>
  <si>
    <t>1K</t>
  </si>
  <si>
    <t>ALAMBRE DE AMARRE</t>
  </si>
  <si>
    <t>PISTOLA DE SILICONA CALIETE</t>
  </si>
  <si>
    <t>SILICONA BARRA</t>
  </si>
  <si>
    <t>ADAPTADOR 3/4</t>
  </si>
  <si>
    <t>PICO 3/4</t>
  </si>
  <si>
    <t>CINTA CROMADA</t>
  </si>
  <si>
    <t>3M</t>
  </si>
  <si>
    <t>ALUBAM 15CM</t>
  </si>
  <si>
    <t>PERIS</t>
  </si>
  <si>
    <t>TEFLON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</si>
</sst>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25.0</v>
      </c>
      <c r="E8" s="8">
        <v>46226.36201784722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26.0</v>
      </c>
      <c r="E9" s="8">
        <v>46226.3642027662</v>
      </c>
      <c r="F9" s="2"/>
      <c r="G9" s="9" t="s">
        <v>9</v>
      </c>
      <c r="H9" s="10">
        <v>129.5</v>
      </c>
      <c r="I9" s="2"/>
      <c r="J9" s="9" t="s">
        <v>10</v>
      </c>
      <c r="K9" s="10">
        <v>517.5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98.0</v>
      </c>
      <c r="E10" s="8">
        <v>46226.40209059027</v>
      </c>
      <c r="F10" s="2"/>
      <c r="G10" s="9" t="s">
        <v>12</v>
      </c>
      <c r="H10" s="10">
        <v>100.0</v>
      </c>
      <c r="I10" s="2"/>
      <c r="J10" s="9" t="s">
        <v>13</v>
      </c>
      <c r="K10" s="11">
        <f>SUM(PRINCIPAL[TOTAL])</f>
        <v>1872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49.0</v>
      </c>
      <c r="E11" s="8">
        <v>46226.40217883102</v>
      </c>
      <c r="F11" s="2"/>
      <c r="G11" s="9" t="s">
        <v>15</v>
      </c>
      <c r="H11" s="10">
        <v>1150.0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61.0</v>
      </c>
      <c r="E12" s="8">
        <v>46226.40225778935</v>
      </c>
      <c r="F12" s="2"/>
      <c r="G12" s="9" t="s">
        <v>18</v>
      </c>
      <c r="H12" s="12">
        <f>SUM(G24:H361)</f>
        <v>1011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4.0</v>
      </c>
      <c r="C13" s="7" t="s">
        <v>19</v>
      </c>
      <c r="D13" s="6">
        <v>30.0</v>
      </c>
      <c r="E13" s="8">
        <v>46226.40241751158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25.0</v>
      </c>
      <c r="E14" s="8">
        <v>46226.402863449075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25.0</v>
      </c>
      <c r="E15" s="8">
        <v>46226.4029737963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31.0</v>
      </c>
      <c r="E16" s="8">
        <v>46226.40688625</v>
      </c>
      <c r="F16" s="2"/>
      <c r="G16" s="15" t="s">
        <v>25</v>
      </c>
      <c r="H16" s="16">
        <f>SUM(H9:H14)</f>
        <v>2390.5</v>
      </c>
      <c r="I16" s="3"/>
      <c r="J16" s="15" t="s">
        <v>26</v>
      </c>
      <c r="K16" s="16">
        <f>SUM(K9:K11)</f>
        <v>2389.5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5.0</v>
      </c>
      <c r="C17" s="7" t="s">
        <v>27</v>
      </c>
      <c r="D17" s="6">
        <v>45.0</v>
      </c>
      <c r="E17" s="8">
        <v>46226.4072225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4.0</v>
      </c>
      <c r="C18" s="7" t="s">
        <v>28</v>
      </c>
      <c r="D18" s="6">
        <v>72.0</v>
      </c>
      <c r="E18" s="8">
        <v>46226.40731866898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8.0</v>
      </c>
      <c r="C19" s="7" t="s">
        <v>29</v>
      </c>
      <c r="D19" s="18">
        <v>70.0</v>
      </c>
      <c r="E19" s="8">
        <v>46226.42265765046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10.0</v>
      </c>
      <c r="E20" s="8">
        <v>46226.42559601852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22.0</v>
      </c>
      <c r="E21" s="8">
        <v>46226.42873135417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130.0</v>
      </c>
      <c r="E22" s="8">
        <v>46226.44289496528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26.0</v>
      </c>
      <c r="E23" s="8">
        <v>46226.44577122685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15.0</v>
      </c>
      <c r="E24" s="8">
        <v>46226.46241043981</v>
      </c>
      <c r="F24" s="2"/>
      <c r="G24" s="23">
        <v>26.0</v>
      </c>
      <c r="H24" s="24"/>
      <c r="I24" s="2"/>
      <c r="J24" s="25" t="s">
        <v>38</v>
      </c>
      <c r="K24" s="26">
        <f>SUM(INGRESOS_YAPE[])</f>
        <v>1011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29.0</v>
      </c>
      <c r="E25" s="8">
        <v>46226.47549626157</v>
      </c>
      <c r="F25" s="2"/>
      <c r="G25" s="23">
        <v>208.0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 t="s">
        <v>40</v>
      </c>
      <c r="C26" s="7" t="s">
        <v>41</v>
      </c>
      <c r="D26" s="6">
        <v>50.0</v>
      </c>
      <c r="E26" s="8">
        <v>46226.4755716088</v>
      </c>
      <c r="F26" s="2"/>
      <c r="G26" s="27">
        <v>121.0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43</v>
      </c>
      <c r="D27" s="6">
        <v>54.0</v>
      </c>
      <c r="E27" s="8">
        <v>46226.47571665509</v>
      </c>
      <c r="F27" s="2"/>
      <c r="G27" s="23">
        <v>130.0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23.0</v>
      </c>
      <c r="E28" s="8">
        <v>46226.48181561343</v>
      </c>
      <c r="F28" s="2"/>
      <c r="G28" s="23">
        <v>23.0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18">
        <v>3.0</v>
      </c>
      <c r="E29" s="8">
        <v>46226.4919530787</v>
      </c>
      <c r="F29" s="2"/>
      <c r="G29" s="23">
        <v>154.0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1011,00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185.0</v>
      </c>
      <c r="E30" s="8">
        <v>46226.50326849537</v>
      </c>
      <c r="F30" s="2"/>
      <c r="G30" s="23">
        <v>98.0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31</v>
      </c>
      <c r="D31" s="6">
        <v>22.0</v>
      </c>
      <c r="E31" s="8">
        <v>46226.508034224535</v>
      </c>
      <c r="F31" s="2"/>
      <c r="G31" s="23">
        <v>70.0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47</v>
      </c>
      <c r="D32" s="6">
        <v>132.0</v>
      </c>
      <c r="E32" s="8">
        <v>46226.5081415162</v>
      </c>
      <c r="F32" s="2"/>
      <c r="G32" s="23">
        <v>24.0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98.0</v>
      </c>
      <c r="E33" s="8">
        <v>46226.51148819445</v>
      </c>
      <c r="F33" s="2"/>
      <c r="G33" s="23">
        <v>19.0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12.0</v>
      </c>
      <c r="C34" s="7" t="s">
        <v>49</v>
      </c>
      <c r="D34" s="6">
        <v>2.0</v>
      </c>
      <c r="E34" s="8">
        <v>46226.52096592593</v>
      </c>
      <c r="F34" s="2"/>
      <c r="G34" s="23">
        <v>138.0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52</v>
      </c>
      <c r="D35" s="6">
        <v>7.0</v>
      </c>
      <c r="E35" s="8">
        <v>46226.52138679398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53</v>
      </c>
      <c r="D36" s="6">
        <v>2.0</v>
      </c>
      <c r="E36" s="8">
        <v>46226.52143284722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13"/>
      <c r="C37" s="34"/>
      <c r="D37" s="35"/>
      <c r="E37" s="36"/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 t="s">
        <v>54</v>
      </c>
      <c r="C38" s="7" t="s">
        <v>55</v>
      </c>
      <c r="D38" s="6">
        <v>10.0</v>
      </c>
      <c r="E38" s="8">
        <v>46226.53169059027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 t="s">
        <v>54</v>
      </c>
      <c r="C39" s="7" t="s">
        <v>56</v>
      </c>
      <c r="D39" s="6">
        <v>10.0</v>
      </c>
      <c r="E39" s="8">
        <v>46226.531731724535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3.5</v>
      </c>
      <c r="E40" s="8">
        <v>46226.61027990741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16.0</v>
      </c>
      <c r="E41" s="8">
        <v>46226.61729079861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59</v>
      </c>
      <c r="D42" s="6">
        <v>38.0</v>
      </c>
      <c r="E42" s="8">
        <v>46226.635117592596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18">
        <v>26.0</v>
      </c>
      <c r="E43" s="8">
        <v>46226.638873564814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40.0</v>
      </c>
      <c r="E44" s="8">
        <v>46226.63929909722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6.0</v>
      </c>
      <c r="E45" s="8">
        <v>46226.64064016203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63</v>
      </c>
      <c r="D46" s="6">
        <v>18.0</v>
      </c>
      <c r="E46" s="8">
        <v>46226.64068600694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28.0</v>
      </c>
      <c r="E47" s="8">
        <v>46226.64113232639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42.0</v>
      </c>
      <c r="E48" s="8">
        <v>46226.64125511574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66</v>
      </c>
      <c r="C49" s="7" t="s">
        <v>67</v>
      </c>
      <c r="D49" s="6">
        <v>19.0</v>
      </c>
      <c r="E49" s="8">
        <v>46226.64490799769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67.0</v>
      </c>
      <c r="E50" s="8">
        <v>46226.69403210648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2.5</v>
      </c>
      <c r="E51" s="8">
        <v>46226.69410572917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29.0</v>
      </c>
      <c r="E52" s="8">
        <v>46226.705503125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9.5</v>
      </c>
      <c r="E53" s="8">
        <v>46226.70556307871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3.0</v>
      </c>
      <c r="C54" s="7" t="s">
        <v>72</v>
      </c>
      <c r="D54" s="6">
        <v>75.0</v>
      </c>
      <c r="E54" s="8">
        <v>46226.70638289352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73</v>
      </c>
      <c r="C55" s="7" t="s">
        <v>74</v>
      </c>
      <c r="D55" s="6">
        <v>60.0</v>
      </c>
      <c r="E55" s="8">
        <v>46226.706682812495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4.0</v>
      </c>
      <c r="C56" s="7" t="s">
        <v>75</v>
      </c>
      <c r="D56" s="18">
        <v>3.0</v>
      </c>
      <c r="E56" s="8">
        <v>46226.70668567129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2.5</v>
      </c>
      <c r="E57" s="8">
        <v>46226.73308586805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13"/>
      <c r="C58" s="34"/>
      <c r="D58" s="37"/>
      <c r="E58" s="36"/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13"/>
      <c r="C59" s="34"/>
      <c r="D59" s="37"/>
      <c r="E59" s="36"/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34"/>
      <c r="D60" s="37"/>
      <c r="E60" s="36"/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34"/>
      <c r="D61" s="37"/>
      <c r="E61" s="36"/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34"/>
      <c r="D62" s="37"/>
      <c r="E62" s="36"/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34"/>
      <c r="D63" s="37"/>
      <c r="E63" s="36"/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34"/>
      <c r="D64" s="37"/>
      <c r="E64" s="36"/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4"/>
      <c r="D65" s="37"/>
      <c r="E65" s="36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4"/>
      <c r="D66" s="37"/>
      <c r="E66" s="36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4"/>
      <c r="D67" s="37"/>
      <c r="E67" s="36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7"/>
      <c r="E68" s="36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7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7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7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7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7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7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7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7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7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7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7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7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7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7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7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7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7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7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7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7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7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7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7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7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7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7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7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7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7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7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7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7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7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7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7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7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7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7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7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7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7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7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7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7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7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7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7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7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7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7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7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7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7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7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7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7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7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7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7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7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7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7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7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7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7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7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7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7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7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7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7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7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7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7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7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7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7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7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7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7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7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7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7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7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7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7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7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7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7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7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7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7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7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7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7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7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7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7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7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7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7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7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7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7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7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7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7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7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7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7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7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7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7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7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7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7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7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7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7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7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7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7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7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7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7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7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7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7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7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7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7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7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7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7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7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7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7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7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7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7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7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7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7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7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7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7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7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7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7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7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7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7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7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7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7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7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7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7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7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7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7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7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7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7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7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7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7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7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7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7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7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7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7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7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7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7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7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7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7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7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7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7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7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7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7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7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7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7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7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7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7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7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7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7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7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7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7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7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7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7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7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7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7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7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7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7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7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7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7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7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7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7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7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7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7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7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7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7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7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7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7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7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7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7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7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7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7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7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7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7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7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7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7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