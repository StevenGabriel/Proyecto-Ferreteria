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<sst xmlns="http://schemas.openxmlformats.org/spreadsheetml/2006/main" count="84" uniqueCount="82">
  <si>
    <t>HOJA DE CALCULO FERRETERIA</t>
  </si>
  <si>
    <t>CODIGO</t>
  </si>
  <si>
    <t>CANTIDAD</t>
  </si>
  <si>
    <t>DESCRIPCION</t>
  </si>
  <si>
    <t>TOTAL</t>
  </si>
  <si>
    <t>HORA</t>
  </si>
  <si>
    <t>CUADRAR</t>
  </si>
  <si>
    <t>llave de paso 3/4 duke</t>
  </si>
  <si>
    <t>meclador de pintura</t>
  </si>
  <si>
    <t>MONEDAS</t>
  </si>
  <si>
    <t>CAJA CHICA</t>
  </si>
  <si>
    <t>m manguera nivel 3/8</t>
  </si>
  <si>
    <t>BILLETES 10-20</t>
  </si>
  <si>
    <t>TOTAL VENTAS DIA</t>
  </si>
  <si>
    <t>rodillo</t>
  </si>
  <si>
    <t>BILLETES 50-100-200</t>
  </si>
  <si>
    <t>AUMENTO DE DINERO</t>
  </si>
  <si>
    <t>espiga</t>
  </si>
  <si>
    <t>INGRESOS YAPE</t>
  </si>
  <si>
    <t>abrazxadera</t>
  </si>
  <si>
    <t>INGRESOS TARJETA</t>
  </si>
  <si>
    <t>alicate fuerza</t>
  </si>
  <si>
    <t>GASTOS VARIOS</t>
  </si>
  <si>
    <t>desarmador rever</t>
  </si>
  <si>
    <t>alargador 5m</t>
  </si>
  <si>
    <t>DINERO GANADO HOY:</t>
  </si>
  <si>
    <t>CANTIDAD DINERO CAJA:</t>
  </si>
  <si>
    <t>bolsta clavo</t>
  </si>
  <si>
    <t>clavija 20a</t>
  </si>
  <si>
    <t>candado hermex</t>
  </si>
  <si>
    <t>cando lion</t>
  </si>
  <si>
    <t xml:space="preserve">armella </t>
  </si>
  <si>
    <t>flotador 1</t>
  </si>
  <si>
    <t>silicona akfi</t>
  </si>
  <si>
    <t>YAPE MAMÁ</t>
  </si>
  <si>
    <t>YAPE PAPÁ</t>
  </si>
  <si>
    <t>lclefa 220ml</t>
  </si>
  <si>
    <t>cinta asilante</t>
  </si>
  <si>
    <t>cincel truper</t>
  </si>
  <si>
    <t>chapa hermex</t>
  </si>
  <si>
    <t>picaperte 3</t>
  </si>
  <si>
    <t>bateria boton lateral</t>
  </si>
  <si>
    <t>hilo crta pasto</t>
  </si>
  <si>
    <t>abrazadera</t>
  </si>
  <si>
    <t xml:space="preserve">guantes oscaria </t>
  </si>
  <si>
    <t>guantes ligra</t>
  </si>
  <si>
    <t>respuestao mica</t>
  </si>
  <si>
    <t>tapon audiiov</t>
  </si>
  <si>
    <t>1kl</t>
  </si>
  <si>
    <t>carburo</t>
  </si>
  <si>
    <t>silicona trans</t>
  </si>
  <si>
    <t>panel led 25 sobreponer</t>
  </si>
  <si>
    <t>tijera de kpodar truper</t>
  </si>
  <si>
    <t>CAITON 60W FERRAWY</t>
  </si>
  <si>
    <t>SILIOCN AKFI PU NEGRO</t>
  </si>
  <si>
    <t>MAGUERA 5/16</t>
  </si>
  <si>
    <t>CINA DOBLE CONADO 1</t>
  </si>
  <si>
    <t>CINTA DOLE CONGADO</t>
  </si>
  <si>
    <t>ESCALERA TRUPER</t>
  </si>
  <si>
    <t>PRENSAS TOAL 40</t>
  </si>
  <si>
    <t>FLOTDRO ELECTRICO</t>
  </si>
  <si>
    <t>AUTOPERFORANTE</t>
  </si>
  <si>
    <t>JEUGO DE PUNTAS</t>
  </si>
  <si>
    <t>SINGER</t>
  </si>
  <si>
    <t>gomitas</t>
  </si>
  <si>
    <t>adaptador untr</t>
  </si>
  <si>
    <t>grifo fv</t>
  </si>
  <si>
    <t>dado largo 10 tramon</t>
  </si>
  <si>
    <t>rondana</t>
  </si>
  <si>
    <t>pico de grifo</t>
  </si>
  <si>
    <t>bateria boton central</t>
  </si>
  <si>
    <t>modulo toma cefe</t>
  </si>
  <si>
    <t>clevija tramon 20</t>
  </si>
  <si>
    <t>alargador de dado</t>
  </si>
  <si>
    <t>panel led redondo empotrar 24</t>
  </si>
  <si>
    <t>grasa</t>
  </si>
  <si>
    <t>m manguerae nivel 1/4</t>
  </si>
  <si>
    <t>disco tyruper 9</t>
  </si>
  <si>
    <t>armella cerrada</t>
  </si>
  <si>
    <t xml:space="preserve">abrazaaderas </t>
  </si>
  <si>
    <t>ramplus8</t>
  </si>
  <si>
    <t>ramplis6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</si>
</sst>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32.0</v>
      </c>
      <c r="E8" s="8">
        <v>46067.357482673615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49.0</v>
      </c>
      <c r="E9" s="8">
        <v>46067.357598310184</v>
      </c>
      <c r="F9" s="2"/>
      <c r="G9" s="9" t="s">
        <v>9</v>
      </c>
      <c r="H9" s="10">
        <v>241.0</v>
      </c>
      <c r="I9" s="2"/>
      <c r="J9" s="9" t="s">
        <v>10</v>
      </c>
      <c r="K9" s="10">
        <v>544.5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7.5</v>
      </c>
      <c r="E10" s="8">
        <v>46067.3577025</v>
      </c>
      <c r="F10" s="2"/>
      <c r="G10" s="9" t="s">
        <v>12</v>
      </c>
      <c r="H10" s="10">
        <v>210.0</v>
      </c>
      <c r="I10" s="2"/>
      <c r="J10" s="9" t="s">
        <v>13</v>
      </c>
      <c r="K10" s="11">
        <f>SUM(PRINCIPAL[TOTAL])</f>
        <v>4951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15.0</v>
      </c>
      <c r="E11" s="8">
        <v>46067.372471574075</v>
      </c>
      <c r="F11" s="2"/>
      <c r="G11" s="9" t="s">
        <v>15</v>
      </c>
      <c r="H11" s="10">
        <v>4050.0</v>
      </c>
      <c r="I11" s="2"/>
      <c r="J11" s="9" t="s">
        <v>16</v>
      </c>
      <c r="K11" s="10">
        <v>554.0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5.0</v>
      </c>
      <c r="E12" s="8">
        <v>46067.372678217595</v>
      </c>
      <c r="F12" s="2"/>
      <c r="G12" s="9" t="s">
        <v>18</v>
      </c>
      <c r="H12" s="12">
        <f>SUM(G24:H361)</f>
        <v>1671.5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3.0</v>
      </c>
      <c r="E13" s="8">
        <v>46067.37273287037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30.0</v>
      </c>
      <c r="E14" s="8">
        <v>46067.37440747685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10.0</v>
      </c>
      <c r="E15" s="8">
        <v>46067.374493807874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3.0</v>
      </c>
      <c r="C16" s="7" t="s">
        <v>24</v>
      </c>
      <c r="D16" s="6">
        <v>135.0</v>
      </c>
      <c r="E16" s="8">
        <v>46067.37460792824</v>
      </c>
      <c r="F16" s="2"/>
      <c r="G16" s="15" t="s">
        <v>25</v>
      </c>
      <c r="H16" s="16">
        <f>SUM(H9:H14)</f>
        <v>6172.5</v>
      </c>
      <c r="I16" s="3"/>
      <c r="J16" s="15" t="s">
        <v>26</v>
      </c>
      <c r="K16" s="16">
        <f>SUM(K9:K11)</f>
        <v>6049.5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4.0</v>
      </c>
      <c r="E17" s="8">
        <v>46067.376121319445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15.0</v>
      </c>
      <c r="E18" s="8">
        <v>46067.3792303588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123,00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10.0</v>
      </c>
      <c r="E19" s="18"/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15.0</v>
      </c>
      <c r="E20" s="8">
        <v>46067.388586608795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31</v>
      </c>
      <c r="D21" s="6">
        <v>2.0</v>
      </c>
      <c r="E21" s="8">
        <v>46067.39112600694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190.0</v>
      </c>
      <c r="E22" s="8">
        <v>46067.3944934375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3.0</v>
      </c>
      <c r="C23" s="7" t="s">
        <v>33</v>
      </c>
      <c r="D23" s="6">
        <v>97.0</v>
      </c>
      <c r="E23" s="8">
        <v>46067.412409375</v>
      </c>
      <c r="F23" s="2"/>
      <c r="G23" s="20" t="s">
        <v>34</v>
      </c>
      <c r="H23" s="20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31.0</v>
      </c>
      <c r="E24" s="8">
        <v>46067.412767291666</v>
      </c>
      <c r="F24" s="2"/>
      <c r="G24" s="21">
        <v>88.5</v>
      </c>
      <c r="H24" s="22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9.0</v>
      </c>
      <c r="E25" s="8">
        <v>46067.415525289354</v>
      </c>
      <c r="F25" s="2"/>
      <c r="G25" s="21">
        <v>190.0</v>
      </c>
      <c r="H25" s="22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38.0</v>
      </c>
      <c r="E26" s="8">
        <v>46067.42168442129</v>
      </c>
      <c r="F26" s="2"/>
      <c r="G26" s="23">
        <v>97.0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93.0</v>
      </c>
      <c r="E27" s="8">
        <v>46067.42852988426</v>
      </c>
      <c r="F27" s="2"/>
      <c r="G27" s="21">
        <v>9.0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6.0</v>
      </c>
      <c r="C28" s="7" t="s">
        <v>40</v>
      </c>
      <c r="D28" s="6">
        <v>80.0</v>
      </c>
      <c r="E28" s="8">
        <v>46067.437094583336</v>
      </c>
      <c r="F28" s="2"/>
      <c r="G28" s="21">
        <v>178.0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178.0</v>
      </c>
      <c r="E29" s="8">
        <v>46067.43729835648</v>
      </c>
      <c r="F29" s="2"/>
      <c r="G29" s="21">
        <v>462.0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6">
        <v>17606.0</v>
      </c>
      <c r="B30" s="6">
        <v>1.0</v>
      </c>
      <c r="C30" s="7" t="s">
        <v>42</v>
      </c>
      <c r="D30" s="6">
        <v>19.0</v>
      </c>
      <c r="E30" s="8">
        <v>46067.45580601852</v>
      </c>
      <c r="F30" s="2"/>
      <c r="G30" s="21">
        <v>17.0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6.0</v>
      </c>
      <c r="C31" s="7" t="s">
        <v>43</v>
      </c>
      <c r="D31" s="6">
        <v>9.0</v>
      </c>
      <c r="E31" s="8">
        <v>46067.46762791667</v>
      </c>
      <c r="F31" s="2"/>
      <c r="G31" s="21">
        <v>312.0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6.0</v>
      </c>
      <c r="C32" s="7" t="s">
        <v>44</v>
      </c>
      <c r="D32" s="6">
        <v>108.0</v>
      </c>
      <c r="E32" s="8">
        <v>46067.46796177083</v>
      </c>
      <c r="F32" s="2"/>
      <c r="G32" s="21">
        <v>170.0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10.0</v>
      </c>
      <c r="C33" s="7" t="s">
        <v>45</v>
      </c>
      <c r="D33" s="6">
        <v>100.0</v>
      </c>
      <c r="E33" s="8">
        <v>46067.46815518518</v>
      </c>
      <c r="F33" s="2"/>
      <c r="G33" s="21">
        <v>55.0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46</v>
      </c>
      <c r="D34" s="6">
        <v>164.0</v>
      </c>
      <c r="E34" s="8">
        <v>46067.46840399306</v>
      </c>
      <c r="F34" s="2"/>
      <c r="G34" s="21">
        <v>52.0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10.0</v>
      </c>
      <c r="C35" s="7" t="s">
        <v>47</v>
      </c>
      <c r="D35" s="6">
        <v>90.0</v>
      </c>
      <c r="E35" s="8">
        <v>46067.46882849537</v>
      </c>
      <c r="F35" s="2"/>
      <c r="G35" s="21">
        <v>41.0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 t="s">
        <v>48</v>
      </c>
      <c r="C36" s="7" t="s">
        <v>49</v>
      </c>
      <c r="D36" s="6">
        <v>29.0</v>
      </c>
      <c r="E36" s="8">
        <v>46067.47118357639</v>
      </c>
      <c r="F36" s="2"/>
      <c r="G36" s="22"/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50</v>
      </c>
      <c r="D37" s="6">
        <v>68.0</v>
      </c>
      <c r="E37" s="8">
        <v>46067.472701817125</v>
      </c>
      <c r="F37" s="2"/>
      <c r="G37" s="22"/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88.0</v>
      </c>
      <c r="E38" s="8">
        <v>46067.47877107639</v>
      </c>
      <c r="F38" s="2"/>
      <c r="G38" s="22"/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77.0</v>
      </c>
      <c r="E39" s="8">
        <v>46067.4795084375</v>
      </c>
      <c r="F39" s="2"/>
      <c r="G39" s="22"/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25.0</v>
      </c>
      <c r="E40" s="8">
        <v>46067.487598946755</v>
      </c>
      <c r="F40" s="2"/>
      <c r="G40" s="22"/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54</v>
      </c>
      <c r="D41" s="6">
        <v>126.0</v>
      </c>
      <c r="E41" s="8">
        <v>46067.50767386574</v>
      </c>
      <c r="F41" s="2"/>
      <c r="G41" s="22"/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5.0</v>
      </c>
      <c r="E42" s="8">
        <v>46067.50947934028</v>
      </c>
      <c r="F42" s="2"/>
      <c r="G42" s="22"/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17.0</v>
      </c>
      <c r="E43" s="8">
        <v>46067.509841875</v>
      </c>
      <c r="F43" s="2"/>
      <c r="G43" s="22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57</v>
      </c>
      <c r="D44" s="6">
        <v>50.0</v>
      </c>
      <c r="E44" s="8">
        <v>46067.51107363426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58</v>
      </c>
      <c r="D45" s="6">
        <v>1730.0</v>
      </c>
      <c r="E45" s="8">
        <v>46067.51130452546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59</v>
      </c>
      <c r="D46" s="6">
        <v>312.0</v>
      </c>
      <c r="E46" s="8">
        <v>46067.512585833334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60</v>
      </c>
      <c r="D47" s="6">
        <v>156.0</v>
      </c>
      <c r="E47" s="8">
        <v>46067.513629629626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60.0</v>
      </c>
      <c r="C48" s="7" t="s">
        <v>61</v>
      </c>
      <c r="D48" s="6">
        <v>15.0</v>
      </c>
      <c r="E48" s="8">
        <v>46067.51477045139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62</v>
      </c>
      <c r="D49" s="6">
        <v>69.0</v>
      </c>
      <c r="E49" s="8">
        <v>46067.51504438657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63</v>
      </c>
      <c r="D50" s="6">
        <v>15.0</v>
      </c>
      <c r="E50" s="8">
        <v>46067.522968854166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64</v>
      </c>
      <c r="D51" s="6">
        <v>4.0</v>
      </c>
      <c r="E51" s="8">
        <v>46067.527847997684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65</v>
      </c>
      <c r="D52" s="6">
        <v>8.0</v>
      </c>
      <c r="E52" s="8">
        <v>46067.52913498842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66</v>
      </c>
      <c r="D53" s="6">
        <v>125.0</v>
      </c>
      <c r="E53" s="8">
        <v>46067.53511168982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67</v>
      </c>
      <c r="D54" s="6">
        <v>45.0</v>
      </c>
      <c r="E54" s="8">
        <v>46067.53533075232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68</v>
      </c>
      <c r="D55" s="6">
        <v>48.0</v>
      </c>
      <c r="E55" s="8">
        <v>46067.558779467596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69</v>
      </c>
      <c r="D56" s="6">
        <v>13.0</v>
      </c>
      <c r="E56" s="8">
        <v>46067.56004575231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70</v>
      </c>
      <c r="D57" s="6">
        <v>135.0</v>
      </c>
      <c r="E57" s="8">
        <v>46067.565392523145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71</v>
      </c>
      <c r="D58" s="6">
        <v>11.0</v>
      </c>
      <c r="E58" s="8">
        <v>46067.56737547454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72</v>
      </c>
      <c r="D59" s="6">
        <v>15.0</v>
      </c>
      <c r="E59" s="8">
        <v>46067.56745725694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37</v>
      </c>
      <c r="D60" s="6">
        <v>9.0</v>
      </c>
      <c r="E60" s="8">
        <v>46067.56756107639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73</v>
      </c>
      <c r="D61" s="6">
        <v>32.0</v>
      </c>
      <c r="E61" s="8">
        <v>46067.59233958334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74</v>
      </c>
      <c r="D62" s="6">
        <v>82.0</v>
      </c>
      <c r="E62" s="8">
        <v>46067.59264653936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75</v>
      </c>
      <c r="D63" s="6">
        <v>8.0</v>
      </c>
      <c r="E63" s="8">
        <v>46067.59516074074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24">
        <v>46054.0</v>
      </c>
      <c r="C64" s="7" t="s">
        <v>76</v>
      </c>
      <c r="D64" s="6">
        <v>2.5</v>
      </c>
      <c r="E64" s="8">
        <v>46067.59645668982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77</v>
      </c>
      <c r="D65" s="6">
        <v>52.0</v>
      </c>
      <c r="E65" s="8">
        <v>46067.61105438657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6.0</v>
      </c>
      <c r="C66" s="7" t="s">
        <v>78</v>
      </c>
      <c r="D66" s="6">
        <v>9.0</v>
      </c>
      <c r="E66" s="8">
        <v>46067.62926474537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6.0</v>
      </c>
      <c r="C67" s="7" t="s">
        <v>78</v>
      </c>
      <c r="D67" s="6">
        <v>6.0</v>
      </c>
      <c r="E67" s="8">
        <v>46067.629338865736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12.0</v>
      </c>
      <c r="C68" s="7" t="s">
        <v>79</v>
      </c>
      <c r="D68" s="6">
        <v>24.0</v>
      </c>
      <c r="E68" s="8">
        <v>46067.62945300926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6.0</v>
      </c>
      <c r="C69" s="7" t="s">
        <v>80</v>
      </c>
      <c r="D69" s="6">
        <v>1.5</v>
      </c>
      <c r="E69" s="8">
        <v>46067.6297959375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6.0</v>
      </c>
      <c r="C70" s="7" t="s">
        <v>81</v>
      </c>
      <c r="D70" s="6">
        <v>0.5</v>
      </c>
      <c r="E70" s="8">
        <v>46067.62987563657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5"/>
      <c r="D71" s="26"/>
      <c r="E71" s="18"/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5"/>
      <c r="D72" s="26"/>
      <c r="E72" s="18"/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5"/>
      <c r="D73" s="26"/>
      <c r="E73" s="18"/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5"/>
      <c r="D74" s="26"/>
      <c r="E74" s="18"/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5"/>
      <c r="D75" s="26"/>
      <c r="E75" s="18"/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5"/>
      <c r="D76" s="26"/>
      <c r="E76" s="18"/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5"/>
      <c r="D77" s="26"/>
      <c r="E77" s="18"/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5"/>
      <c r="D78" s="26"/>
      <c r="E78" s="18"/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5"/>
      <c r="D79" s="26"/>
      <c r="E79" s="18"/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5"/>
      <c r="D80" s="26"/>
      <c r="E80" s="18"/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5"/>
      <c r="D81" s="26"/>
      <c r="E81" s="18"/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5"/>
      <c r="D82" s="26"/>
      <c r="E82" s="18"/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5"/>
      <c r="D83" s="26"/>
      <c r="E83" s="18"/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5"/>
      <c r="D84" s="26"/>
      <c r="E84" s="18"/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5"/>
      <c r="D85" s="26"/>
      <c r="E85" s="18"/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5"/>
      <c r="D86" s="26"/>
      <c r="E86" s="18"/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5"/>
      <c r="D87" s="26"/>
      <c r="E87" s="18"/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5"/>
      <c r="D88" s="26"/>
      <c r="E88" s="18"/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5"/>
      <c r="D89" s="26"/>
      <c r="E89" s="18"/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5"/>
      <c r="D90" s="26"/>
      <c r="E90" s="18"/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5"/>
      <c r="D91" s="26"/>
      <c r="E91" s="18"/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5"/>
      <c r="D92" s="26"/>
      <c r="E92" s="18"/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5"/>
      <c r="D93" s="26"/>
      <c r="E93" s="18"/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5"/>
      <c r="D94" s="26"/>
      <c r="E94" s="18"/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5"/>
      <c r="D95" s="26"/>
      <c r="E95" s="18"/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5"/>
      <c r="D96" s="26"/>
      <c r="E96" s="18"/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5"/>
      <c r="D97" s="26"/>
      <c r="E97" s="18"/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5"/>
      <c r="D98" s="26"/>
      <c r="E98" s="18"/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5"/>
      <c r="D99" s="26"/>
      <c r="E99" s="18"/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5"/>
      <c r="D100" s="26"/>
      <c r="E100" s="18"/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5"/>
      <c r="D101" s="26"/>
      <c r="E101" s="18"/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5"/>
      <c r="D102" s="26"/>
      <c r="E102" s="18"/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5"/>
      <c r="D103" s="26"/>
      <c r="E103" s="18"/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5"/>
      <c r="D104" s="26"/>
      <c r="E104" s="18"/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5"/>
      <c r="D105" s="26"/>
      <c r="E105" s="18"/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5"/>
      <c r="D106" s="26"/>
      <c r="E106" s="18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5"/>
      <c r="D107" s="26"/>
      <c r="E107" s="18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5"/>
      <c r="D108" s="26"/>
      <c r="E108" s="18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5"/>
      <c r="D109" s="26"/>
      <c r="E109" s="18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5"/>
      <c r="D110" s="26"/>
      <c r="E110" s="18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5"/>
      <c r="D111" s="26"/>
      <c r="E111" s="18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5"/>
      <c r="D112" s="26"/>
      <c r="E112" s="18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5"/>
      <c r="D113" s="26"/>
      <c r="E113" s="18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5"/>
      <c r="D114" s="26"/>
      <c r="E114" s="18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5"/>
      <c r="D115" s="26"/>
      <c r="E115" s="18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5"/>
      <c r="D116" s="26"/>
      <c r="E116" s="18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5"/>
      <c r="D117" s="26"/>
      <c r="E117" s="18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5"/>
      <c r="D118" s="26"/>
      <c r="E118" s="18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5"/>
      <c r="D119" s="26"/>
      <c r="E119" s="18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5"/>
      <c r="D120" s="26"/>
      <c r="E120" s="18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5"/>
      <c r="D121" s="26"/>
      <c r="E121" s="18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5"/>
      <c r="D122" s="26"/>
      <c r="E122" s="18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5"/>
      <c r="D123" s="26"/>
      <c r="E123" s="18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5"/>
      <c r="D124" s="26"/>
      <c r="E124" s="18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5"/>
      <c r="D125" s="26"/>
      <c r="E125" s="18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5"/>
      <c r="D126" s="26"/>
      <c r="E126" s="18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5"/>
      <c r="D127" s="26"/>
      <c r="E127" s="18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5"/>
      <c r="D128" s="26"/>
      <c r="E128" s="18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5"/>
      <c r="D129" s="26"/>
      <c r="E129" s="18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5"/>
      <c r="D130" s="26"/>
      <c r="E130" s="18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5"/>
      <c r="D131" s="26"/>
      <c r="E131" s="18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5"/>
      <c r="D132" s="26"/>
      <c r="E132" s="18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5"/>
      <c r="D133" s="26"/>
      <c r="E133" s="18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5"/>
      <c r="D134" s="26"/>
      <c r="E134" s="18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5"/>
      <c r="D135" s="26"/>
      <c r="E135" s="18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5"/>
      <c r="D136" s="26"/>
      <c r="E136" s="18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5"/>
      <c r="D137" s="26"/>
      <c r="E137" s="18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5"/>
      <c r="D138" s="26"/>
      <c r="E138" s="18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5"/>
      <c r="D139" s="26"/>
      <c r="E139" s="18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5"/>
      <c r="D140" s="26"/>
      <c r="E140" s="18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5"/>
      <c r="D141" s="26"/>
      <c r="E141" s="18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5"/>
      <c r="D142" s="26"/>
      <c r="E142" s="18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5"/>
      <c r="D143" s="26"/>
      <c r="E143" s="18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5"/>
      <c r="D144" s="26"/>
      <c r="E144" s="18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5"/>
      <c r="D145" s="26"/>
      <c r="E145" s="18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5"/>
      <c r="D146" s="26"/>
      <c r="E146" s="18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5"/>
      <c r="D147" s="26"/>
      <c r="E147" s="18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5"/>
      <c r="D148" s="26"/>
      <c r="E148" s="18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5"/>
      <c r="D149" s="26"/>
      <c r="E149" s="18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5"/>
      <c r="D150" s="26"/>
      <c r="E150" s="18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5"/>
      <c r="D151" s="26"/>
      <c r="E151" s="18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5"/>
      <c r="D152" s="26"/>
      <c r="E152" s="18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5"/>
      <c r="D153" s="26"/>
      <c r="E153" s="18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5"/>
      <c r="D154" s="26"/>
      <c r="E154" s="18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5"/>
      <c r="D155" s="26"/>
      <c r="E155" s="18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5"/>
      <c r="D156" s="26"/>
      <c r="E156" s="18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5"/>
      <c r="D157" s="26"/>
      <c r="E157" s="18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5"/>
      <c r="D158" s="26"/>
      <c r="E158" s="18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5"/>
      <c r="D159" s="26"/>
      <c r="E159" s="18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5"/>
      <c r="D160" s="26"/>
      <c r="E160" s="18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5"/>
      <c r="D161" s="26"/>
      <c r="E161" s="18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5"/>
      <c r="D162" s="26"/>
      <c r="E162" s="18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5"/>
      <c r="D163" s="26"/>
      <c r="E163" s="18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5"/>
      <c r="D164" s="26"/>
      <c r="E164" s="18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5"/>
      <c r="D165" s="26"/>
      <c r="E165" s="18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5"/>
      <c r="D166" s="26"/>
      <c r="E166" s="18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5"/>
      <c r="D167" s="26"/>
      <c r="E167" s="18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5"/>
      <c r="D168" s="26"/>
      <c r="E168" s="18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5"/>
      <c r="D169" s="26"/>
      <c r="E169" s="18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5"/>
      <c r="D170" s="26"/>
      <c r="E170" s="18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5"/>
      <c r="D171" s="26"/>
      <c r="E171" s="18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5"/>
      <c r="D172" s="26"/>
      <c r="E172" s="18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5"/>
      <c r="D173" s="26"/>
      <c r="E173" s="18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5"/>
      <c r="D174" s="26"/>
      <c r="E174" s="18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5"/>
      <c r="D175" s="26"/>
      <c r="E175" s="18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5"/>
      <c r="D176" s="26"/>
      <c r="E176" s="18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5"/>
      <c r="D177" s="26"/>
      <c r="E177" s="18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5"/>
      <c r="D178" s="26"/>
      <c r="E178" s="18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5"/>
      <c r="D179" s="26"/>
      <c r="E179" s="18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5"/>
      <c r="D180" s="26"/>
      <c r="E180" s="18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5"/>
      <c r="D181" s="26"/>
      <c r="E181" s="18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5"/>
      <c r="D182" s="26"/>
      <c r="E182" s="18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5"/>
      <c r="D183" s="26"/>
      <c r="E183" s="18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5"/>
      <c r="D184" s="26"/>
      <c r="E184" s="18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5"/>
      <c r="D185" s="26"/>
      <c r="E185" s="18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5"/>
      <c r="D186" s="26"/>
      <c r="E186" s="18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5"/>
      <c r="D187" s="26"/>
      <c r="E187" s="18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5"/>
      <c r="D188" s="26"/>
      <c r="E188" s="18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5"/>
      <c r="D189" s="26"/>
      <c r="E189" s="18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5"/>
      <c r="D190" s="26"/>
      <c r="E190" s="18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5"/>
      <c r="D191" s="26"/>
      <c r="E191" s="18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5"/>
      <c r="D192" s="26"/>
      <c r="E192" s="18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5"/>
      <c r="D193" s="26"/>
      <c r="E193" s="18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5"/>
      <c r="D194" s="26"/>
      <c r="E194" s="18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5"/>
      <c r="D195" s="26"/>
      <c r="E195" s="18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5"/>
      <c r="D196" s="26"/>
      <c r="E196" s="18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5"/>
      <c r="D197" s="26"/>
      <c r="E197" s="18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5"/>
      <c r="D198" s="26"/>
      <c r="E198" s="18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5"/>
      <c r="D199" s="26"/>
      <c r="E199" s="18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5"/>
      <c r="D200" s="26"/>
      <c r="E200" s="18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5"/>
      <c r="D201" s="26"/>
      <c r="E201" s="18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5"/>
      <c r="D202" s="26"/>
      <c r="E202" s="18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5"/>
      <c r="D203" s="26"/>
      <c r="E203" s="18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5"/>
      <c r="D204" s="26"/>
      <c r="E204" s="18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5"/>
      <c r="D205" s="26"/>
      <c r="E205" s="18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5"/>
      <c r="D206" s="26"/>
      <c r="E206" s="18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5"/>
      <c r="D207" s="26"/>
      <c r="E207" s="18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5"/>
      <c r="D208" s="26"/>
      <c r="E208" s="18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5"/>
      <c r="D209" s="26"/>
      <c r="E209" s="18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5"/>
      <c r="D210" s="26"/>
      <c r="E210" s="18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5"/>
      <c r="D211" s="26"/>
      <c r="E211" s="18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5"/>
      <c r="D212" s="26"/>
      <c r="E212" s="18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5"/>
      <c r="D213" s="26"/>
      <c r="E213" s="18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5"/>
      <c r="D214" s="26"/>
      <c r="E214" s="18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5"/>
      <c r="D215" s="26"/>
      <c r="E215" s="18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5"/>
      <c r="D216" s="26"/>
      <c r="E216" s="18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5"/>
      <c r="D217" s="26"/>
      <c r="E217" s="18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5"/>
      <c r="D218" s="26"/>
      <c r="E218" s="18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5"/>
      <c r="D219" s="26"/>
      <c r="E219" s="18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5"/>
      <c r="D220" s="26"/>
      <c r="E220" s="18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5"/>
      <c r="D221" s="26"/>
      <c r="E221" s="18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5"/>
      <c r="D222" s="26"/>
      <c r="E222" s="18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5"/>
      <c r="D223" s="26"/>
      <c r="E223" s="18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5"/>
      <c r="D224" s="26"/>
      <c r="E224" s="18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5"/>
      <c r="D225" s="26"/>
      <c r="E225" s="18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5"/>
      <c r="D226" s="26"/>
      <c r="E226" s="18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5"/>
      <c r="D227" s="26"/>
      <c r="E227" s="18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5"/>
      <c r="D228" s="26"/>
      <c r="E228" s="18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5"/>
      <c r="D229" s="26"/>
      <c r="E229" s="18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5"/>
      <c r="D230" s="26"/>
      <c r="E230" s="18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5"/>
      <c r="D231" s="26"/>
      <c r="E231" s="18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5"/>
      <c r="D232" s="26"/>
      <c r="E232" s="18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5"/>
      <c r="D233" s="26"/>
      <c r="E233" s="18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5"/>
      <c r="D234" s="26"/>
      <c r="E234" s="18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5"/>
      <c r="D235" s="26"/>
      <c r="E235" s="18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5"/>
      <c r="D236" s="26"/>
      <c r="E236" s="18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5"/>
      <c r="D237" s="26"/>
      <c r="E237" s="18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5"/>
      <c r="D238" s="26"/>
      <c r="E238" s="18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5"/>
      <c r="D239" s="26"/>
      <c r="E239" s="18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5"/>
      <c r="D240" s="26"/>
      <c r="E240" s="18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5"/>
      <c r="D241" s="26"/>
      <c r="E241" s="18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5"/>
      <c r="D242" s="26"/>
      <c r="E242" s="18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5"/>
      <c r="D243" s="26"/>
      <c r="E243" s="18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5"/>
      <c r="D244" s="26"/>
      <c r="E244" s="18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5"/>
      <c r="D245" s="26"/>
      <c r="E245" s="18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5"/>
      <c r="D246" s="26"/>
      <c r="E246" s="18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5"/>
      <c r="D247" s="26"/>
      <c r="E247" s="18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5"/>
      <c r="D248" s="26"/>
      <c r="E248" s="18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5"/>
      <c r="D249" s="26"/>
      <c r="E249" s="18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5"/>
      <c r="D250" s="26"/>
      <c r="E250" s="18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5"/>
      <c r="D251" s="26"/>
      <c r="E251" s="18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5"/>
      <c r="D252" s="26"/>
      <c r="E252" s="18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5"/>
      <c r="D253" s="26"/>
      <c r="E253" s="18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5"/>
      <c r="D254" s="26"/>
      <c r="E254" s="18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5"/>
      <c r="D255" s="26"/>
      <c r="E255" s="18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5"/>
      <c r="D256" s="26"/>
      <c r="E256" s="18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5"/>
      <c r="D257" s="26"/>
      <c r="E257" s="18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5"/>
      <c r="D258" s="26"/>
      <c r="E258" s="18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5"/>
      <c r="D259" s="26"/>
      <c r="E259" s="18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5"/>
      <c r="D260" s="26"/>
      <c r="E260" s="18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5"/>
      <c r="D261" s="26"/>
      <c r="E261" s="18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5"/>
      <c r="D262" s="26"/>
      <c r="E262" s="18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5"/>
      <c r="D263" s="26"/>
      <c r="E263" s="18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5"/>
      <c r="D264" s="26"/>
      <c r="E264" s="18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5"/>
      <c r="D265" s="26"/>
      <c r="E265" s="18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5"/>
      <c r="D266" s="26"/>
      <c r="E266" s="18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5"/>
      <c r="D267" s="26"/>
      <c r="E267" s="18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5"/>
      <c r="D268" s="26"/>
      <c r="E268" s="18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5"/>
      <c r="D269" s="26"/>
      <c r="E269" s="18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5"/>
      <c r="D270" s="26"/>
      <c r="E270" s="18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5"/>
      <c r="D271" s="26"/>
      <c r="E271" s="18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5"/>
      <c r="D272" s="26"/>
      <c r="E272" s="18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5"/>
      <c r="D273" s="26"/>
      <c r="E273" s="18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5"/>
      <c r="D274" s="26"/>
      <c r="E274" s="18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5"/>
      <c r="D275" s="26"/>
      <c r="E275" s="18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5"/>
      <c r="D276" s="26"/>
      <c r="E276" s="18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5"/>
      <c r="D277" s="26"/>
      <c r="E277" s="18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5"/>
      <c r="D278" s="26"/>
      <c r="E278" s="18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5"/>
      <c r="D279" s="26"/>
      <c r="E279" s="18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5"/>
      <c r="D280" s="26"/>
      <c r="E280" s="18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5"/>
      <c r="D281" s="26"/>
      <c r="E281" s="18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5"/>
      <c r="D282" s="26"/>
      <c r="E282" s="18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5"/>
      <c r="D283" s="26"/>
      <c r="E283" s="18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5"/>
      <c r="D284" s="26"/>
      <c r="E284" s="18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5"/>
      <c r="D285" s="26"/>
      <c r="E285" s="18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5"/>
      <c r="D286" s="26"/>
      <c r="E286" s="18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5"/>
      <c r="D287" s="26"/>
      <c r="E287" s="18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5"/>
      <c r="D288" s="26"/>
      <c r="E288" s="18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5"/>
      <c r="D289" s="26"/>
      <c r="E289" s="18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5"/>
      <c r="D290" s="26"/>
      <c r="E290" s="18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5"/>
      <c r="D291" s="26"/>
      <c r="E291" s="18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5"/>
      <c r="D292" s="26"/>
      <c r="E292" s="18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5"/>
      <c r="D293" s="26"/>
      <c r="E293" s="18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5"/>
      <c r="D294" s="26"/>
      <c r="E294" s="18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5"/>
      <c r="D295" s="26"/>
      <c r="E295" s="18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5"/>
      <c r="D296" s="26"/>
      <c r="E296" s="18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5"/>
      <c r="D297" s="26"/>
      <c r="E297" s="18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5"/>
      <c r="D298" s="26"/>
      <c r="E298" s="18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5"/>
      <c r="D299" s="26"/>
      <c r="E299" s="18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5"/>
      <c r="D300" s="26"/>
      <c r="E300" s="18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5"/>
      <c r="D301" s="26"/>
      <c r="E301" s="18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