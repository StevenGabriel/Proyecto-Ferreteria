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<sst xmlns="http://schemas.openxmlformats.org/spreadsheetml/2006/main" count="96" uniqueCount="94">
  <si>
    <t>HOJA DE CALCULO FERRETERIA</t>
  </si>
  <si>
    <t>CODIGO</t>
  </si>
  <si>
    <t>CANTIDAD</t>
  </si>
  <si>
    <t>DESCRIPCION</t>
  </si>
  <si>
    <t>TOTAL</t>
  </si>
  <si>
    <t>HORA</t>
  </si>
  <si>
    <t>CUADRAR</t>
  </si>
  <si>
    <t>m hilo de corta pasto</t>
  </si>
  <si>
    <t>calibadr tolsen</t>
  </si>
  <si>
    <t>MONEDAS</t>
  </si>
  <si>
    <t>CAJA CHICA</t>
  </si>
  <si>
    <t>precinto 16cm</t>
  </si>
  <si>
    <t>BILLETES 10-20</t>
  </si>
  <si>
    <t>TOTAL VENTAS DIA</t>
  </si>
  <si>
    <t>aerosol blanco brillo</t>
  </si>
  <si>
    <t>BILLETES 50-100-200</t>
  </si>
  <si>
    <t>AUMENTO DE DINERO</t>
  </si>
  <si>
    <t>aerosol plateado</t>
  </si>
  <si>
    <t>INGRESOS YAPE</t>
  </si>
  <si>
    <t>alargador 3m</t>
  </si>
  <si>
    <t>INGRESOS TARJETA</t>
  </si>
  <si>
    <t>removedor de pintura</t>
  </si>
  <si>
    <t>GASTOS VARIOS</t>
  </si>
  <si>
    <t>placa doble tramon</t>
  </si>
  <si>
    <t>paca doble epem</t>
  </si>
  <si>
    <t>DINERO GANADO HOY:</t>
  </si>
  <si>
    <t>CANTIDAD DINERO CAJA:</t>
  </si>
  <si>
    <t>carbon</t>
  </si>
  <si>
    <t>palo de scoba</t>
  </si>
  <si>
    <t>2m</t>
  </si>
  <si>
    <t>mmala hexaonal</t>
  </si>
  <si>
    <t>pasa corriente bateria</t>
  </si>
  <si>
    <t>alargador 5m</t>
  </si>
  <si>
    <t>llave crecen</t>
  </si>
  <si>
    <t>hilo tr</t>
  </si>
  <si>
    <t>YAPE MAMÁ</t>
  </si>
  <si>
    <t>YAPE PAPÁ</t>
  </si>
  <si>
    <t>YAPE</t>
  </si>
  <si>
    <t>doble contacto 1/2</t>
  </si>
  <si>
    <t>Monto Total YAPE (No tocar):</t>
  </si>
  <si>
    <t xml:space="preserve">tijera podar </t>
  </si>
  <si>
    <t>DECRUS B</t>
  </si>
  <si>
    <t>Monto Total Registrado en aplicacion</t>
  </si>
  <si>
    <t>BATERIA ATLAS</t>
  </si>
  <si>
    <t>CHICOTILLO METRO</t>
  </si>
  <si>
    <t>MANGUERA GAS</t>
  </si>
  <si>
    <t>ABRAZADERA</t>
  </si>
  <si>
    <t>ARMELLA</t>
  </si>
  <si>
    <t>RAMPU 8</t>
  </si>
  <si>
    <t>BROCA 8 CONCRETO</t>
  </si>
  <si>
    <t>PILAS D FORTE</t>
  </si>
  <si>
    <t>PAGOS YAPE</t>
  </si>
  <si>
    <t>DESCRIPCION PAGO</t>
  </si>
  <si>
    <t>CLAVO</t>
  </si>
  <si>
    <t>1,5M</t>
  </si>
  <si>
    <t>MALLA MILIMETRICA PLASTICA</t>
  </si>
  <si>
    <t xml:space="preserve">M ALUBAN </t>
  </si>
  <si>
    <t>PIE DE AMIGIO</t>
  </si>
  <si>
    <t>PIE DE AMIGO</t>
  </si>
  <si>
    <t xml:space="preserve">TORNILLO </t>
  </si>
  <si>
    <t>PISPOT</t>
  </si>
  <si>
    <t xml:space="preserve">M ALUBAND </t>
  </si>
  <si>
    <t>GUANTE LICRA</t>
  </si>
  <si>
    <t>AEROSOL CROMO BRILLANTE</t>
  </si>
  <si>
    <t>CANDADO</t>
  </si>
  <si>
    <t>DOBLE CONTATO</t>
  </si>
  <si>
    <t>ARMELLAS</t>
  </si>
  <si>
    <t>DISCO DE VIDRIO</t>
  </si>
  <si>
    <t>DISOC SCRACH 7</t>
  </si>
  <si>
    <t>GRIFO 1/2 EKO</t>
  </si>
  <si>
    <t xml:space="preserve">TUERCAR </t>
  </si>
  <si>
    <t xml:space="preserve">TERMCIO </t>
  </si>
  <si>
    <t>BUSCA LPOLO</t>
  </si>
  <si>
    <t>ABRAZADES</t>
  </si>
  <si>
    <t>ESÁTIA</t>
  </si>
  <si>
    <t>PITON GAS</t>
  </si>
  <si>
    <t>BROCHON</t>
  </si>
  <si>
    <t>TUBO TARRABAJA</t>
  </si>
  <si>
    <t xml:space="preserve">CODO </t>
  </si>
  <si>
    <t>M TUBO</t>
  </si>
  <si>
    <t>TIRAFKONTO  Y RAMPUS</t>
  </si>
  <si>
    <t>CINTA VULCANIZANTE</t>
  </si>
  <si>
    <t>COPLA FG 3/4</t>
  </si>
  <si>
    <t xml:space="preserve">JUSEGMOD E CACKOPLE TOLSEN </t>
  </si>
  <si>
    <t>M MANGUERA 1/2</t>
  </si>
  <si>
    <t>REDUCICIN BUJLE DE 11/4*1</t>
  </si>
  <si>
    <t>ALICAREW  TRUPER</t>
  </si>
  <si>
    <t>REVERSIBLE DESARMADOR</t>
  </si>
  <si>
    <t>LLAVE DE PASO 1/2 ITAP</t>
  </si>
  <si>
    <t>CANDO HADEVER</t>
  </si>
  <si>
    <t>ALDAVA</t>
  </si>
  <si>
    <t>GUANTES JADEVER</t>
  </si>
  <si>
    <t>CUBRE CABLE</t>
  </si>
  <si>
    <t>CAJA MEC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</si>
</sst>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30.0</v>
      </c>
      <c r="C8" s="7" t="s">
        <v>7</v>
      </c>
      <c r="D8" s="6">
        <v>45.0</v>
      </c>
      <c r="E8" s="8">
        <v>46298.36662324074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3.0</v>
      </c>
      <c r="C9" s="7" t="s">
        <v>8</v>
      </c>
      <c r="D9" s="6">
        <v>390.0</v>
      </c>
      <c r="E9" s="8">
        <v>46298.37037851852</v>
      </c>
      <c r="F9" s="2"/>
      <c r="G9" s="9" t="s">
        <v>9</v>
      </c>
      <c r="H9" s="10">
        <v>56.0</v>
      </c>
      <c r="I9" s="2"/>
      <c r="J9" s="9" t="s">
        <v>10</v>
      </c>
      <c r="K9" s="10">
        <v>813.5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14.0</v>
      </c>
      <c r="E10" s="8">
        <v>46298.373585277775</v>
      </c>
      <c r="F10" s="2"/>
      <c r="G10" s="9" t="s">
        <v>12</v>
      </c>
      <c r="H10" s="10">
        <v>350.0</v>
      </c>
      <c r="I10" s="2"/>
      <c r="J10" s="9" t="s">
        <v>13</v>
      </c>
      <c r="K10" s="11">
        <f>SUM(PRINCIPAL[TOTAL])</f>
        <v>3025.5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20.0</v>
      </c>
      <c r="E11" s="8">
        <v>46298.40311799769</v>
      </c>
      <c r="F11" s="2"/>
      <c r="G11" s="9" t="s">
        <v>15</v>
      </c>
      <c r="H11" s="10">
        <v>2050.0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4.0</v>
      </c>
      <c r="C12" s="7" t="s">
        <v>17</v>
      </c>
      <c r="D12" s="6">
        <v>80.0</v>
      </c>
      <c r="E12" s="8">
        <v>46298.40844467592</v>
      </c>
      <c r="F12" s="2"/>
      <c r="G12" s="9" t="s">
        <v>18</v>
      </c>
      <c r="H12" s="12">
        <f>SUM(G24:H361)</f>
        <v>1449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40.0</v>
      </c>
      <c r="E13" s="8">
        <v>46298.408646655094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52.0</v>
      </c>
      <c r="E14" s="8">
        <v>46298.40871993055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33.0</v>
      </c>
      <c r="E15" s="8">
        <v>46298.42260533565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19.0</v>
      </c>
      <c r="E16" s="8">
        <v>46298.42265815972</v>
      </c>
      <c r="F16" s="2"/>
      <c r="G16" s="15" t="s">
        <v>25</v>
      </c>
      <c r="H16" s="16">
        <f>SUM(H9:H14)</f>
        <v>3905</v>
      </c>
      <c r="I16" s="3"/>
      <c r="J16" s="15" t="s">
        <v>26</v>
      </c>
      <c r="K16" s="16">
        <f>SUM(K9:K11)</f>
        <v>3839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19.0</v>
      </c>
      <c r="E17" s="8">
        <v>46298.43610739583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5.0</v>
      </c>
      <c r="C18" s="7" t="s">
        <v>28</v>
      </c>
      <c r="D18" s="6">
        <v>60.0</v>
      </c>
      <c r="E18" s="8">
        <v>46298.43735450231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66,00</v>
      </c>
      <c r="L18" s="2"/>
      <c r="M18" s="2"/>
      <c r="N18" s="2"/>
      <c r="O18" s="2"/>
      <c r="P18" s="2"/>
      <c r="Q18" s="2"/>
    </row>
    <row r="19" ht="22.5" customHeight="1">
      <c r="A19" s="13"/>
      <c r="B19" s="6" t="s">
        <v>29</v>
      </c>
      <c r="C19" s="7" t="s">
        <v>30</v>
      </c>
      <c r="D19" s="6">
        <v>12.0</v>
      </c>
      <c r="E19" s="8">
        <v>46298.437521921296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117.0</v>
      </c>
      <c r="E20" s="8">
        <v>46298.4492411574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65.0</v>
      </c>
      <c r="E21" s="8">
        <v>46298.44945929398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72.0</v>
      </c>
      <c r="E22" s="8">
        <v>46298.44955344907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105.0</v>
      </c>
      <c r="E23" s="8">
        <v>46298.44972634259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12.0</v>
      </c>
      <c r="E24" s="8">
        <v>46298.449803923606</v>
      </c>
      <c r="F24" s="2"/>
      <c r="G24" s="22">
        <v>390.0</v>
      </c>
      <c r="H24" s="23"/>
      <c r="I24" s="2"/>
      <c r="J24" s="24" t="s">
        <v>39</v>
      </c>
      <c r="K24" s="25">
        <f>SUM(INGRESOS_YAPE[])</f>
        <v>1449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54.0</v>
      </c>
      <c r="E25" s="8">
        <v>46298.45448767361</v>
      </c>
      <c r="F25" s="2"/>
      <c r="G25" s="22">
        <v>20.0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65.0</v>
      </c>
      <c r="E26" s="8">
        <v>46298.456750150464</v>
      </c>
      <c r="F26" s="2"/>
      <c r="G26" s="26">
        <v>19.0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125.0</v>
      </c>
      <c r="E27" s="8">
        <v>46298.45968619213</v>
      </c>
      <c r="F27" s="2"/>
      <c r="G27" s="22">
        <v>110.0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30.0</v>
      </c>
      <c r="E28" s="8">
        <v>46298.459765023144</v>
      </c>
      <c r="F28" s="2"/>
      <c r="G28" s="22">
        <v>105.0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77.0</v>
      </c>
      <c r="E29" s="8">
        <v>46298.46226409722</v>
      </c>
      <c r="F29" s="2"/>
      <c r="G29" s="22">
        <v>77.0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1449,00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3.0</v>
      </c>
      <c r="E30" s="8">
        <v>46298.46232024305</v>
      </c>
      <c r="F30" s="2"/>
      <c r="G30" s="22">
        <v>54.0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2.5</v>
      </c>
      <c r="E31" s="8">
        <v>46298.46240361111</v>
      </c>
      <c r="F31" s="2"/>
      <c r="G31" s="22">
        <v>110.0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3.0</v>
      </c>
      <c r="C32" s="7" t="s">
        <v>48</v>
      </c>
      <c r="D32" s="6">
        <v>0.5</v>
      </c>
      <c r="E32" s="8">
        <v>46298.462513125</v>
      </c>
      <c r="F32" s="2"/>
      <c r="G32" s="22">
        <v>4.0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27.0</v>
      </c>
      <c r="E33" s="8">
        <v>46298.46265652778</v>
      </c>
      <c r="F33" s="2"/>
      <c r="G33" s="22">
        <v>85.0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47.0</v>
      </c>
      <c r="E34" s="8">
        <v>46298.46830550926</v>
      </c>
      <c r="F34" s="2"/>
      <c r="G34" s="22">
        <v>81.0</v>
      </c>
      <c r="H34" s="23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78.0</v>
      </c>
      <c r="E35" s="8">
        <v>46298.47263487268</v>
      </c>
      <c r="F35" s="2"/>
      <c r="G35" s="22">
        <v>21.0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 t="s">
        <v>54</v>
      </c>
      <c r="C36" s="7" t="s">
        <v>55</v>
      </c>
      <c r="D36" s="6">
        <v>45.0</v>
      </c>
      <c r="E36" s="8">
        <v>46298.47906711805</v>
      </c>
      <c r="F36" s="2"/>
      <c r="G36" s="22">
        <v>20.0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6">
        <v>20.0</v>
      </c>
      <c r="E37" s="8">
        <v>46298.48221835648</v>
      </c>
      <c r="F37" s="2"/>
      <c r="G37" s="22">
        <v>40.0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4.0</v>
      </c>
      <c r="C38" s="7" t="s">
        <v>57</v>
      </c>
      <c r="D38" s="6">
        <v>8.0</v>
      </c>
      <c r="E38" s="8">
        <v>46298.491924849535</v>
      </c>
      <c r="F38" s="2"/>
      <c r="G38" s="22">
        <v>107.0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4.0</v>
      </c>
      <c r="C39" s="7" t="s">
        <v>58</v>
      </c>
      <c r="D39" s="6">
        <v>12.0</v>
      </c>
      <c r="E39" s="8">
        <v>46298.503618703704</v>
      </c>
      <c r="F39" s="2"/>
      <c r="G39" s="22">
        <v>206.0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36.0</v>
      </c>
      <c r="C40" s="7" t="s">
        <v>59</v>
      </c>
      <c r="D40" s="6">
        <v>6.0</v>
      </c>
      <c r="E40" s="8">
        <v>46298.49186895833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5.0</v>
      </c>
      <c r="C41" s="7" t="s">
        <v>60</v>
      </c>
      <c r="D41" s="6">
        <v>30.0</v>
      </c>
      <c r="E41" s="8">
        <v>46298.49179961806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61</v>
      </c>
      <c r="D42" s="6">
        <v>20.0</v>
      </c>
      <c r="E42" s="8">
        <v>46298.49173366898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10.0</v>
      </c>
      <c r="E43" s="8">
        <v>46298.503663703705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63</v>
      </c>
      <c r="D44" s="6">
        <v>30.0</v>
      </c>
      <c r="E44" s="8">
        <v>46298.505482569446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12.0</v>
      </c>
      <c r="E45" s="8">
        <v>46298.519230000005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65</v>
      </c>
      <c r="D46" s="6">
        <v>17.0</v>
      </c>
      <c r="E46" s="8">
        <v>46298.519309490744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3.0</v>
      </c>
      <c r="C47" s="7" t="s">
        <v>66</v>
      </c>
      <c r="D47" s="6">
        <v>4.5</v>
      </c>
      <c r="E47" s="8">
        <v>46298.51943295139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67</v>
      </c>
      <c r="D48" s="6">
        <v>65.0</v>
      </c>
      <c r="E48" s="8">
        <v>46298.5243215625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68</v>
      </c>
      <c r="D49" s="6">
        <v>45.0</v>
      </c>
      <c r="E49" s="8">
        <v>46298.524408287034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69</v>
      </c>
      <c r="D50" s="6">
        <v>115.0</v>
      </c>
      <c r="E50" s="8">
        <v>46298.53329439815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4.0</v>
      </c>
      <c r="C51" s="7" t="s">
        <v>70</v>
      </c>
      <c r="D51" s="6">
        <v>4.0</v>
      </c>
      <c r="E51" s="8">
        <v>46298.53547304399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75.0</v>
      </c>
      <c r="E52" s="8">
        <v>46298.57366219907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10.0</v>
      </c>
      <c r="E53" s="8">
        <v>46298.57393182871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5.0</v>
      </c>
      <c r="C54" s="7" t="s">
        <v>73</v>
      </c>
      <c r="D54" s="6">
        <v>15.0</v>
      </c>
      <c r="E54" s="8">
        <v>46298.57404065972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74</v>
      </c>
      <c r="D55" s="6">
        <v>20.0</v>
      </c>
      <c r="E55" s="8">
        <v>46298.57411570602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75</v>
      </c>
      <c r="D56" s="6">
        <v>16.0</v>
      </c>
      <c r="E56" s="8">
        <v>46298.574277638894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76</v>
      </c>
      <c r="D57" s="6">
        <v>50.0</v>
      </c>
      <c r="E57" s="8">
        <v>46298.57434980324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77</v>
      </c>
      <c r="D58" s="6">
        <v>48.0</v>
      </c>
      <c r="E58" s="8">
        <v>46298.574464537036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78</v>
      </c>
      <c r="D59" s="6">
        <v>32.0</v>
      </c>
      <c r="E59" s="8">
        <v>46298.58881828704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79</v>
      </c>
      <c r="D60" s="6">
        <v>25.0</v>
      </c>
      <c r="E60" s="8">
        <v>46298.58885269676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6.0</v>
      </c>
      <c r="C61" s="7" t="s">
        <v>80</v>
      </c>
      <c r="D61" s="6">
        <v>6.0</v>
      </c>
      <c r="E61" s="8">
        <v>46298.59222146991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81</v>
      </c>
      <c r="D62" s="6">
        <v>75.0</v>
      </c>
      <c r="E62" s="8">
        <v>46298.592277523145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82</v>
      </c>
      <c r="D63" s="6">
        <v>21.0</v>
      </c>
      <c r="E63" s="8">
        <v>46298.59293128472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83</v>
      </c>
      <c r="D64" s="6">
        <v>20.0</v>
      </c>
      <c r="E64" s="8">
        <v>46298.59951315972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10.0</v>
      </c>
      <c r="C65" s="7" t="s">
        <v>84</v>
      </c>
      <c r="D65" s="6">
        <v>40.0</v>
      </c>
      <c r="E65" s="8">
        <v>46298.6032494213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85</v>
      </c>
      <c r="D66" s="6">
        <v>23.0</v>
      </c>
      <c r="E66" s="8">
        <v>46298.60335959491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86</v>
      </c>
      <c r="D67" s="6">
        <v>107.0</v>
      </c>
      <c r="E67" s="8">
        <v>46298.65003123843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87</v>
      </c>
      <c r="D68" s="6">
        <v>10.0</v>
      </c>
      <c r="E68" s="8">
        <v>46298.65009361111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88</v>
      </c>
      <c r="D69" s="6">
        <v>70.0</v>
      </c>
      <c r="E69" s="8">
        <v>46298.65599818287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89</v>
      </c>
      <c r="D70" s="6">
        <v>96.0</v>
      </c>
      <c r="E70" s="8">
        <v>46298.656456111115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25.0</v>
      </c>
      <c r="E71" s="8">
        <v>46298.656516840274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90</v>
      </c>
      <c r="D72" s="6">
        <v>15.0</v>
      </c>
      <c r="E72" s="8">
        <v>46298.65671195602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91</v>
      </c>
      <c r="D73" s="6">
        <v>70.0</v>
      </c>
      <c r="E73" s="8">
        <v>46298.656821412034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92</v>
      </c>
      <c r="D74" s="6">
        <v>16.0</v>
      </c>
      <c r="E74" s="8">
        <v>46298.66123462963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2.0</v>
      </c>
      <c r="C75" s="7" t="s">
        <v>92</v>
      </c>
      <c r="D75" s="6">
        <v>18.0</v>
      </c>
      <c r="E75" s="8">
        <v>46298.66129905093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93</v>
      </c>
      <c r="D76" s="6">
        <v>15.0</v>
      </c>
      <c r="E76" s="8">
        <v>46298.66136243056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3"/>
      <c r="D77" s="34"/>
      <c r="E77" s="35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3"/>
      <c r="D78" s="34"/>
      <c r="E78" s="35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3"/>
      <c r="D79" s="34"/>
      <c r="E79" s="35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3"/>
      <c r="D80" s="34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