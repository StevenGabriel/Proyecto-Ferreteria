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<sst xmlns="http://schemas.openxmlformats.org/spreadsheetml/2006/main" count="108" uniqueCount="107">
  <si>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</si>
  <si>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</si>
  <si>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</si>
  <si>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</si>
  <si>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</si>
  <si>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</si>
  <si>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</si>
  <si>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kg alambre amarre</t>
  </si>
  <si>
    <t>masquin 1</t>
  </si>
  <si>
    <t>MONEDAS</t>
  </si>
  <si>
    <t>CAJA CHICA</t>
  </si>
  <si>
    <t>silicona akfi</t>
  </si>
  <si>
    <t>BILLETES 10-20</t>
  </si>
  <si>
    <t>TOTAL VENTAS DIA</t>
  </si>
  <si>
    <t>gauje truper</t>
  </si>
  <si>
    <t>BILLETES 50-100-200</t>
  </si>
  <si>
    <t>AUMENTO DE DINERO</t>
  </si>
  <si>
    <t>flexo 8m</t>
  </si>
  <si>
    <t>INGRESOS YAPE</t>
  </si>
  <si>
    <t>reparo</t>
  </si>
  <si>
    <t>INGRESOS TARJETA</t>
  </si>
  <si>
    <t>chapa para baño</t>
  </si>
  <si>
    <t>GASTOS VARIOS</t>
  </si>
  <si>
    <t>clefa 220</t>
  </si>
  <si>
    <t>15m</t>
  </si>
  <si>
    <t>perlon 4</t>
  </si>
  <si>
    <t>DINERO GANADO HOY:</t>
  </si>
  <si>
    <t>CANTIDAD DINERO CAJA:</t>
  </si>
  <si>
    <t>caurin200</t>
  </si>
  <si>
    <t>1kl</t>
  </si>
  <si>
    <t>alambre galbanizado 12</t>
  </si>
  <si>
    <t>1/2kl</t>
  </si>
  <si>
    <t>alabre gal 18</t>
  </si>
  <si>
    <t>tornillos 14x3/4</t>
  </si>
  <si>
    <t>cinta aislante</t>
  </si>
  <si>
    <t>carbon</t>
  </si>
  <si>
    <t>tester</t>
  </si>
  <si>
    <t>YAPE MAMÁ</t>
  </si>
  <si>
    <t>YAPE PAPÁ</t>
  </si>
  <si>
    <t>YAPE</t>
  </si>
  <si>
    <t>brasso</t>
  </si>
  <si>
    <t>Monto Total YAPE (No tocar):</t>
  </si>
  <si>
    <t>lija 200</t>
  </si>
  <si>
    <t>disco flap</t>
  </si>
  <si>
    <t>Monto Total Registrado en aplicacion</t>
  </si>
  <si>
    <t>disco galeta</t>
  </si>
  <si>
    <t>lentes</t>
  </si>
  <si>
    <t>guante oscaria</t>
  </si>
  <si>
    <t>tiza metal</t>
  </si>
  <si>
    <t>DISCO LISO</t>
  </si>
  <si>
    <t>DISCO CONCRETO 9</t>
  </si>
  <si>
    <t>BOLSA DE ESCOMBRE</t>
  </si>
  <si>
    <t>ESCABA</t>
  </si>
  <si>
    <t>PAGOS YAPE</t>
  </si>
  <si>
    <t>DESCRIPCION PAGO</t>
  </si>
  <si>
    <t>SUPER GLU</t>
  </si>
  <si>
    <t>2M</t>
  </si>
  <si>
    <t>MANGUERE 1/2</t>
  </si>
  <si>
    <t>SOPORTE DE CIERRA</t>
  </si>
  <si>
    <t>ADAPTADOR</t>
  </si>
  <si>
    <t>PICAPORTE HR</t>
  </si>
  <si>
    <t>PISTOL DE SILIOCNA</t>
  </si>
  <si>
    <t>BARRA DE SILIOCA DELAGADA</t>
  </si>
  <si>
    <t>GUANTES AZUL</t>
  </si>
  <si>
    <t>10KL</t>
  </si>
  <si>
    <t>ALAMBRE GA 16</t>
  </si>
  <si>
    <t>FLEXO 5M</t>
  </si>
  <si>
    <t>CINTA ASILANTE</t>
  </si>
  <si>
    <t>LLAVE COMBINADA 24</t>
  </si>
  <si>
    <t>PISOTLA DE CALOR</t>
  </si>
  <si>
    <t>DESARMADOR PLANO</t>
  </si>
  <si>
    <t>PLANCHA</t>
  </si>
  <si>
    <t>CEPILLO DE ACERO TR</t>
  </si>
  <si>
    <t>LIJAS 120</t>
  </si>
  <si>
    <t>ESPATULA 3</t>
  </si>
  <si>
    <t>ESPATULA 4</t>
  </si>
  <si>
    <t>SILICO GER</t>
  </si>
  <si>
    <t>DADO 24 ESTRIADO</t>
  </si>
  <si>
    <t>BARRA PARA DADO</t>
  </si>
  <si>
    <t>DISCO CONCRETO UYUS</t>
  </si>
  <si>
    <t>CINTA BULCANIZANTE</t>
  </si>
  <si>
    <t>BOLSITA DE CLAVOS</t>
  </si>
  <si>
    <t>GOMA DE TRAEP</t>
  </si>
  <si>
    <t>A40</t>
  </si>
  <si>
    <t>SUPER GLUE</t>
  </si>
  <si>
    <t>GRIFO FV</t>
  </si>
  <si>
    <t>GRIFO LACALATOD FV</t>
  </si>
  <si>
    <t>GOMITA DE REPARO</t>
  </si>
  <si>
    <t>BISAGRA PISTOOT</t>
  </si>
  <si>
    <t>CHIP</t>
  </si>
  <si>
    <t>RAMLUS 6</t>
  </si>
  <si>
    <t>CAJA T-10</t>
  </si>
  <si>
    <t>LLAVE CADENA UTUSTOOL SIMLE</t>
  </si>
  <si>
    <t>FRESA TRUPER</t>
  </si>
  <si>
    <t>CIPO TRAMONITA</t>
  </si>
  <si>
    <t>ADAPTADOR TRAMONTA</t>
  </si>
  <si>
    <t>PICO GFO TRAMONA</t>
  </si>
  <si>
    <t>KL ALAMBRE DE ARRETE</t>
  </si>
  <si>
    <t>CINA AISLANES</t>
  </si>
  <si>
    <t>cja rectangulares tigre</t>
  </si>
  <si>
    <t>caja shuco</t>
  </si>
  <si>
    <t>abrazadera 3/4</t>
  </si>
  <si>
    <t>kl alambre galvanizado</t>
  </si>
  <si>
    <t>picaporte induma</t>
  </si>
  <si>
    <t>broca concret irwin 8</t>
  </si>
  <si>
    <t>chip 6x 80</t>
  </si>
  <si>
    <t>m soga perlon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</si>
</sst>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18.0</v>
      </c>
      <c r="E8" s="8">
        <v>46155.340895960646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16.0</v>
      </c>
      <c r="E9" s="8">
        <v>46155.35584539352</v>
      </c>
      <c r="F9" s="2"/>
      <c r="G9" s="9" t="s">
        <v>9</v>
      </c>
      <c r="H9" s="10">
        <v>166.0</v>
      </c>
      <c r="I9" s="2"/>
      <c r="J9" s="9" t="s">
        <v>10</v>
      </c>
      <c r="K9" s="10">
        <v>836.0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34.0</v>
      </c>
      <c r="E10" s="8">
        <v>46155.355900636576</v>
      </c>
      <c r="F10" s="2"/>
      <c r="G10" s="9" t="s">
        <v>12</v>
      </c>
      <c r="H10" s="10">
        <v>310.0</v>
      </c>
      <c r="I10" s="2"/>
      <c r="J10" s="9" t="s">
        <v>13</v>
      </c>
      <c r="K10" s="11">
        <f>SUM(PRINCIPAL[TOTAL])</f>
        <v>3570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46.0</v>
      </c>
      <c r="E11" s="8">
        <v>46155.38170237269</v>
      </c>
      <c r="F11" s="2"/>
      <c r="G11" s="9" t="s">
        <v>15</v>
      </c>
      <c r="H11" s="10">
        <v>1950.0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74.0</v>
      </c>
      <c r="E12" s="8">
        <v>46155.41141996528</v>
      </c>
      <c r="F12" s="2"/>
      <c r="G12" s="9" t="s">
        <v>18</v>
      </c>
      <c r="H12" s="12">
        <f>SUM(G24:H361)</f>
        <v>1960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5.0</v>
      </c>
      <c r="E13" s="8">
        <v>46155.41146607639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134.0</v>
      </c>
      <c r="E14" s="8">
        <v>46155.42540090278</v>
      </c>
      <c r="F14" s="2"/>
      <c r="G14" s="9" t="s">
        <v>22</v>
      </c>
      <c r="H14" s="10">
        <v>30.0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26.5</v>
      </c>
      <c r="E15" s="8">
        <v>46155.43079974537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30.0</v>
      </c>
      <c r="E16" s="8">
        <v>46155.4392734375</v>
      </c>
      <c r="F16" s="2"/>
      <c r="G16" s="15" t="s">
        <v>26</v>
      </c>
      <c r="H16" s="16">
        <f>SUM(H9:H14)</f>
        <v>4416</v>
      </c>
      <c r="I16" s="3"/>
      <c r="J16" s="15" t="s">
        <v>27</v>
      </c>
      <c r="K16" s="16">
        <f>SUM(K9:K11)</f>
        <v>4406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100.0</v>
      </c>
      <c r="E17" s="8">
        <v>46155.43946709491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29</v>
      </c>
      <c r="C18" s="7" t="s">
        <v>30</v>
      </c>
      <c r="D18" s="6">
        <v>30.0</v>
      </c>
      <c r="E18" s="8">
        <v>46155.463937187495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31</v>
      </c>
      <c r="C19" s="7" t="s">
        <v>32</v>
      </c>
      <c r="D19" s="6">
        <v>15.0</v>
      </c>
      <c r="E19" s="8">
        <v>46155.46402461806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24.0</v>
      </c>
      <c r="C20" s="7" t="s">
        <v>33</v>
      </c>
      <c r="D20" s="6">
        <v>9.0</v>
      </c>
      <c r="E20" s="8">
        <v>46155.46418740741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34</v>
      </c>
      <c r="D21" s="6">
        <v>26.0</v>
      </c>
      <c r="E21" s="8">
        <v>46155.46428118055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35</v>
      </c>
      <c r="D22" s="6">
        <v>28.0</v>
      </c>
      <c r="E22" s="8">
        <v>46155.46657793982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36</v>
      </c>
      <c r="D23" s="6">
        <v>96.0</v>
      </c>
      <c r="E23" s="8">
        <v>46155.46806741898</v>
      </c>
      <c r="F23" s="2"/>
      <c r="G23" s="19" t="s">
        <v>37</v>
      </c>
      <c r="H23" s="19" t="s">
        <v>38</v>
      </c>
      <c r="I23" s="2"/>
      <c r="J23" s="20" t="s">
        <v>39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40</v>
      </c>
      <c r="D24" s="6">
        <v>52.0</v>
      </c>
      <c r="E24" s="8">
        <v>46155.46854318287</v>
      </c>
      <c r="F24" s="2"/>
      <c r="G24" s="22">
        <v>18.0</v>
      </c>
      <c r="H24" s="23"/>
      <c r="I24" s="2"/>
      <c r="J24" s="24" t="s">
        <v>41</v>
      </c>
      <c r="K24" s="25">
        <f>SUM(INGRESOS_YAPE[])</f>
        <v>1960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42</v>
      </c>
      <c r="D25" s="6">
        <v>8.0</v>
      </c>
      <c r="E25" s="8">
        <v>46155.4686175463</v>
      </c>
      <c r="F25" s="2"/>
      <c r="G25" s="22">
        <v>46.0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43</v>
      </c>
      <c r="D26" s="6">
        <v>12.0</v>
      </c>
      <c r="E26" s="8">
        <v>46155.47219803241</v>
      </c>
      <c r="F26" s="2"/>
      <c r="G26" s="26">
        <v>74.0</v>
      </c>
      <c r="H26" s="23"/>
      <c r="I26" s="2"/>
      <c r="J26" s="27" t="s">
        <v>44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45</v>
      </c>
      <c r="D27" s="6">
        <v>5.0</v>
      </c>
      <c r="E27" s="8">
        <v>46155.47224457176</v>
      </c>
      <c r="F27" s="2"/>
      <c r="G27" s="22">
        <v>100.0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46</v>
      </c>
      <c r="D28" s="6">
        <v>28.0</v>
      </c>
      <c r="E28" s="8">
        <v>46155.478699687505</v>
      </c>
      <c r="F28" s="2"/>
      <c r="G28" s="22">
        <v>54.0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47</v>
      </c>
      <c r="D29" s="6">
        <v>48.0</v>
      </c>
      <c r="E29" s="8">
        <v>46155.4788078125</v>
      </c>
      <c r="F29" s="2"/>
      <c r="G29" s="22">
        <v>17.0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1960,00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48</v>
      </c>
      <c r="D30" s="6">
        <v>6.0</v>
      </c>
      <c r="E30" s="8">
        <v>46155.478863599536</v>
      </c>
      <c r="F30" s="2"/>
      <c r="G30" s="22">
        <v>227.0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49</v>
      </c>
      <c r="D31" s="6">
        <v>25.0</v>
      </c>
      <c r="E31" s="8">
        <v>46155.49525229167</v>
      </c>
      <c r="F31" s="2"/>
      <c r="G31" s="22">
        <v>82.0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50</v>
      </c>
      <c r="D32" s="6">
        <v>120.0</v>
      </c>
      <c r="E32" s="8">
        <v>46155.49532583333</v>
      </c>
      <c r="F32" s="2"/>
      <c r="G32" s="22">
        <v>285.0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6.0</v>
      </c>
      <c r="C33" s="7" t="s">
        <v>51</v>
      </c>
      <c r="D33" s="6">
        <v>60.0</v>
      </c>
      <c r="E33" s="8">
        <v>46155.49539675926</v>
      </c>
      <c r="F33" s="2"/>
      <c r="G33" s="22">
        <v>65.0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52</v>
      </c>
      <c r="D34" s="6">
        <v>22.0</v>
      </c>
      <c r="E34" s="8">
        <v>46155.495442893516</v>
      </c>
      <c r="F34" s="2"/>
      <c r="G34" s="22">
        <v>77.0</v>
      </c>
      <c r="H34" s="23"/>
      <c r="I34" s="2"/>
      <c r="J34" s="30" t="s">
        <v>53</v>
      </c>
      <c r="K34" s="30" t="s">
        <v>54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55</v>
      </c>
      <c r="D35" s="6">
        <v>16.0</v>
      </c>
      <c r="E35" s="8">
        <v>46155.49570324074</v>
      </c>
      <c r="F35" s="2"/>
      <c r="G35" s="22">
        <v>23.0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 t="s">
        <v>56</v>
      </c>
      <c r="C36" s="7" t="s">
        <v>57</v>
      </c>
      <c r="D36" s="6">
        <v>20.0</v>
      </c>
      <c r="E36" s="8">
        <v>46155.49579410879</v>
      </c>
      <c r="F36" s="2"/>
      <c r="G36" s="22">
        <v>27.0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58</v>
      </c>
      <c r="D37" s="6">
        <v>49.0</v>
      </c>
      <c r="E37" s="8">
        <v>46155.495956238425</v>
      </c>
      <c r="F37" s="2"/>
      <c r="G37" s="22">
        <v>87.0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59</v>
      </c>
      <c r="D38" s="6">
        <v>9.0</v>
      </c>
      <c r="E38" s="8">
        <v>46155.49613528935</v>
      </c>
      <c r="F38" s="2"/>
      <c r="G38" s="22">
        <v>166.0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60</v>
      </c>
      <c r="D39" s="6">
        <v>76.0</v>
      </c>
      <c r="E39" s="8">
        <v>46155.5007406713</v>
      </c>
      <c r="F39" s="2"/>
      <c r="G39" s="22">
        <v>10.0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61</v>
      </c>
      <c r="D40" s="6">
        <v>49.0</v>
      </c>
      <c r="E40" s="8">
        <v>46155.50130275463</v>
      </c>
      <c r="F40" s="2"/>
      <c r="G40" s="22">
        <v>32.0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62</v>
      </c>
      <c r="D41" s="6">
        <v>5.0</v>
      </c>
      <c r="E41" s="8">
        <v>46155.50138487268</v>
      </c>
      <c r="F41" s="2"/>
      <c r="G41" s="22">
        <v>236.0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12.0</v>
      </c>
      <c r="C42" s="7" t="s">
        <v>63</v>
      </c>
      <c r="D42" s="6">
        <v>150.0</v>
      </c>
      <c r="E42" s="8">
        <v>46155.50148878472</v>
      </c>
      <c r="F42" s="2"/>
      <c r="G42" s="22">
        <v>38.0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 t="s">
        <v>64</v>
      </c>
      <c r="C43" s="7" t="s">
        <v>65</v>
      </c>
      <c r="D43" s="6">
        <v>300.0</v>
      </c>
      <c r="E43" s="8">
        <v>46155.50160511574</v>
      </c>
      <c r="F43" s="2"/>
      <c r="G43" s="22">
        <v>144.0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3.0</v>
      </c>
      <c r="C44" s="7" t="s">
        <v>66</v>
      </c>
      <c r="D44" s="6">
        <v>60.0</v>
      </c>
      <c r="E44" s="8">
        <v>46155.50172861111</v>
      </c>
      <c r="F44" s="2"/>
      <c r="G44" s="22">
        <v>35.0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67</v>
      </c>
      <c r="D45" s="6">
        <v>13.0</v>
      </c>
      <c r="E45" s="8">
        <v>46155.501838298616</v>
      </c>
      <c r="F45" s="2"/>
      <c r="G45" s="22">
        <v>117.0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68</v>
      </c>
      <c r="D46" s="6">
        <v>50.0</v>
      </c>
      <c r="E46" s="8">
        <v>46155.515413194444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69</v>
      </c>
      <c r="D47" s="6">
        <v>209.0</v>
      </c>
      <c r="E47" s="8">
        <v>46155.51854721065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70</v>
      </c>
      <c r="D48" s="6">
        <v>54.0</v>
      </c>
      <c r="E48" s="8">
        <v>46155.51866509259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22.0</v>
      </c>
      <c r="E49" s="8">
        <v>46155.51870905093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71</v>
      </c>
      <c r="D50" s="6">
        <v>46.0</v>
      </c>
      <c r="E50" s="8">
        <v>46155.52244869213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72</v>
      </c>
      <c r="D51" s="6">
        <v>25.0</v>
      </c>
      <c r="E51" s="8">
        <v>46155.52250392361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33">
        <v>46144.0</v>
      </c>
      <c r="C52" s="7" t="s">
        <v>73</v>
      </c>
      <c r="D52" s="6">
        <v>25.0</v>
      </c>
      <c r="E52" s="8">
        <v>46155.54024809028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74</v>
      </c>
      <c r="D53" s="6">
        <v>19.0</v>
      </c>
      <c r="E53" s="8">
        <v>46155.54033259259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75</v>
      </c>
      <c r="D54" s="6">
        <v>21.0</v>
      </c>
      <c r="E54" s="8">
        <v>46155.54036141204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76</v>
      </c>
      <c r="D55" s="6">
        <v>26.0</v>
      </c>
      <c r="E55" s="8">
        <v>46155.54957483796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77</v>
      </c>
      <c r="D56" s="6">
        <v>45.0</v>
      </c>
      <c r="E56" s="8">
        <v>46155.55690925926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78</v>
      </c>
      <c r="D57" s="6">
        <v>52.0</v>
      </c>
      <c r="E57" s="8">
        <v>46155.557033969904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79</v>
      </c>
      <c r="D58" s="6">
        <v>23.0</v>
      </c>
      <c r="E58" s="8">
        <v>46155.57104072916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80</v>
      </c>
      <c r="D59" s="6">
        <v>73.0</v>
      </c>
      <c r="E59" s="8">
        <v>46155.57200545139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81</v>
      </c>
      <c r="D60" s="6">
        <v>4.0</v>
      </c>
      <c r="E60" s="8">
        <v>46155.572079895835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82</v>
      </c>
      <c r="D61" s="6">
        <v>27.0</v>
      </c>
      <c r="E61" s="8">
        <v>46155.62269740741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83</v>
      </c>
      <c r="D62" s="6">
        <v>34.0</v>
      </c>
      <c r="E62" s="8">
        <v>46155.62275829861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84</v>
      </c>
      <c r="D63" s="6">
        <v>16.0</v>
      </c>
      <c r="E63" s="8">
        <v>46155.62285934028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85</v>
      </c>
      <c r="D64" s="6">
        <v>87.0</v>
      </c>
      <c r="E64" s="8">
        <v>46155.629566574076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86</v>
      </c>
      <c r="D65" s="6">
        <v>130.0</v>
      </c>
      <c r="E65" s="8">
        <v>46155.64189034722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87</v>
      </c>
      <c r="D66" s="6">
        <v>16.0</v>
      </c>
      <c r="E66" s="8">
        <v>46155.64197827547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88</v>
      </c>
      <c r="D67" s="6">
        <v>20.0</v>
      </c>
      <c r="E67" s="8">
        <v>46155.64205173611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24.0</v>
      </c>
      <c r="C68" s="7" t="s">
        <v>89</v>
      </c>
      <c r="D68" s="6">
        <v>4.0</v>
      </c>
      <c r="E68" s="8">
        <v>46155.64616395833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24.0</v>
      </c>
      <c r="C69" s="7" t="s">
        <v>90</v>
      </c>
      <c r="D69" s="6">
        <v>4.0</v>
      </c>
      <c r="E69" s="8">
        <v>46155.64625011574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91</v>
      </c>
      <c r="D70" s="6">
        <v>90.0</v>
      </c>
      <c r="E70" s="8">
        <v>46155.672508495365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92</v>
      </c>
      <c r="D71" s="6">
        <v>32.0</v>
      </c>
      <c r="E71" s="8">
        <v>46155.709331157406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4.0</v>
      </c>
      <c r="C72" s="7" t="s">
        <v>93</v>
      </c>
      <c r="D72" s="6">
        <v>236.0</v>
      </c>
      <c r="E72" s="8">
        <v>46155.71130737269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94</v>
      </c>
      <c r="D73" s="6">
        <v>12.0</v>
      </c>
      <c r="E73" s="8">
        <v>46155.72155336806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95</v>
      </c>
      <c r="D74" s="6">
        <v>8.0</v>
      </c>
      <c r="E74" s="8">
        <v>46155.72167642361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96</v>
      </c>
      <c r="D75" s="6">
        <v>18.0</v>
      </c>
      <c r="E75" s="8">
        <v>46155.72174461806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7.0</v>
      </c>
      <c r="C76" s="7" t="s">
        <v>97</v>
      </c>
      <c r="D76" s="6">
        <v>126.0</v>
      </c>
      <c r="E76" s="8">
        <v>46155.739058402774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3.0</v>
      </c>
      <c r="C77" s="7" t="s">
        <v>98</v>
      </c>
      <c r="D77" s="6">
        <v>27.0</v>
      </c>
      <c r="E77" s="8">
        <v>46155.7391015162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99</v>
      </c>
      <c r="D78" s="6">
        <v>18.0</v>
      </c>
      <c r="E78" s="8">
        <v>46155.74436851851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100</v>
      </c>
      <c r="D79" s="6">
        <v>24.0</v>
      </c>
      <c r="E79" s="8">
        <v>46155.744511689816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30.0</v>
      </c>
      <c r="C80" s="7" t="s">
        <v>101</v>
      </c>
      <c r="D80" s="6">
        <v>31.5</v>
      </c>
      <c r="E80" s="8">
        <v>46155.74462254629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102</v>
      </c>
      <c r="D81" s="6">
        <v>30.0</v>
      </c>
      <c r="E81" s="8">
        <v>46155.744863009255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103</v>
      </c>
      <c r="D82" s="6">
        <v>14.0</v>
      </c>
      <c r="E82" s="8">
        <v>46155.75707025463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104</v>
      </c>
      <c r="D83" s="6">
        <v>21.0</v>
      </c>
      <c r="E83" s="8">
        <v>46155.757138761575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10.0</v>
      </c>
      <c r="C84" s="7" t="s">
        <v>105</v>
      </c>
      <c r="D84" s="6">
        <v>10.0</v>
      </c>
      <c r="E84" s="8">
        <v>46155.762920520836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10.0</v>
      </c>
      <c r="C85" s="7" t="s">
        <v>106</v>
      </c>
      <c r="D85" s="6">
        <v>20.0</v>
      </c>
      <c r="E85" s="8">
        <v>46155.76320120371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