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<sst xmlns="http://schemas.openxmlformats.org/spreadsheetml/2006/main" count="87" uniqueCount="87">
  <si>
    <t>HOJA DE CALCULO FERRETERIA</t>
  </si>
  <si>
    <t>CODIGO</t>
  </si>
  <si>
    <t>CANTIDAD</t>
  </si>
  <si>
    <t>DESCRIPCION</t>
  </si>
  <si>
    <t>TOTAL</t>
  </si>
  <si>
    <t>HORA</t>
  </si>
  <si>
    <t>CUADRAR</t>
  </si>
  <si>
    <t>cubre cable</t>
  </si>
  <si>
    <t>pulpito</t>
  </si>
  <si>
    <t>MONEDAS</t>
  </si>
  <si>
    <t>CAJA CHICA</t>
  </si>
  <si>
    <t>juego sierras copa yus</t>
  </si>
  <si>
    <t>BILLETES 10-20</t>
  </si>
  <si>
    <t>TOTAL VENTAS DIA</t>
  </si>
  <si>
    <t>ESPATULA TRAMON</t>
  </si>
  <si>
    <t>BILLETES 50-100-200</t>
  </si>
  <si>
    <t>AUMENTO DE DINERO</t>
  </si>
  <si>
    <t>alambre amare</t>
  </si>
  <si>
    <t>INGRESOS YAPE</t>
  </si>
  <si>
    <t>1,5 doc</t>
  </si>
  <si>
    <t>autoperforante 10*11/2</t>
  </si>
  <si>
    <t>INGRESOS TARJETA</t>
  </si>
  <si>
    <t>cinta aisnlante</t>
  </si>
  <si>
    <t>GASTOS VARIOS</t>
  </si>
  <si>
    <t>esmeril</t>
  </si>
  <si>
    <t>clefa 220</t>
  </si>
  <si>
    <t>DINERO GANADO HOY:</t>
  </si>
  <si>
    <t>CANTIDAD DINERO CAJA:</t>
  </si>
  <si>
    <t>raspador tolsen</t>
  </si>
  <si>
    <t>par bisagra 11/2</t>
  </si>
  <si>
    <t>pernos</t>
  </si>
  <si>
    <t>bouilla de riego</t>
  </si>
  <si>
    <t>aerosol naranja</t>
  </si>
  <si>
    <t>pila aaa</t>
  </si>
  <si>
    <t>REGLETA 3</t>
  </si>
  <si>
    <t>YAPE MAMÁ</t>
  </si>
  <si>
    <t>YAPE PAPÁ</t>
  </si>
  <si>
    <t>YAPE</t>
  </si>
  <si>
    <t>mandril concadaptador total</t>
  </si>
  <si>
    <t>Monto Total YAPE (No tocar):</t>
  </si>
  <si>
    <t>espatula tolsen</t>
  </si>
  <si>
    <t>2par</t>
  </si>
  <si>
    <t>bisagra reforzadsa everleo 3</t>
  </si>
  <si>
    <t>Monto Total Registrado en aplicacion</t>
  </si>
  <si>
    <t>grifo lavamanos fv</t>
  </si>
  <si>
    <t>pico grifo 1/2</t>
  </si>
  <si>
    <t>2kl</t>
  </si>
  <si>
    <t>electrodo 7018</t>
  </si>
  <si>
    <t>amoladrota total</t>
  </si>
  <si>
    <t>taladro total</t>
  </si>
  <si>
    <t>llavero</t>
  </si>
  <si>
    <t>nivel de mano</t>
  </si>
  <si>
    <t>cinta aislante</t>
  </si>
  <si>
    <t>PAGOS YAPE</t>
  </si>
  <si>
    <t>DESCRIPCION PAGO</t>
  </si>
  <si>
    <t>20m</t>
  </si>
  <si>
    <t>perlon 8</t>
  </si>
  <si>
    <t>codo 12/ tgre</t>
  </si>
  <si>
    <t>teflon</t>
  </si>
  <si>
    <t>llave de paso 1/2</t>
  </si>
  <si>
    <t>gridfo 1/2 itap</t>
  </si>
  <si>
    <t>bandola</t>
  </si>
  <si>
    <t>mandril</t>
  </si>
  <si>
    <t>doco calido 9w</t>
  </si>
  <si>
    <t xml:space="preserve">chicotilo </t>
  </si>
  <si>
    <t>JUEGOD E CEPTILLO</t>
  </si>
  <si>
    <t>LIMPIADOR DE SOPAPATINA</t>
  </si>
  <si>
    <t>ROD PIE 4</t>
  </si>
  <si>
    <t xml:space="preserve">TERMOMETRO </t>
  </si>
  <si>
    <t xml:space="preserve">LLAVE DE PSO </t>
  </si>
  <si>
    <t>MASA CORRIDA 1L</t>
  </si>
  <si>
    <t>SIKA1</t>
  </si>
  <si>
    <t>SELLADOR DE PARED 1L</t>
  </si>
  <si>
    <t>FRESA</t>
  </si>
  <si>
    <t>CLEFA 100ML</t>
  </si>
  <si>
    <t>2DOS</t>
  </si>
  <si>
    <t>CHIP 4,5 X30</t>
  </si>
  <si>
    <t>GUANTES</t>
  </si>
  <si>
    <t>VOLANDA DE PRECION</t>
  </si>
  <si>
    <t>AEROSOLNEGRO</t>
  </si>
  <si>
    <t>CANDADA HERMEX</t>
  </si>
  <si>
    <t>PICAPORTE2</t>
  </si>
  <si>
    <t>MARTILLO CHATO</t>
  </si>
  <si>
    <t>MARTILLO CHTO</t>
  </si>
  <si>
    <t>BROCHA T</t>
  </si>
  <si>
    <t>BROCHA ATLAS</t>
  </si>
  <si>
    <t>LLAVE PIPA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</si>
</sst>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24.0</v>
      </c>
      <c r="E8" s="8">
        <v>46267.35407162037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27.0</v>
      </c>
      <c r="E9" s="8">
        <v>46267.35414978009</v>
      </c>
      <c r="F9" s="2"/>
      <c r="G9" s="9" t="s">
        <v>9</v>
      </c>
      <c r="H9" s="10">
        <v>97.5</v>
      </c>
      <c r="I9" s="2"/>
      <c r="J9" s="9" t="s">
        <v>10</v>
      </c>
      <c r="K9" s="10">
        <v>561.0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83.0</v>
      </c>
      <c r="E10" s="8">
        <v>46267.37327975694</v>
      </c>
      <c r="F10" s="2"/>
      <c r="G10" s="9" t="s">
        <v>12</v>
      </c>
      <c r="H10" s="10">
        <v>70.0</v>
      </c>
      <c r="I10" s="2"/>
      <c r="J10" s="9" t="s">
        <v>13</v>
      </c>
      <c r="K10" s="11">
        <f>SUM(PRINCIPAL[TOTAL])</f>
        <v>2884.5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40.0</v>
      </c>
      <c r="E11" s="8">
        <v>46267.39808951389</v>
      </c>
      <c r="F11" s="2"/>
      <c r="G11" s="9" t="s">
        <v>15</v>
      </c>
      <c r="H11" s="10">
        <v>2300.0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20.0</v>
      </c>
      <c r="E12" s="8">
        <v>46267.40823206019</v>
      </c>
      <c r="F12" s="2"/>
      <c r="G12" s="9" t="s">
        <v>18</v>
      </c>
      <c r="H12" s="12">
        <f>SUM(G24:H361)</f>
        <v>920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19</v>
      </c>
      <c r="C13" s="7" t="s">
        <v>20</v>
      </c>
      <c r="D13" s="6">
        <v>10.0</v>
      </c>
      <c r="E13" s="8">
        <v>46267.408416817125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14.0</v>
      </c>
      <c r="E14" s="8">
        <v>46267.41007597222</v>
      </c>
      <c r="F14" s="2"/>
      <c r="G14" s="9" t="s">
        <v>23</v>
      </c>
      <c r="H14" s="10">
        <v>28.0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120.0</v>
      </c>
      <c r="E15" s="8">
        <v>46267.41607947917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31.0</v>
      </c>
      <c r="E16" s="8">
        <v>46267.44885151621</v>
      </c>
      <c r="F16" s="2"/>
      <c r="G16" s="15" t="s">
        <v>26</v>
      </c>
      <c r="H16" s="16">
        <f>SUM(H9:H14)</f>
        <v>3415.5</v>
      </c>
      <c r="I16" s="3"/>
      <c r="J16" s="15" t="s">
        <v>27</v>
      </c>
      <c r="K16" s="16">
        <f>SUM(K9:K11)</f>
        <v>3445.5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17.0</v>
      </c>
      <c r="E17" s="8">
        <v>46267.45010094908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4.5</v>
      </c>
      <c r="E18" s="8">
        <v>46267.455125532404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30,00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24.0</v>
      </c>
      <c r="C19" s="7" t="s">
        <v>30</v>
      </c>
      <c r="D19" s="18">
        <v>5.0</v>
      </c>
      <c r="E19" s="8">
        <v>46267.45517743056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12.0</v>
      </c>
      <c r="E20" s="8">
        <v>46267.45727290509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20.0</v>
      </c>
      <c r="E21" s="8">
        <v>46267.457355844905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33</v>
      </c>
      <c r="D22" s="6">
        <v>57.0</v>
      </c>
      <c r="E22" s="8">
        <v>46267.47270182871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16.0</v>
      </c>
      <c r="E23" s="8">
        <v>46267.491795671296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18">
        <v>78.0</v>
      </c>
      <c r="E24" s="8">
        <v>46267.49230747685</v>
      </c>
      <c r="F24" s="2"/>
      <c r="G24" s="23">
        <v>51.0</v>
      </c>
      <c r="H24" s="24"/>
      <c r="I24" s="2"/>
      <c r="J24" s="25" t="s">
        <v>39</v>
      </c>
      <c r="K24" s="26">
        <f>SUM(INGRESOS_YAPE[])</f>
        <v>920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40</v>
      </c>
      <c r="D25" s="6">
        <v>50.0</v>
      </c>
      <c r="E25" s="8">
        <v>46267.50098427084</v>
      </c>
      <c r="F25" s="2"/>
      <c r="G25" s="23">
        <v>31.0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 t="s">
        <v>41</v>
      </c>
      <c r="C26" s="7" t="s">
        <v>42</v>
      </c>
      <c r="D26" s="6">
        <v>54.0</v>
      </c>
      <c r="E26" s="8">
        <v>46267.51587875</v>
      </c>
      <c r="F26" s="2"/>
      <c r="G26" s="27">
        <v>16.0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79.0</v>
      </c>
      <c r="E27" s="8">
        <v>46267.51844693287</v>
      </c>
      <c r="F27" s="2"/>
      <c r="G27" s="23">
        <v>54.0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45</v>
      </c>
      <c r="D28" s="6">
        <v>14.0</v>
      </c>
      <c r="E28" s="8">
        <v>46267.51927042824</v>
      </c>
      <c r="F28" s="2"/>
      <c r="G28" s="23">
        <v>79.0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46</v>
      </c>
      <c r="C29" s="7" t="s">
        <v>47</v>
      </c>
      <c r="D29" s="6">
        <v>128.0</v>
      </c>
      <c r="E29" s="8">
        <v>46267.529172696755</v>
      </c>
      <c r="F29" s="2"/>
      <c r="G29" s="23">
        <v>129.0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920,00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48</v>
      </c>
      <c r="D30" s="6">
        <v>346.0</v>
      </c>
      <c r="E30" s="8">
        <v>46267.546741770835</v>
      </c>
      <c r="F30" s="2"/>
      <c r="G30" s="23">
        <v>9.0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49</v>
      </c>
      <c r="D31" s="6">
        <v>313.0</v>
      </c>
      <c r="E31" s="8">
        <v>46267.54691150463</v>
      </c>
      <c r="F31" s="2"/>
      <c r="G31" s="23">
        <v>39.0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50</v>
      </c>
      <c r="D32" s="6">
        <v>18.0</v>
      </c>
      <c r="E32" s="8">
        <v>46267.546941712964</v>
      </c>
      <c r="F32" s="2"/>
      <c r="G32" s="23">
        <v>40.0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51</v>
      </c>
      <c r="D33" s="6">
        <v>12.0</v>
      </c>
      <c r="E33" s="8">
        <v>46267.54701217593</v>
      </c>
      <c r="F33" s="2"/>
      <c r="G33" s="23">
        <v>83.0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52</v>
      </c>
      <c r="D34" s="6">
        <v>9.0</v>
      </c>
      <c r="E34" s="8">
        <v>46267.547119097224</v>
      </c>
      <c r="F34" s="2"/>
      <c r="G34" s="23">
        <v>31.0</v>
      </c>
      <c r="H34" s="24"/>
      <c r="I34" s="2"/>
      <c r="J34" s="31" t="s">
        <v>53</v>
      </c>
      <c r="K34" s="31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 t="s">
        <v>55</v>
      </c>
      <c r="C35" s="7" t="s">
        <v>56</v>
      </c>
      <c r="D35" s="6">
        <v>90.0</v>
      </c>
      <c r="E35" s="8">
        <v>46267.55963685185</v>
      </c>
      <c r="F35" s="2"/>
      <c r="G35" s="23">
        <v>106.0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57</v>
      </c>
      <c r="D36" s="6">
        <v>4.0</v>
      </c>
      <c r="E36" s="8">
        <v>46267.561412870375</v>
      </c>
      <c r="F36" s="2"/>
      <c r="G36" s="23">
        <v>100.0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3.0</v>
      </c>
      <c r="C37" s="7" t="s">
        <v>58</v>
      </c>
      <c r="D37" s="6">
        <v>9.0</v>
      </c>
      <c r="E37" s="8">
        <v>46267.561515208334</v>
      </c>
      <c r="F37" s="2"/>
      <c r="G37" s="23">
        <v>65.0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59</v>
      </c>
      <c r="D38" s="6">
        <v>70.0</v>
      </c>
      <c r="E38" s="8">
        <v>46267.56183266204</v>
      </c>
      <c r="F38" s="2"/>
      <c r="G38" s="23">
        <v>56.0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60</v>
      </c>
      <c r="D39" s="6">
        <v>98.0</v>
      </c>
      <c r="E39" s="8">
        <v>46267.56191375</v>
      </c>
      <c r="F39" s="2"/>
      <c r="G39" s="23">
        <v>31.0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61</v>
      </c>
      <c r="D40" s="6">
        <v>14.0</v>
      </c>
      <c r="E40" s="8">
        <v>46267.562007395834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62</v>
      </c>
      <c r="D41" s="6">
        <v>9.0</v>
      </c>
      <c r="E41" s="8">
        <v>46267.5860065625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3.0</v>
      </c>
      <c r="C42" s="7" t="s">
        <v>63</v>
      </c>
      <c r="D42" s="6">
        <v>39.0</v>
      </c>
      <c r="E42" s="8">
        <v>46267.58611913194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64</v>
      </c>
      <c r="D43" s="6">
        <v>20.0</v>
      </c>
      <c r="E43" s="8">
        <v>46267.60859211806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65</v>
      </c>
      <c r="D44" s="6">
        <v>40.0</v>
      </c>
      <c r="E44" s="8">
        <v>46267.61882667824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66</v>
      </c>
      <c r="D45" s="6">
        <v>20.0</v>
      </c>
      <c r="E45" s="8">
        <v>46267.618939618056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67</v>
      </c>
      <c r="D46" s="6">
        <v>76.0</v>
      </c>
      <c r="E46" s="8">
        <v>46267.61900748842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68</v>
      </c>
      <c r="D47" s="6">
        <v>112.0</v>
      </c>
      <c r="E47" s="8">
        <v>46267.61907901621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69</v>
      </c>
      <c r="D48" s="6">
        <v>70.0</v>
      </c>
      <c r="E48" s="8">
        <v>46267.61911932871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30.0</v>
      </c>
      <c r="E49" s="8">
        <v>46267.62784266204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71</v>
      </c>
      <c r="D50" s="6">
        <v>27.0</v>
      </c>
      <c r="E50" s="34"/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3.0</v>
      </c>
      <c r="C51" s="7" t="s">
        <v>72</v>
      </c>
      <c r="D51" s="6">
        <v>87.0</v>
      </c>
      <c r="E51" s="8">
        <v>46267.638272337965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73</v>
      </c>
      <c r="D52" s="6">
        <v>89.0</v>
      </c>
      <c r="E52" s="8">
        <v>46267.65485715278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74</v>
      </c>
      <c r="D53" s="6">
        <v>17.0</v>
      </c>
      <c r="E53" s="8">
        <v>46267.65500621528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75</v>
      </c>
      <c r="C54" s="7" t="s">
        <v>76</v>
      </c>
      <c r="D54" s="6">
        <v>5.0</v>
      </c>
      <c r="E54" s="8">
        <v>46267.65523398148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5.0</v>
      </c>
      <c r="C55" s="7" t="s">
        <v>77</v>
      </c>
      <c r="D55" s="6">
        <v>100.0</v>
      </c>
      <c r="E55" s="8">
        <v>46267.66223876158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78</v>
      </c>
      <c r="D56" s="18">
        <v>1.0</v>
      </c>
      <c r="E56" s="8">
        <v>46267.676540370376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79</v>
      </c>
      <c r="D57" s="6">
        <v>20.0</v>
      </c>
      <c r="E57" s="8">
        <v>46267.69183909722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80</v>
      </c>
      <c r="D58" s="6">
        <v>65.0</v>
      </c>
      <c r="E58" s="8">
        <v>46267.69432387732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8.0</v>
      </c>
      <c r="C59" s="7" t="s">
        <v>81</v>
      </c>
      <c r="D59" s="6">
        <v>56.0</v>
      </c>
      <c r="E59" s="8">
        <v>46267.721138356486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82</v>
      </c>
      <c r="D60" s="6">
        <v>28.0</v>
      </c>
      <c r="E60" s="8">
        <v>46267.73903789352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83</v>
      </c>
      <c r="D61" s="6">
        <v>27.0</v>
      </c>
      <c r="E61" s="8">
        <v>46267.73956771991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84</v>
      </c>
      <c r="D62" s="6">
        <v>18.0</v>
      </c>
      <c r="E62" s="8">
        <v>46267.75106917824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13.0</v>
      </c>
      <c r="E63" s="8">
        <v>46267.751149247684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86</v>
      </c>
      <c r="D64" s="6">
        <v>29.0</v>
      </c>
      <c r="E64" s="8">
        <v>46267.762336423606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5"/>
      <c r="D65" s="36"/>
      <c r="E65" s="34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5"/>
      <c r="D66" s="36"/>
      <c r="E66" s="34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5"/>
      <c r="D67" s="36"/>
      <c r="E67" s="34"/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5"/>
      <c r="D68" s="36"/>
      <c r="E68" s="34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5"/>
      <c r="D69" s="36"/>
      <c r="E69" s="34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5"/>
      <c r="D70" s="36"/>
      <c r="E70" s="34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5"/>
      <c r="D71" s="36"/>
      <c r="E71" s="34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5"/>
      <c r="D72" s="36"/>
      <c r="E72" s="34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4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4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4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4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4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4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4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4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4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4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4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4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4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4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4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4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4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4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4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4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4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4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4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4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4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4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4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4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4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4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4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4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4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4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4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4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4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4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4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4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4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4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4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4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4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4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4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4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4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4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4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4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4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4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4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4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4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4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4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4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4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4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4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4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4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4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4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4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4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4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4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4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4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4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4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4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4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4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4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4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4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4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4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4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4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4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4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4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4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4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4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4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4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4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4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4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4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4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4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4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4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4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4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4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4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4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4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4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4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4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4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4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4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4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4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4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4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4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4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4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4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4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4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4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4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4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4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4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4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4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4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4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4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4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4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4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4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4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4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4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4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4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4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4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4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4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4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4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4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4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4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4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4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4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4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4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4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4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4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4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4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4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4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4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4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4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4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4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4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4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4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4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4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4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4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4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4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4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4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4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4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4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4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4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4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4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4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4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4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4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4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4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4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4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4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4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4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4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4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4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4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4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4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4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4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4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4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4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4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4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4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4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4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4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4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4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4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4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4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4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4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4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4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4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4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4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4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4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4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