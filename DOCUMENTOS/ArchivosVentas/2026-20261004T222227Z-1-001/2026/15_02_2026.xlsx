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<sst xmlns="http://schemas.openxmlformats.org/spreadsheetml/2006/main" count="183" uniqueCount="176">
  <si>
    <t>HOJA DE CALCULO FERRETERIA</t>
  </si>
  <si>
    <t>CODIGO</t>
  </si>
  <si>
    <t>CANTIDAD</t>
  </si>
  <si>
    <t>DESCRIPCION</t>
  </si>
  <si>
    <t>TOTAL</t>
  </si>
  <si>
    <t>HORA</t>
  </si>
  <si>
    <t>CUADRAR</t>
  </si>
  <si>
    <t>bolsa redimix</t>
  </si>
  <si>
    <t>rodillo tigre</t>
  </si>
  <si>
    <t>MONEDAS</t>
  </si>
  <si>
    <t>CAJA CHICA</t>
  </si>
  <si>
    <t>placa doble sch toma</t>
  </si>
  <si>
    <t>BILLETES 10-20</t>
  </si>
  <si>
    <t>TOTAL VENTAS DIA</t>
  </si>
  <si>
    <t>mod toma</t>
  </si>
  <si>
    <t>BILLETES 50-100-200</t>
  </si>
  <si>
    <t>AUMENTO DE DINERO</t>
  </si>
  <si>
    <t>rodillo  inca</t>
  </si>
  <si>
    <t>INGRESOS YAPE</t>
  </si>
  <si>
    <t>brocha 21/2</t>
  </si>
  <si>
    <t>INGRESOS TARJETA</t>
  </si>
  <si>
    <t>ramplu ladrillo hueco</t>
  </si>
  <si>
    <t>GASTOS VARIOS</t>
  </si>
  <si>
    <t>masa corrida</t>
  </si>
  <si>
    <t>pigmento negro</t>
  </si>
  <si>
    <t>DINERO GANADO HOY:</t>
  </si>
  <si>
    <t>CANTIDAD DINERO CAJA:</t>
  </si>
  <si>
    <t>m lija 120</t>
  </si>
  <si>
    <t>disoc uyusto</t>
  </si>
  <si>
    <t>sierra motosierra</t>
  </si>
  <si>
    <t>chio 4,5*50</t>
  </si>
  <si>
    <t>ramolli ladrijlo 6</t>
  </si>
  <si>
    <t>broca concreto trupre6</t>
  </si>
  <si>
    <t>m alambre 10</t>
  </si>
  <si>
    <t>YAPE MAMÁ</t>
  </si>
  <si>
    <t>YAPE PAPÁ</t>
  </si>
  <si>
    <t>tirafondo 5/16*31/2</t>
  </si>
  <si>
    <t>mod toma tram</t>
  </si>
  <si>
    <t>placa tramont</t>
  </si>
  <si>
    <t>ducha electria lorzete</t>
  </si>
  <si>
    <t>teflon</t>
  </si>
  <si>
    <t>coplas fg 1/2</t>
  </si>
  <si>
    <t>jalador truper</t>
  </si>
  <si>
    <t>pisport iman</t>
  </si>
  <si>
    <t>hilo corta pasto</t>
  </si>
  <si>
    <t>mod schn c tierr</t>
  </si>
  <si>
    <t>afilador</t>
  </si>
  <si>
    <t>piedra camasa</t>
  </si>
  <si>
    <t>m hilo cortapsto</t>
  </si>
  <si>
    <t>recogedor fruta</t>
  </si>
  <si>
    <t>cadena glvanizada</t>
  </si>
  <si>
    <t>disco jadever</t>
  </si>
  <si>
    <t>disco truper</t>
  </si>
  <si>
    <t>lapis cortador de ceramica</t>
  </si>
  <si>
    <t>grifo 1/2 itap</t>
  </si>
  <si>
    <t>sierra mecnica</t>
  </si>
  <si>
    <t>posilina</t>
  </si>
  <si>
    <t>frota truper</t>
  </si>
  <si>
    <t>cemento cola</t>
  </si>
  <si>
    <t>latex crema</t>
  </si>
  <si>
    <t xml:space="preserve">brocha titan </t>
  </si>
  <si>
    <t xml:space="preserve">picporte uyus </t>
  </si>
  <si>
    <t>bateria bonton lateral</t>
  </si>
  <si>
    <t>m hilo corta pasto</t>
  </si>
  <si>
    <t>cando hermex</t>
  </si>
  <si>
    <t>adapador ultra</t>
  </si>
  <si>
    <t>mirilla truper</t>
  </si>
  <si>
    <t>punta philip</t>
  </si>
  <si>
    <t>taponlacanderao</t>
  </si>
  <si>
    <t>codo hm pvc</t>
  </si>
  <si>
    <t>broca escalonada</t>
  </si>
  <si>
    <t>resistecia lorezete</t>
  </si>
  <si>
    <t>m alamcre 16</t>
  </si>
  <si>
    <t>BROCA CONCRFETO DEBOR</t>
  </si>
  <si>
    <t>M ALUBAND</t>
  </si>
  <si>
    <t>CANDAO HERMEX</t>
  </si>
  <si>
    <t>CAMDADO HRMEX</t>
  </si>
  <si>
    <t>ALARGADOR DE CORRIENT</t>
  </si>
  <si>
    <t>DISCO COPA EWISTER 4</t>
  </si>
  <si>
    <t>DISCO COPA RONCE4</t>
  </si>
  <si>
    <t>ESPATULAS 4</t>
  </si>
  <si>
    <t>RODILLO ANTIGOERO TIGRE</t>
  </si>
  <si>
    <t>M CABLE BIPOLAR 12</t>
  </si>
  <si>
    <t>FLEXO 5 M</t>
  </si>
  <si>
    <t>WINCHA 50 M</t>
  </si>
  <si>
    <t>EINCHA 30 M</t>
  </si>
  <si>
    <t>M PERLON 12 MM</t>
  </si>
  <si>
    <t>CLAVIJA M SOLERA</t>
  </si>
  <si>
    <t>CLAVIJA H SOLERA</t>
  </si>
  <si>
    <t>BORAX</t>
  </si>
  <si>
    <t>VARILLA BRONCE</t>
  </si>
  <si>
    <t>resistencia corona</t>
  </si>
  <si>
    <t>tubo led 40 w</t>
  </si>
  <si>
    <t>silicona akfi chorizo</t>
  </si>
  <si>
    <t>alargado de coriiene</t>
  </si>
  <si>
    <t>disco lija 4</t>
  </si>
  <si>
    <t>alargador 10m</t>
  </si>
  <si>
    <t>5m</t>
  </si>
  <si>
    <t>soga plastica</t>
  </si>
  <si>
    <t>1kl</t>
  </si>
  <si>
    <t>alambre flux</t>
  </si>
  <si>
    <t>broca irwin 6 concreto</t>
  </si>
  <si>
    <t>chip + rampl 6</t>
  </si>
  <si>
    <t>abrazaderae 2 doble oreja</t>
  </si>
  <si>
    <t>jalador boton</t>
  </si>
  <si>
    <t>2doc</t>
  </si>
  <si>
    <t xml:space="preserve">auperforante </t>
  </si>
  <si>
    <t>remache</t>
  </si>
  <si>
    <t>autoperforante 12x2</t>
  </si>
  <si>
    <t>autoperforante 12x1 1/2</t>
  </si>
  <si>
    <t>desarmador rever</t>
  </si>
  <si>
    <t>llave 13</t>
  </si>
  <si>
    <t>llave 15</t>
  </si>
  <si>
    <t>cov ramplu 8</t>
  </si>
  <si>
    <t>doc ramplu 6</t>
  </si>
  <si>
    <t>ramplu 10 + tirafondos</t>
  </si>
  <si>
    <t>aerosol verde hoja</t>
  </si>
  <si>
    <t>pegatanke</t>
  </si>
  <si>
    <t>chip 5 x 40</t>
  </si>
  <si>
    <t>union patente 3/4</t>
  </si>
  <si>
    <t>chapa para mueble lion</t>
  </si>
  <si>
    <t>riel 40cm</t>
  </si>
  <si>
    <t>choclera</t>
  </si>
  <si>
    <t>hilo de pesca</t>
  </si>
  <si>
    <t>ocre</t>
  </si>
  <si>
    <t>10m</t>
  </si>
  <si>
    <t>manguera nivel 5/16</t>
  </si>
  <si>
    <t>lija 360</t>
  </si>
  <si>
    <t>m malla milimetrica 1,2</t>
  </si>
  <si>
    <t>rodillo castor</t>
  </si>
  <si>
    <t>1m</t>
  </si>
  <si>
    <t>lija 120</t>
  </si>
  <si>
    <t>masquin 1</t>
  </si>
  <si>
    <t>carbom</t>
  </si>
  <si>
    <t>resistencia ducha lorenzety</t>
  </si>
  <si>
    <t>linterna</t>
  </si>
  <si>
    <t>soquet</t>
  </si>
  <si>
    <t>tiza</t>
  </si>
  <si>
    <t>clavija</t>
  </si>
  <si>
    <t>pernos</t>
  </si>
  <si>
    <t>rodapie sin</t>
  </si>
  <si>
    <t>rodapie con freno</t>
  </si>
  <si>
    <t>hilo para podar</t>
  </si>
  <si>
    <t>rejilla para lavaplatoa</t>
  </si>
  <si>
    <t>grampa</t>
  </si>
  <si>
    <t>precinto 30cm</t>
  </si>
  <si>
    <t>silicona pu negra</t>
  </si>
  <si>
    <t>m alubans 10</t>
  </si>
  <si>
    <t>chapa hermex</t>
  </si>
  <si>
    <t>tapon auditivo</t>
  </si>
  <si>
    <t>guante azul</t>
  </si>
  <si>
    <t>nivel de mano</t>
  </si>
  <si>
    <t>flexo 5m</t>
  </si>
  <si>
    <t>lentes tr</t>
  </si>
  <si>
    <t>disco norton 9</t>
  </si>
  <si>
    <t>foco 40w</t>
  </si>
  <si>
    <t>miultimetro</t>
  </si>
  <si>
    <t>fresa</t>
  </si>
  <si>
    <t>alambr galanizado</t>
  </si>
  <si>
    <t>atomizador corona</t>
  </si>
  <si>
    <t>embudo</t>
  </si>
  <si>
    <t>calibrador 26 hojas</t>
  </si>
  <si>
    <t>5doc</t>
  </si>
  <si>
    <t>agunte anticorte jade</t>
  </si>
  <si>
    <t>llave de paso duke 3/4</t>
  </si>
  <si>
    <t>siera callejas</t>
  </si>
  <si>
    <t>sierra nicholson</t>
  </si>
  <si>
    <t>candodo hermex</t>
  </si>
  <si>
    <t>resisnecia lorenzete</t>
  </si>
  <si>
    <t xml:space="preserve">chapa </t>
  </si>
  <si>
    <t>punta aguja</t>
  </si>
  <si>
    <t>chip</t>
  </si>
  <si>
    <t xml:space="preserve">clefa </t>
  </si>
  <si>
    <t>cinta aislane</t>
  </si>
  <si>
    <t>rem pop</t>
  </si>
  <si>
    <t>foco calenta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</si>
</sst>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10.0</v>
      </c>
      <c r="C8" s="7" t="s">
        <v>7</v>
      </c>
      <c r="D8" s="6">
        <v>190.0</v>
      </c>
      <c r="E8" s="8">
        <v>46068.411289027776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50.0</v>
      </c>
      <c r="E9" s="8">
        <v>46068.414808807865</v>
      </c>
      <c r="F9" s="2"/>
      <c r="G9" s="9" t="s">
        <v>9</v>
      </c>
      <c r="H9" s="10">
        <v>202.0</v>
      </c>
      <c r="I9" s="2"/>
      <c r="J9" s="9" t="s">
        <v>10</v>
      </c>
      <c r="K9" s="10">
        <v>501.0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17.5</v>
      </c>
      <c r="E10" s="8">
        <v>46068.42600126157</v>
      </c>
      <c r="F10" s="2"/>
      <c r="G10" s="9" t="s">
        <v>12</v>
      </c>
      <c r="H10" s="10">
        <v>200.0</v>
      </c>
      <c r="I10" s="2"/>
      <c r="J10" s="9" t="s">
        <v>13</v>
      </c>
      <c r="K10" s="11">
        <f>SUM(PRINCIPAL[TOTAL])</f>
        <v>8961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22.0</v>
      </c>
      <c r="E11" s="8">
        <v>46068.426640509264</v>
      </c>
      <c r="F11" s="2"/>
      <c r="G11" s="9" t="s">
        <v>15</v>
      </c>
      <c r="H11" s="10">
        <v>4700.0</v>
      </c>
      <c r="I11" s="2"/>
      <c r="J11" s="9" t="s">
        <v>16</v>
      </c>
      <c r="K11" s="10">
        <v>350.0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17.0</v>
      </c>
      <c r="E12" s="8">
        <v>46068.435508379625</v>
      </c>
      <c r="F12" s="2"/>
      <c r="G12" s="9" t="s">
        <v>18</v>
      </c>
      <c r="H12" s="12">
        <f>SUM(G24:H365)</f>
        <v>4812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9.0</v>
      </c>
      <c r="E13" s="8">
        <v>46068.435612546295</v>
      </c>
      <c r="F13" s="2"/>
      <c r="G13" s="9" t="s">
        <v>20</v>
      </c>
      <c r="H13" s="10">
        <v>25.0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12.0</v>
      </c>
      <c r="C14" s="7" t="s">
        <v>21</v>
      </c>
      <c r="D14" s="6">
        <v>8.0</v>
      </c>
      <c r="E14" s="8">
        <v>46068.43596819445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29.0</v>
      </c>
      <c r="E15" s="8">
        <v>46068.43607037037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24.0</v>
      </c>
      <c r="E16" s="8">
        <v>46068.43655814815</v>
      </c>
      <c r="F16" s="2"/>
      <c r="G16" s="15" t="s">
        <v>25</v>
      </c>
      <c r="H16" s="16">
        <f>SUM(H9:H14)</f>
        <v>9939</v>
      </c>
      <c r="I16" s="3"/>
      <c r="J16" s="15" t="s">
        <v>26</v>
      </c>
      <c r="K16" s="16">
        <f>SUM(K9:K11)</f>
        <v>9812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14.0</v>
      </c>
      <c r="E17" s="8">
        <v>46068.43664486111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5.0</v>
      </c>
      <c r="E18" s="8">
        <v>46068.438413090276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127,00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15.0</v>
      </c>
      <c r="E19" s="8">
        <v>46068.438569895836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6.0</v>
      </c>
      <c r="C20" s="7" t="s">
        <v>30</v>
      </c>
      <c r="D20" s="6">
        <v>2.0</v>
      </c>
      <c r="E20" s="8">
        <v>46068.441831805554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6.0</v>
      </c>
      <c r="C21" s="7" t="s">
        <v>31</v>
      </c>
      <c r="D21" s="6">
        <v>2.0</v>
      </c>
      <c r="E21" s="8">
        <v>46068.44192923611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15.0</v>
      </c>
      <c r="E22" s="8">
        <v>46068.44232923611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5.0</v>
      </c>
      <c r="C23" s="7" t="s">
        <v>33</v>
      </c>
      <c r="D23" s="6">
        <v>85.0</v>
      </c>
      <c r="E23" s="8">
        <v>46068.44258418982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12.0</v>
      </c>
      <c r="C24" s="7" t="s">
        <v>36</v>
      </c>
      <c r="D24" s="6">
        <v>18.0</v>
      </c>
      <c r="E24" s="8">
        <v>46068.44663111111</v>
      </c>
      <c r="F24" s="2"/>
      <c r="G24" s="20">
        <v>50.0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37</v>
      </c>
      <c r="D25" s="6">
        <v>33.0</v>
      </c>
      <c r="E25" s="8">
        <v>46068.44763512732</v>
      </c>
      <c r="F25" s="2"/>
      <c r="G25" s="20">
        <v>117.0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38</v>
      </c>
      <c r="D26" s="6">
        <v>30.0</v>
      </c>
      <c r="E26" s="8">
        <v>46068.44842122685</v>
      </c>
      <c r="F26" s="2"/>
      <c r="G26" s="22">
        <v>169.0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140.0</v>
      </c>
      <c r="E27" s="8">
        <v>46068.455733599534</v>
      </c>
      <c r="F27" s="2"/>
      <c r="G27" s="20">
        <v>15.0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3.0</v>
      </c>
      <c r="E28" s="8">
        <v>46068.45580449074</v>
      </c>
      <c r="F28" s="2"/>
      <c r="G28" s="20">
        <v>103.0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41</v>
      </c>
      <c r="D29" s="6">
        <v>26.0</v>
      </c>
      <c r="E29" s="8">
        <v>46068.455877500004</v>
      </c>
      <c r="F29" s="2"/>
      <c r="G29" s="20">
        <v>83.0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19.0</v>
      </c>
      <c r="E30" s="8">
        <v>46068.455938530096</v>
      </c>
      <c r="F30" s="2"/>
      <c r="G30" s="20">
        <v>25.0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43</v>
      </c>
      <c r="D31" s="6">
        <v>15.0</v>
      </c>
      <c r="E31" s="8">
        <v>46068.45600924769</v>
      </c>
      <c r="F31" s="2"/>
      <c r="G31" s="20">
        <v>77.0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14.0</v>
      </c>
      <c r="C32" s="7" t="s">
        <v>44</v>
      </c>
      <c r="D32" s="6">
        <v>16.0</v>
      </c>
      <c r="E32" s="8">
        <v>46068.46398864583</v>
      </c>
      <c r="F32" s="2"/>
      <c r="G32" s="20">
        <v>93.0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19.0</v>
      </c>
      <c r="E33" s="8">
        <v>46068.46876783565</v>
      </c>
      <c r="F33" s="2"/>
      <c r="G33" s="20">
        <v>90.0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6">
        <v>15147.0</v>
      </c>
      <c r="B34" s="6">
        <v>1.0</v>
      </c>
      <c r="C34" s="7" t="s">
        <v>46</v>
      </c>
      <c r="D34" s="6">
        <v>156.0</v>
      </c>
      <c r="E34" s="8">
        <v>46068.47481284723</v>
      </c>
      <c r="F34" s="2"/>
      <c r="G34" s="20">
        <v>55.0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15.0</v>
      </c>
      <c r="E35" s="8">
        <v>46068.475771631944</v>
      </c>
      <c r="F35" s="2"/>
      <c r="G35" s="20">
        <v>90.0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10.0</v>
      </c>
      <c r="C36" s="7" t="s">
        <v>48</v>
      </c>
      <c r="D36" s="6">
        <v>15.0</v>
      </c>
      <c r="E36" s="8">
        <v>46068.476133206015</v>
      </c>
      <c r="F36" s="2"/>
      <c r="G36" s="20">
        <v>2698.0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37.0</v>
      </c>
      <c r="E37" s="8">
        <v>46068.47629391204</v>
      </c>
      <c r="F37" s="2"/>
      <c r="G37" s="20">
        <v>68.0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50</v>
      </c>
      <c r="D38" s="6">
        <v>26.0</v>
      </c>
      <c r="E38" s="8">
        <v>46068.48360107639</v>
      </c>
      <c r="F38" s="2"/>
      <c r="G38" s="20">
        <v>30.0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6">
        <v>17606.0</v>
      </c>
      <c r="B39" s="6">
        <v>1.0</v>
      </c>
      <c r="C39" s="7" t="s">
        <v>44</v>
      </c>
      <c r="D39" s="6">
        <v>19.0</v>
      </c>
      <c r="E39" s="8">
        <v>46068.49133211805</v>
      </c>
      <c r="F39" s="2"/>
      <c r="G39" s="20">
        <v>88.0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51</v>
      </c>
      <c r="D40" s="6">
        <v>48.0</v>
      </c>
      <c r="E40" s="8">
        <v>46068.49689497685</v>
      </c>
      <c r="F40" s="2"/>
      <c r="G40" s="20">
        <v>70.0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52</v>
      </c>
      <c r="D41" s="6">
        <v>100.0</v>
      </c>
      <c r="E41" s="8">
        <v>46068.496968321764</v>
      </c>
      <c r="F41" s="2"/>
      <c r="G41" s="20">
        <v>25.0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53</v>
      </c>
      <c r="D42" s="6">
        <v>38.0</v>
      </c>
      <c r="E42" s="8">
        <v>46068.49710732639</v>
      </c>
      <c r="F42" s="2"/>
      <c r="G42" s="20">
        <v>90.0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54</v>
      </c>
      <c r="D43" s="6">
        <v>86.0</v>
      </c>
      <c r="E43" s="8">
        <v>46068.49786415509</v>
      </c>
      <c r="F43" s="2"/>
      <c r="G43" s="20">
        <v>149.0</v>
      </c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55</v>
      </c>
      <c r="D44" s="6">
        <v>15.0</v>
      </c>
      <c r="E44" s="8">
        <v>46068.49810164352</v>
      </c>
      <c r="F44" s="2"/>
      <c r="G44" s="20">
        <v>29.0</v>
      </c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56</v>
      </c>
      <c r="D45" s="6">
        <v>38.0</v>
      </c>
      <c r="E45" s="8">
        <v>46068.49839105324</v>
      </c>
      <c r="F45" s="2"/>
      <c r="G45" s="20">
        <v>66.0</v>
      </c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57</v>
      </c>
      <c r="D46" s="6">
        <v>86.0</v>
      </c>
      <c r="E46" s="8">
        <v>46068.505417395834</v>
      </c>
      <c r="F46" s="2"/>
      <c r="G46" s="20">
        <v>200.0</v>
      </c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6">
        <v>15428.0</v>
      </c>
      <c r="B47" s="6">
        <v>1.0</v>
      </c>
      <c r="C47" s="7" t="s">
        <v>58</v>
      </c>
      <c r="D47" s="6">
        <v>25.0</v>
      </c>
      <c r="E47" s="8">
        <v>46068.50572666667</v>
      </c>
      <c r="F47" s="2"/>
      <c r="G47" s="20">
        <v>75.0</v>
      </c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59</v>
      </c>
      <c r="D48" s="6">
        <v>77.0</v>
      </c>
      <c r="E48" s="8">
        <v>46068.5179490625</v>
      </c>
      <c r="F48" s="2"/>
      <c r="G48" s="20">
        <v>15.0</v>
      </c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60</v>
      </c>
      <c r="D49" s="6">
        <v>9.0</v>
      </c>
      <c r="E49" s="8">
        <v>46068.518044930555</v>
      </c>
      <c r="F49" s="2"/>
      <c r="G49" s="20">
        <v>140.0</v>
      </c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61</v>
      </c>
      <c r="D50" s="6">
        <v>24.0</v>
      </c>
      <c r="E50" s="8">
        <v>46068.518201087965</v>
      </c>
      <c r="F50" s="2"/>
      <c r="G50" s="20">
        <v>93.0</v>
      </c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62</v>
      </c>
      <c r="D51" s="6">
        <v>178.0</v>
      </c>
      <c r="E51" s="8">
        <v>46068.53993861111</v>
      </c>
      <c r="F51" s="2"/>
      <c r="G51" s="20">
        <v>9.0</v>
      </c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3.0</v>
      </c>
      <c r="C52" s="7" t="s">
        <v>63</v>
      </c>
      <c r="D52" s="6">
        <v>6.0</v>
      </c>
      <c r="E52" s="8">
        <v>46069.35923534722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64</v>
      </c>
      <c r="D53" s="6">
        <v>85.0</v>
      </c>
      <c r="E53" s="8">
        <v>46069.370743368054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65</v>
      </c>
      <c r="D54" s="6">
        <v>8.0</v>
      </c>
      <c r="E54" s="8">
        <v>46069.37081447917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66</v>
      </c>
      <c r="D55" s="6">
        <v>90.0</v>
      </c>
      <c r="E55" s="8">
        <v>46069.40260400463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67</v>
      </c>
      <c r="D56" s="6">
        <v>4.0</v>
      </c>
      <c r="E56" s="8">
        <v>46069.40457900463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68</v>
      </c>
      <c r="D57" s="6">
        <v>6.0</v>
      </c>
      <c r="E57" s="8">
        <v>46069.453312893515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69</v>
      </c>
      <c r="D58" s="6">
        <v>10.0</v>
      </c>
      <c r="E58" s="8">
        <v>46069.45743083333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70</v>
      </c>
      <c r="D59" s="6">
        <v>55.0</v>
      </c>
      <c r="E59" s="8">
        <v>46069.458564409724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3.0</v>
      </c>
      <c r="C60" s="7" t="s">
        <v>71</v>
      </c>
      <c r="D60" s="6">
        <v>54.0</v>
      </c>
      <c r="E60" s="8">
        <v>46069.45942046297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72</v>
      </c>
      <c r="D61" s="6">
        <v>4.5</v>
      </c>
      <c r="E61" s="8">
        <v>46069.459540868054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73</v>
      </c>
      <c r="D62" s="6">
        <v>19.0</v>
      </c>
      <c r="E62" s="8">
        <v>46069.50626863426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3.0</v>
      </c>
      <c r="C63" s="7" t="s">
        <v>74</v>
      </c>
      <c r="D63" s="6">
        <v>60.0</v>
      </c>
      <c r="E63" s="8">
        <v>46069.51495858796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75</v>
      </c>
      <c r="D64" s="6">
        <v>42.0</v>
      </c>
      <c r="E64" s="8">
        <v>46069.51826283565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76</v>
      </c>
      <c r="D65" s="6">
        <v>48.0</v>
      </c>
      <c r="E65" s="8">
        <v>46069.51837082176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77</v>
      </c>
      <c r="D66" s="6">
        <v>68.0</v>
      </c>
      <c r="E66" s="8">
        <v>46069.53827638889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12.0</v>
      </c>
      <c r="C67" s="7" t="s">
        <v>78</v>
      </c>
      <c r="D67" s="6">
        <v>468.0</v>
      </c>
      <c r="E67" s="8">
        <v>46069.53995586805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3.0</v>
      </c>
      <c r="C68" s="7" t="s">
        <v>79</v>
      </c>
      <c r="D68" s="6">
        <v>96.0</v>
      </c>
      <c r="E68" s="8">
        <v>46069.54016866898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5.0</v>
      </c>
      <c r="C69" s="7" t="s">
        <v>80</v>
      </c>
      <c r="D69" s="6">
        <v>105.0</v>
      </c>
      <c r="E69" s="8">
        <v>46069.540358796294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6.0</v>
      </c>
      <c r="C70" s="7" t="s">
        <v>81</v>
      </c>
      <c r="D70" s="6">
        <v>222.0</v>
      </c>
      <c r="E70" s="8">
        <v>46069.54056725695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50.0</v>
      </c>
      <c r="C71" s="7" t="s">
        <v>82</v>
      </c>
      <c r="D71" s="6">
        <v>1230.0</v>
      </c>
      <c r="E71" s="8">
        <v>46069.540746412036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83</v>
      </c>
      <c r="D72" s="6">
        <v>102.0</v>
      </c>
      <c r="E72" s="8">
        <v>46069.54095112269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98.0</v>
      </c>
      <c r="E73" s="8">
        <v>46069.54111726852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85</v>
      </c>
      <c r="D74" s="6">
        <v>42.0</v>
      </c>
      <c r="E74" s="8">
        <v>46069.54119430555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30.0</v>
      </c>
      <c r="C75" s="7" t="s">
        <v>86</v>
      </c>
      <c r="D75" s="6">
        <v>255.0</v>
      </c>
      <c r="E75" s="8">
        <v>46069.54149934028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87</v>
      </c>
      <c r="D76" s="6">
        <v>80.0</v>
      </c>
      <c r="E76" s="8">
        <v>46069.541786076385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88</v>
      </c>
      <c r="D77" s="6">
        <v>40.0</v>
      </c>
      <c r="E77" s="8">
        <v>46069.54196407407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89</v>
      </c>
      <c r="D78" s="6">
        <v>8.0</v>
      </c>
      <c r="E78" s="8">
        <v>46069.546551956024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90</v>
      </c>
      <c r="D79" s="6">
        <v>22.0</v>
      </c>
      <c r="E79" s="8">
        <v>46069.54664050926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91</v>
      </c>
      <c r="D80" s="6">
        <v>24.0</v>
      </c>
      <c r="E80" s="8">
        <v>46069.62182071759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3.0</v>
      </c>
      <c r="C81" s="7" t="s">
        <v>92</v>
      </c>
      <c r="D81" s="6">
        <v>88.0</v>
      </c>
      <c r="E81" s="8">
        <v>46071.34799571759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93</v>
      </c>
      <c r="D82" s="6">
        <v>70.0</v>
      </c>
      <c r="E82" s="8">
        <v>46071.35556414352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94</v>
      </c>
      <c r="D83" s="6">
        <v>25.0</v>
      </c>
      <c r="E83" s="8">
        <v>46071.35566405093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95</v>
      </c>
      <c r="D84" s="6">
        <v>20.0</v>
      </c>
      <c r="E84" s="8">
        <v>46071.361215173616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96</v>
      </c>
      <c r="D85" s="6">
        <v>85.0</v>
      </c>
      <c r="E85" s="8">
        <v>46071.4058525463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 t="s">
        <v>97</v>
      </c>
      <c r="C86" s="7" t="s">
        <v>98</v>
      </c>
      <c r="D86" s="6">
        <v>35.0</v>
      </c>
      <c r="E86" s="8">
        <v>46071.41068369213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 t="s">
        <v>99</v>
      </c>
      <c r="C87" s="7" t="s">
        <v>100</v>
      </c>
      <c r="D87" s="6">
        <v>135.0</v>
      </c>
      <c r="E87" s="8">
        <v>46071.41140762731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101</v>
      </c>
      <c r="D88" s="6">
        <v>22.0</v>
      </c>
      <c r="E88" s="8">
        <v>46071.411608124996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6.0</v>
      </c>
      <c r="C89" s="7" t="s">
        <v>102</v>
      </c>
      <c r="D89" s="6">
        <v>2.0</v>
      </c>
      <c r="E89" s="8">
        <v>46071.41303743055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2.0</v>
      </c>
      <c r="C90" s="7" t="s">
        <v>103</v>
      </c>
      <c r="D90" s="6">
        <v>9.0</v>
      </c>
      <c r="E90" s="8">
        <v>46071.41320236112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7.0</v>
      </c>
      <c r="C91" s="7" t="s">
        <v>104</v>
      </c>
      <c r="D91" s="6">
        <v>105.0</v>
      </c>
      <c r="E91" s="8">
        <v>46071.42099427083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 t="s">
        <v>105</v>
      </c>
      <c r="C92" s="7" t="s">
        <v>106</v>
      </c>
      <c r="D92" s="6">
        <v>6.0</v>
      </c>
      <c r="E92" s="8">
        <v>46071.42111435185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 t="s">
        <v>105</v>
      </c>
      <c r="C93" s="7" t="s">
        <v>107</v>
      </c>
      <c r="D93" s="6">
        <v>5.0</v>
      </c>
      <c r="E93" s="8">
        <v>46071.421271493055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6.0</v>
      </c>
      <c r="C94" s="7" t="s">
        <v>108</v>
      </c>
      <c r="D94" s="6">
        <v>4.5</v>
      </c>
      <c r="E94" s="8">
        <v>46071.42312924768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6.0</v>
      </c>
      <c r="C95" s="7" t="s">
        <v>109</v>
      </c>
      <c r="D95" s="6">
        <v>4.0</v>
      </c>
      <c r="E95" s="8">
        <v>46071.423277256945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110</v>
      </c>
      <c r="D96" s="6">
        <v>17.0</v>
      </c>
      <c r="E96" s="8">
        <v>46071.430027442126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111</v>
      </c>
      <c r="D97" s="6">
        <v>22.0</v>
      </c>
      <c r="E97" s="8">
        <v>46071.43076028935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112</v>
      </c>
      <c r="D98" s="6">
        <v>25.0</v>
      </c>
      <c r="E98" s="8">
        <v>46071.43086168982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113</v>
      </c>
      <c r="D99" s="6">
        <v>3.0</v>
      </c>
      <c r="E99" s="8">
        <v>46071.43102261574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114</v>
      </c>
      <c r="D100" s="6">
        <v>1.0</v>
      </c>
      <c r="E100" s="8">
        <v>46071.43116674769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12.0</v>
      </c>
      <c r="C101" s="7" t="s">
        <v>115</v>
      </c>
      <c r="D101" s="6">
        <v>14.0</v>
      </c>
      <c r="E101" s="8">
        <v>46071.43137878472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116</v>
      </c>
      <c r="D102" s="6">
        <v>20.0</v>
      </c>
      <c r="E102" s="8">
        <v>46071.43151041667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117</v>
      </c>
      <c r="D103" s="6">
        <v>90.0</v>
      </c>
      <c r="E103" s="8">
        <v>46071.431892974535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50.0</v>
      </c>
      <c r="C104" s="7" t="s">
        <v>118</v>
      </c>
      <c r="D104" s="6">
        <v>15.5</v>
      </c>
      <c r="E104" s="8">
        <v>46071.43842721065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2.0</v>
      </c>
      <c r="C105" s="7" t="s">
        <v>119</v>
      </c>
      <c r="D105" s="6">
        <v>27.0</v>
      </c>
      <c r="E105" s="8">
        <v>46071.43855909722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3.0</v>
      </c>
      <c r="C106" s="7" t="s">
        <v>120</v>
      </c>
      <c r="D106" s="6">
        <v>36.0</v>
      </c>
      <c r="E106" s="8">
        <v>46071.73883722222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121</v>
      </c>
      <c r="D107" s="6">
        <v>35.0</v>
      </c>
      <c r="E107" s="8">
        <v>46071.44519658565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122</v>
      </c>
      <c r="D108" s="6">
        <v>31.0</v>
      </c>
      <c r="E108" s="8">
        <v>46071.447734421294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123</v>
      </c>
      <c r="D109" s="6">
        <v>28.0</v>
      </c>
      <c r="E109" s="8">
        <v>46071.44788577546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124</v>
      </c>
      <c r="D110" s="6">
        <v>5.0</v>
      </c>
      <c r="E110" s="8">
        <v>46071.44792902778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 t="s">
        <v>125</v>
      </c>
      <c r="C111" s="7" t="s">
        <v>126</v>
      </c>
      <c r="D111" s="6">
        <v>55.0</v>
      </c>
      <c r="E111" s="8">
        <v>46071.44810216435</v>
      </c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6.0</v>
      </c>
      <c r="C112" s="7" t="s">
        <v>127</v>
      </c>
      <c r="D112" s="6">
        <v>30.0</v>
      </c>
      <c r="E112" s="8">
        <v>46071.45172561343</v>
      </c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23">
        <v>46143.0</v>
      </c>
      <c r="C113" s="7" t="s">
        <v>128</v>
      </c>
      <c r="D113" s="6">
        <v>45.0</v>
      </c>
      <c r="E113" s="8">
        <v>46071.46649386574</v>
      </c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24</v>
      </c>
      <c r="D114" s="6">
        <v>12.0</v>
      </c>
      <c r="E114" s="8">
        <v>46071.470881851856</v>
      </c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1.0</v>
      </c>
      <c r="C115" s="7" t="s">
        <v>129</v>
      </c>
      <c r="D115" s="6">
        <v>17.0</v>
      </c>
      <c r="E115" s="8">
        <v>46071.47099393519</v>
      </c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 t="s">
        <v>130</v>
      </c>
      <c r="C116" s="7" t="s">
        <v>131</v>
      </c>
      <c r="D116" s="6">
        <v>14.0</v>
      </c>
      <c r="E116" s="8">
        <v>46071.471113680556</v>
      </c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1.0</v>
      </c>
      <c r="C117" s="7" t="s">
        <v>132</v>
      </c>
      <c r="D117" s="6">
        <v>16.5</v>
      </c>
      <c r="E117" s="8">
        <v>46071.47116868055</v>
      </c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1.0</v>
      </c>
      <c r="C118" s="7" t="s">
        <v>133</v>
      </c>
      <c r="D118" s="6">
        <v>25.0</v>
      </c>
      <c r="E118" s="8">
        <v>46071.472238993054</v>
      </c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23</v>
      </c>
      <c r="D119" s="6">
        <v>29.0</v>
      </c>
      <c r="E119" s="8">
        <v>46071.485674675925</v>
      </c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1.0</v>
      </c>
      <c r="C120" s="7" t="s">
        <v>134</v>
      </c>
      <c r="D120" s="6">
        <v>25.0</v>
      </c>
      <c r="E120" s="8">
        <v>46071.49870460648</v>
      </c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1.0</v>
      </c>
      <c r="C121" s="7" t="s">
        <v>135</v>
      </c>
      <c r="D121" s="6">
        <v>219.0</v>
      </c>
      <c r="E121" s="8">
        <v>46071.52463103009</v>
      </c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6">
        <v>1.0</v>
      </c>
      <c r="C122" s="7" t="s">
        <v>136</v>
      </c>
      <c r="D122" s="6">
        <v>5.0</v>
      </c>
      <c r="E122" s="8">
        <v>46071.53324253472</v>
      </c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6">
        <v>1.0</v>
      </c>
      <c r="C123" s="7" t="s">
        <v>137</v>
      </c>
      <c r="D123" s="6">
        <v>8.0</v>
      </c>
      <c r="E123" s="8">
        <v>46071.53330846065</v>
      </c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6">
        <v>1.0</v>
      </c>
      <c r="C124" s="7" t="s">
        <v>138</v>
      </c>
      <c r="D124" s="6">
        <v>8.0</v>
      </c>
      <c r="E124" s="8">
        <v>46071.5334462037</v>
      </c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6">
        <v>2.0</v>
      </c>
      <c r="C125" s="7" t="s">
        <v>139</v>
      </c>
      <c r="D125" s="6">
        <v>2.0</v>
      </c>
      <c r="E125" s="8">
        <v>46071.54543675926</v>
      </c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6">
        <v>2.0</v>
      </c>
      <c r="C126" s="7" t="s">
        <v>140</v>
      </c>
      <c r="D126" s="6">
        <v>68.0</v>
      </c>
      <c r="E126" s="8">
        <v>46071.56972388889</v>
      </c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6">
        <v>2.0</v>
      </c>
      <c r="C127" s="7" t="s">
        <v>141</v>
      </c>
      <c r="D127" s="6">
        <v>86.0</v>
      </c>
      <c r="E127" s="8">
        <v>46071.56198459491</v>
      </c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6">
        <v>1.0</v>
      </c>
      <c r="C128" s="7" t="s">
        <v>142</v>
      </c>
      <c r="D128" s="6">
        <v>19.0</v>
      </c>
      <c r="E128" s="8">
        <v>46071.56982693287</v>
      </c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6">
        <v>2.0</v>
      </c>
      <c r="C129" s="7" t="s">
        <v>143</v>
      </c>
      <c r="D129" s="6">
        <v>24.0</v>
      </c>
      <c r="E129" s="8">
        <v>46071.57877763889</v>
      </c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6">
        <v>1.0</v>
      </c>
      <c r="C130" s="7" t="s">
        <v>144</v>
      </c>
      <c r="D130" s="6">
        <v>10.0</v>
      </c>
      <c r="E130" s="8">
        <v>46071.59264553241</v>
      </c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6">
        <v>1.0</v>
      </c>
      <c r="C131" s="7" t="s">
        <v>64</v>
      </c>
      <c r="D131" s="6">
        <v>83.0</v>
      </c>
      <c r="E131" s="8">
        <v>46071.59488505787</v>
      </c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6">
        <v>3.0</v>
      </c>
      <c r="C132" s="7" t="s">
        <v>145</v>
      </c>
      <c r="D132" s="6">
        <v>135.0</v>
      </c>
      <c r="E132" s="8">
        <v>46071.6011693287</v>
      </c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6">
        <v>1.0</v>
      </c>
      <c r="C133" s="7" t="s">
        <v>146</v>
      </c>
      <c r="D133" s="6">
        <v>66.0</v>
      </c>
      <c r="E133" s="8">
        <v>46071.60370788194</v>
      </c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6">
        <v>2.0</v>
      </c>
      <c r="C134" s="7" t="s">
        <v>147</v>
      </c>
      <c r="D134" s="6">
        <v>26.0</v>
      </c>
      <c r="E134" s="8">
        <v>46071.61393173611</v>
      </c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6">
        <v>1.0</v>
      </c>
      <c r="C135" s="7" t="s">
        <v>148</v>
      </c>
      <c r="D135" s="6">
        <v>174.0</v>
      </c>
      <c r="E135" s="8">
        <v>46071.61402483797</v>
      </c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6">
        <v>5.0</v>
      </c>
      <c r="C136" s="7" t="s">
        <v>149</v>
      </c>
      <c r="D136" s="6">
        <v>45.0</v>
      </c>
      <c r="E136" s="8">
        <v>46071.63032398148</v>
      </c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6">
        <v>3.0</v>
      </c>
      <c r="C137" s="7" t="s">
        <v>150</v>
      </c>
      <c r="D137" s="6">
        <v>65.0</v>
      </c>
      <c r="E137" s="8">
        <v>46071.63048530092</v>
      </c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6">
        <v>2.0</v>
      </c>
      <c r="C138" s="7" t="s">
        <v>151</v>
      </c>
      <c r="D138" s="6">
        <v>66.0</v>
      </c>
      <c r="E138" s="8">
        <v>46071.630848472225</v>
      </c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6">
        <v>2.0</v>
      </c>
      <c r="C139" s="7" t="s">
        <v>152</v>
      </c>
      <c r="D139" s="6">
        <v>50.0</v>
      </c>
      <c r="E139" s="8">
        <v>46071.63094387732</v>
      </c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6">
        <v>5.0</v>
      </c>
      <c r="C140" s="7" t="s">
        <v>153</v>
      </c>
      <c r="D140" s="6">
        <v>95.0</v>
      </c>
      <c r="E140" s="8">
        <v>46071.63101515046</v>
      </c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6">
        <v>1.0</v>
      </c>
      <c r="C141" s="7" t="s">
        <v>154</v>
      </c>
      <c r="D141" s="6">
        <v>65.0</v>
      </c>
      <c r="E141" s="8">
        <v>46071.63122456019</v>
      </c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6">
        <v>2.0</v>
      </c>
      <c r="C142" s="7" t="s">
        <v>155</v>
      </c>
      <c r="D142" s="6">
        <v>106.0</v>
      </c>
      <c r="E142" s="8">
        <v>46071.64769283565</v>
      </c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6">
        <v>1.0</v>
      </c>
      <c r="C143" s="7" t="s">
        <v>156</v>
      </c>
      <c r="D143" s="6">
        <v>222.0</v>
      </c>
      <c r="E143" s="8">
        <v>46071.66042972222</v>
      </c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6">
        <v>1.0</v>
      </c>
      <c r="C144" s="7" t="s">
        <v>157</v>
      </c>
      <c r="D144" s="6">
        <v>99.0</v>
      </c>
      <c r="E144" s="8">
        <v>46071.66052232639</v>
      </c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6">
        <v>0.5</v>
      </c>
      <c r="C145" s="7" t="s">
        <v>158</v>
      </c>
      <c r="D145" s="6">
        <v>20.0</v>
      </c>
      <c r="E145" s="8">
        <v>46071.673161388884</v>
      </c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6">
        <v>2.0</v>
      </c>
      <c r="C146" s="7" t="s">
        <v>159</v>
      </c>
      <c r="D146" s="6">
        <v>56.0</v>
      </c>
      <c r="E146" s="8">
        <v>46071.67378833333</v>
      </c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6">
        <v>1.0</v>
      </c>
      <c r="C147" s="7" t="s">
        <v>160</v>
      </c>
      <c r="D147" s="6">
        <v>19.0</v>
      </c>
      <c r="E147" s="8">
        <v>46071.67396341435</v>
      </c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6">
        <v>1.0</v>
      </c>
      <c r="C148" s="7" t="s">
        <v>161</v>
      </c>
      <c r="D148" s="6">
        <v>50.0</v>
      </c>
      <c r="E148" s="8">
        <v>46071.67408592593</v>
      </c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6" t="s">
        <v>162</v>
      </c>
      <c r="C149" s="7" t="s">
        <v>36</v>
      </c>
      <c r="D149" s="6">
        <v>30.0</v>
      </c>
      <c r="E149" s="8">
        <v>46071.682006863426</v>
      </c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6">
        <v>1.0</v>
      </c>
      <c r="C150" s="7" t="s">
        <v>163</v>
      </c>
      <c r="D150" s="6">
        <v>32.0</v>
      </c>
      <c r="E150" s="8">
        <v>46071.68210092593</v>
      </c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6">
        <v>1.0</v>
      </c>
      <c r="C151" s="7" t="s">
        <v>164</v>
      </c>
      <c r="D151" s="6">
        <v>32.0</v>
      </c>
      <c r="E151" s="8">
        <v>46071.68231689815</v>
      </c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6">
        <v>1.0</v>
      </c>
      <c r="C152" s="7" t="s">
        <v>165</v>
      </c>
      <c r="D152" s="6">
        <v>68.0</v>
      </c>
      <c r="E152" s="8">
        <v>46071.702454108796</v>
      </c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6">
        <v>1.0</v>
      </c>
      <c r="C153" s="7" t="s">
        <v>166</v>
      </c>
      <c r="D153" s="6">
        <v>15.0</v>
      </c>
      <c r="E153" s="8">
        <v>46071.70260341435</v>
      </c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6">
        <v>2.0</v>
      </c>
      <c r="C154" s="7" t="s">
        <v>64</v>
      </c>
      <c r="D154" s="6">
        <v>140.0</v>
      </c>
      <c r="E154" s="8">
        <v>46071.71333601852</v>
      </c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6">
        <v>1.0</v>
      </c>
      <c r="C155" s="7" t="s">
        <v>167</v>
      </c>
      <c r="D155" s="6">
        <v>80.0</v>
      </c>
      <c r="E155" s="8">
        <v>46071.71345616898</v>
      </c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6">
        <v>1.0</v>
      </c>
      <c r="C156" s="7" t="s">
        <v>168</v>
      </c>
      <c r="D156" s="6">
        <v>25.0</v>
      </c>
      <c r="E156" s="8">
        <v>46071.71570634259</v>
      </c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6">
        <v>1.0</v>
      </c>
      <c r="C157" s="7" t="s">
        <v>169</v>
      </c>
      <c r="D157" s="6">
        <v>93.0</v>
      </c>
      <c r="E157" s="8">
        <v>46071.71737560185</v>
      </c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6">
        <v>12.0</v>
      </c>
      <c r="C158" s="7" t="s">
        <v>170</v>
      </c>
      <c r="D158" s="6">
        <v>2.5</v>
      </c>
      <c r="E158" s="8">
        <v>46071.7203455787</v>
      </c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6">
        <v>6.0</v>
      </c>
      <c r="C159" s="7" t="s">
        <v>171</v>
      </c>
      <c r="D159" s="6">
        <v>1.0</v>
      </c>
      <c r="E159" s="8">
        <v>46071.72041844907</v>
      </c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6">
        <v>1.0</v>
      </c>
      <c r="C160" s="7" t="s">
        <v>172</v>
      </c>
      <c r="D160" s="6">
        <v>80.0</v>
      </c>
      <c r="E160" s="8">
        <v>46071.73786302083</v>
      </c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6">
        <v>1.0</v>
      </c>
      <c r="C161" s="7" t="s">
        <v>173</v>
      </c>
      <c r="D161" s="6">
        <v>9.0</v>
      </c>
      <c r="E161" s="8">
        <v>46071.749256828705</v>
      </c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6">
        <v>36.0</v>
      </c>
      <c r="C162" s="7" t="s">
        <v>174</v>
      </c>
      <c r="D162" s="6">
        <v>10.0</v>
      </c>
      <c r="E162" s="8">
        <v>46071.76060400463</v>
      </c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6">
        <v>1.0</v>
      </c>
      <c r="C163" s="7" t="s">
        <v>175</v>
      </c>
      <c r="D163" s="6">
        <v>32.0</v>
      </c>
      <c r="E163" s="8">
        <v>46071.776548587964</v>
      </c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6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6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6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6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6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6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6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6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6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6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6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6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6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6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6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6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6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6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6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6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6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6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6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6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6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6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6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6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6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6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6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6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6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6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6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6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6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6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6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6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6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6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6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6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6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6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6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6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6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6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6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6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6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6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6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6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6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6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6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6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6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6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6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6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6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6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6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6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6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6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6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6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6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6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6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6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6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6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6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6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6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6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6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6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6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6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6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6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6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6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6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6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6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6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6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6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6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6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6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6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6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6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6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6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6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6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6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6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6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6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6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6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6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6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6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6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6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6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6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6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6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6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6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6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6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6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6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6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6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6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6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6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6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6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6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6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6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6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