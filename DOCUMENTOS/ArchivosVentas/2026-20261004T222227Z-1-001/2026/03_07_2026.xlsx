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<sst xmlns="http://schemas.openxmlformats.org/spreadsheetml/2006/main" count="117" uniqueCount="116">
  <si>
    <t>HOJA DE CALCULO FERRETERIA</t>
  </si>
  <si>
    <t>CODIGO</t>
  </si>
  <si>
    <t>CANTIDAD</t>
  </si>
  <si>
    <t>DESCRIPCION</t>
  </si>
  <si>
    <t>TOTAL</t>
  </si>
  <si>
    <t>HORA</t>
  </si>
  <si>
    <t>CUADRAR</t>
  </si>
  <si>
    <t>autoper 12 x 2</t>
  </si>
  <si>
    <t>auto 12 x 11/2</t>
  </si>
  <si>
    <t>MONEDAS</t>
  </si>
  <si>
    <t>CAJA CHICA</t>
  </si>
  <si>
    <t>fresa</t>
  </si>
  <si>
    <t>BILLETES 10-20</t>
  </si>
  <si>
    <t>TOTAL VENTAS DIA</t>
  </si>
  <si>
    <t>lima tr</t>
  </si>
  <si>
    <t>BILLETES 50-100-200</t>
  </si>
  <si>
    <t>AUMENTO DE DINERO</t>
  </si>
  <si>
    <t>utoperdor</t>
  </si>
  <si>
    <t>INGRESOS YAPE</t>
  </si>
  <si>
    <t xml:space="preserve">pastinas </t>
  </si>
  <si>
    <t>INGRESOS TARJETA</t>
  </si>
  <si>
    <t>kl  alambre de amarre</t>
  </si>
  <si>
    <t>GASTOS VARIOS</t>
  </si>
  <si>
    <t>llavero</t>
  </si>
  <si>
    <t>flaper</t>
  </si>
  <si>
    <t>DINERO GANADO HOY:</t>
  </si>
  <si>
    <t>CANTIDAD DINERO CAJA:</t>
  </si>
  <si>
    <t>poxipol metalico</t>
  </si>
  <si>
    <t>broca tolsen cobalto</t>
  </si>
  <si>
    <t>m aluban 10</t>
  </si>
  <si>
    <t>m aluban 15</t>
  </si>
  <si>
    <t>yeso</t>
  </si>
  <si>
    <t>valvula retentcion horizontal 1/2</t>
  </si>
  <si>
    <t>valvula retetncia vertical 1/2</t>
  </si>
  <si>
    <t>YAPE MAMÁ</t>
  </si>
  <si>
    <t>YAPE PAPÁ</t>
  </si>
  <si>
    <t>YAPE</t>
  </si>
  <si>
    <t>prensa c 5</t>
  </si>
  <si>
    <t>Monto Total YAPE (No tocar):</t>
  </si>
  <si>
    <t>aerosol rojo</t>
  </si>
  <si>
    <t>pegameto pvc</t>
  </si>
  <si>
    <t>Monto Total Registrado en aplicacion</t>
  </si>
  <si>
    <t>guante ferrawy</t>
  </si>
  <si>
    <t>clefa 220</t>
  </si>
  <si>
    <t>termico 32</t>
  </si>
  <si>
    <t>termico 25</t>
  </si>
  <si>
    <t>caja ternico</t>
  </si>
  <si>
    <t>par bisagra torneada 1/2</t>
  </si>
  <si>
    <t>per maq pla</t>
  </si>
  <si>
    <t>valvula retencion 1</t>
  </si>
  <si>
    <t>PAGOS YAPE</t>
  </si>
  <si>
    <t>DESCRIPCION PAGO</t>
  </si>
  <si>
    <t>removedor pintu</t>
  </si>
  <si>
    <t>brocha 11/2</t>
  </si>
  <si>
    <t xml:space="preserve">broca  </t>
  </si>
  <si>
    <t>autoperforante 12 x 11/2</t>
  </si>
  <si>
    <t>cinta</t>
  </si>
  <si>
    <t>3.5doc</t>
  </si>
  <si>
    <t>chip 5x60</t>
  </si>
  <si>
    <t>2doc</t>
  </si>
  <si>
    <t>chip 5 x50</t>
  </si>
  <si>
    <t>6doc</t>
  </si>
  <si>
    <t>chp 3.5x30</t>
  </si>
  <si>
    <t>4doc</t>
  </si>
  <si>
    <t>chip 3.5x35</t>
  </si>
  <si>
    <t xml:space="preserve">4doc </t>
  </si>
  <si>
    <t>chip 4 x 16</t>
  </si>
  <si>
    <t>cinta 100m</t>
  </si>
  <si>
    <t>gotita glu</t>
  </si>
  <si>
    <t>pastina crema</t>
  </si>
  <si>
    <t>10m</t>
  </si>
  <si>
    <t>bipolar 20</t>
  </si>
  <si>
    <t>silicona trans</t>
  </si>
  <si>
    <t xml:space="preserve">aerosol crema </t>
  </si>
  <si>
    <t>aerosol bordeaux</t>
  </si>
  <si>
    <t>chip 3.5x50</t>
  </si>
  <si>
    <t>ramplu 5</t>
  </si>
  <si>
    <t>broca concreto 5</t>
  </si>
  <si>
    <t>broca madera 5</t>
  </si>
  <si>
    <t>abrazadera 2ore</t>
  </si>
  <si>
    <t>1,5m</t>
  </si>
  <si>
    <t>caneria 1/2</t>
  </si>
  <si>
    <t>codo 1/2 pvc</t>
  </si>
  <si>
    <t>tapon 1/23 pvc</t>
  </si>
  <si>
    <t xml:space="preserve">bateria atlas  boton </t>
  </si>
  <si>
    <t>alicate c cadena</t>
  </si>
  <si>
    <t xml:space="preserve">kl clavo </t>
  </si>
  <si>
    <t>guantes asatex</t>
  </si>
  <si>
    <t>disco panadino</t>
  </si>
  <si>
    <t>clefa 100</t>
  </si>
  <si>
    <t>MASCAS RESPIRADORA</t>
  </si>
  <si>
    <t xml:space="preserve">FILTRO </t>
  </si>
  <si>
    <t>GUANTE ASTESX</t>
  </si>
  <si>
    <t xml:space="preserve">CUBRE CABLE </t>
  </si>
  <si>
    <t>CARBON 51</t>
  </si>
  <si>
    <t>JUEGO DE PUNTAS</t>
  </si>
  <si>
    <t>JUEGO DE DADOS</t>
  </si>
  <si>
    <t>CITNA ANTIDESLIZTD</t>
  </si>
  <si>
    <t>LATEX 3,5</t>
  </si>
  <si>
    <t>LATEX L</t>
  </si>
  <si>
    <t>BROCHA 2</t>
  </si>
  <si>
    <t>SOQUET</t>
  </si>
  <si>
    <t>NIPLE 1/2</t>
  </si>
  <si>
    <t>COPLS 1/2</t>
  </si>
  <si>
    <t>UNON PANTETE</t>
  </si>
  <si>
    <t>TEE 1/2</t>
  </si>
  <si>
    <t>CODO 1/2 PVC</t>
  </si>
  <si>
    <t>CAERIA 1/2</t>
  </si>
  <si>
    <t>TUBO DESGUE 11/2</t>
  </si>
  <si>
    <t>CODO 11/2</t>
  </si>
  <si>
    <t>TEE 2</t>
  </si>
  <si>
    <t xml:space="preserve">REDUCCION </t>
  </si>
  <si>
    <t>PARABON</t>
  </si>
  <si>
    <t>LLAVE DE PSO 1/2</t>
  </si>
  <si>
    <t>TEFLON</t>
  </si>
  <si>
    <t>ADAPTADORES 1/2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</si>
</sst>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theme="8"/>
        <bgColor theme="8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8" fontId="5" numFmtId="0" xfId="0" applyAlignment="1" applyBorder="1" applyFill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24.0</v>
      </c>
      <c r="C8" s="7" t="s">
        <v>7</v>
      </c>
      <c r="D8" s="6">
        <v>9.0</v>
      </c>
      <c r="E8" s="8">
        <v>46206.357448738425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24.0</v>
      </c>
      <c r="C9" s="7" t="s">
        <v>8</v>
      </c>
      <c r="D9" s="6">
        <v>16.0</v>
      </c>
      <c r="E9" s="8">
        <v>46206.35753616898</v>
      </c>
      <c r="F9" s="2"/>
      <c r="G9" s="9" t="s">
        <v>9</v>
      </c>
      <c r="H9" s="10">
        <v>88.0</v>
      </c>
      <c r="I9" s="2"/>
      <c r="J9" s="9" t="s">
        <v>10</v>
      </c>
      <c r="K9" s="10">
        <v>567.5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49.0</v>
      </c>
      <c r="E10" s="8">
        <v>46206.359060428236</v>
      </c>
      <c r="F10" s="2"/>
      <c r="G10" s="9" t="s">
        <v>12</v>
      </c>
      <c r="H10" s="10">
        <v>300.0</v>
      </c>
      <c r="I10" s="2"/>
      <c r="J10" s="9" t="s">
        <v>13</v>
      </c>
      <c r="K10" s="11">
        <f>SUM(PRINCIPAL[TOTAL])</f>
        <v>3653.2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32.0</v>
      </c>
      <c r="E11" s="8">
        <v>46206.37466421296</v>
      </c>
      <c r="F11" s="2"/>
      <c r="G11" s="9" t="s">
        <v>15</v>
      </c>
      <c r="H11" s="10">
        <v>2500.0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12.0</v>
      </c>
      <c r="C12" s="7" t="s">
        <v>17</v>
      </c>
      <c r="D12" s="6">
        <v>8.0</v>
      </c>
      <c r="E12" s="8">
        <v>46206.3930992824</v>
      </c>
      <c r="F12" s="2"/>
      <c r="G12" s="9" t="s">
        <v>18</v>
      </c>
      <c r="H12" s="12">
        <f>SUM(G24:H361)</f>
        <v>967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2.0</v>
      </c>
      <c r="C13" s="7" t="s">
        <v>19</v>
      </c>
      <c r="D13" s="6">
        <v>46.0</v>
      </c>
      <c r="E13" s="8">
        <v>46206.42227996528</v>
      </c>
      <c r="F13" s="2"/>
      <c r="G13" s="9" t="s">
        <v>20</v>
      </c>
      <c r="H13" s="10">
        <v>365.0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7.0</v>
      </c>
      <c r="C14" s="7" t="s">
        <v>21</v>
      </c>
      <c r="D14" s="6">
        <v>133.0</v>
      </c>
      <c r="E14" s="8">
        <v>46206.39953306713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15.0</v>
      </c>
      <c r="E15" s="8">
        <v>46206.39997423611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19.0</v>
      </c>
      <c r="E16" s="8">
        <v>46206.40318065972</v>
      </c>
      <c r="F16" s="2"/>
      <c r="G16" s="15" t="s">
        <v>25</v>
      </c>
      <c r="H16" s="16">
        <f>SUM(H9:H14)</f>
        <v>4220</v>
      </c>
      <c r="I16" s="3"/>
      <c r="J16" s="15" t="s">
        <v>26</v>
      </c>
      <c r="K16" s="16">
        <f>SUM(K9:K11)</f>
        <v>4220.7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36.0</v>
      </c>
      <c r="E17" s="8">
        <v>46206.40327917824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28</v>
      </c>
      <c r="D18" s="6">
        <v>30.0</v>
      </c>
      <c r="E18" s="8">
        <v>46206.41310319444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0,70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29</v>
      </c>
      <c r="D19" s="6">
        <v>26.0</v>
      </c>
      <c r="E19" s="8">
        <v>46206.42247780092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30</v>
      </c>
      <c r="D20" s="6">
        <v>40.0</v>
      </c>
      <c r="E20" s="8">
        <v>46206.42254791666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16.0</v>
      </c>
      <c r="E21" s="8">
        <v>46206.42321511574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52.0</v>
      </c>
      <c r="E22" s="8">
        <v>46206.423357719905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73.0</v>
      </c>
      <c r="E23" s="8">
        <v>46206.42345731481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22">
        <v>84.0</v>
      </c>
      <c r="E24" s="8">
        <v>46206.42801938657</v>
      </c>
      <c r="F24" s="2"/>
      <c r="G24" s="23">
        <v>49.0</v>
      </c>
      <c r="H24" s="24"/>
      <c r="I24" s="2"/>
      <c r="J24" s="25" t="s">
        <v>38</v>
      </c>
      <c r="K24" s="26">
        <f>SUM(INGRESOS_YAPE[])</f>
        <v>967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39</v>
      </c>
      <c r="D25" s="6">
        <v>20.0</v>
      </c>
      <c r="E25" s="8">
        <v>46206.433310567125</v>
      </c>
      <c r="F25" s="2"/>
      <c r="G25" s="23">
        <v>125.0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40</v>
      </c>
      <c r="D26" s="6">
        <v>52.0</v>
      </c>
      <c r="E26" s="8">
        <v>46206.433435046296</v>
      </c>
      <c r="F26" s="2"/>
      <c r="G26" s="27">
        <v>72.0</v>
      </c>
      <c r="H26" s="24"/>
      <c r="I26" s="2"/>
      <c r="J26" s="28" t="s">
        <v>41</v>
      </c>
      <c r="K26" s="29"/>
      <c r="L26" s="2"/>
      <c r="M26" s="2"/>
      <c r="N26" s="2"/>
      <c r="O26" s="2"/>
      <c r="P26" s="2"/>
      <c r="Q26" s="2"/>
    </row>
    <row r="27" ht="22.5" customHeight="1">
      <c r="A27" s="13"/>
      <c r="B27" s="6">
        <v>9.0</v>
      </c>
      <c r="C27" s="7" t="s">
        <v>42</v>
      </c>
      <c r="D27" s="6">
        <v>72.0</v>
      </c>
      <c r="E27" s="8">
        <v>46206.44171226852</v>
      </c>
      <c r="F27" s="2"/>
      <c r="G27" s="23">
        <v>28.0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43</v>
      </c>
      <c r="D28" s="6">
        <v>28.0</v>
      </c>
      <c r="E28" s="8">
        <v>46206.44186493056</v>
      </c>
      <c r="F28" s="2"/>
      <c r="G28" s="23">
        <v>95.0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40.0</v>
      </c>
      <c r="E29" s="8">
        <v>46206.460848518516</v>
      </c>
      <c r="F29" s="2"/>
      <c r="G29" s="23">
        <v>54.0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967,00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45</v>
      </c>
      <c r="D30" s="6">
        <v>53.0</v>
      </c>
      <c r="E30" s="8">
        <v>46206.46097013888</v>
      </c>
      <c r="F30" s="2"/>
      <c r="G30" s="23">
        <v>19.0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46</v>
      </c>
      <c r="D31" s="6">
        <v>16.0</v>
      </c>
      <c r="E31" s="8">
        <v>46206.46105778935</v>
      </c>
      <c r="F31" s="2"/>
      <c r="G31" s="23">
        <v>156.0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2.0</v>
      </c>
      <c r="C32" s="7" t="s">
        <v>47</v>
      </c>
      <c r="D32" s="6">
        <v>20.0</v>
      </c>
      <c r="E32" s="8">
        <v>46206.46200989583</v>
      </c>
      <c r="F32" s="2"/>
      <c r="G32" s="23">
        <v>12.0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4.0</v>
      </c>
      <c r="C33" s="7" t="s">
        <v>48</v>
      </c>
      <c r="D33" s="22">
        <v>4.5</v>
      </c>
      <c r="E33" s="8">
        <v>46206.46560362268</v>
      </c>
      <c r="F33" s="2"/>
      <c r="G33" s="23">
        <v>32.0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49</v>
      </c>
      <c r="D34" s="6">
        <v>95.0</v>
      </c>
      <c r="E34" s="8">
        <v>46206.47844131944</v>
      </c>
      <c r="F34" s="2"/>
      <c r="G34" s="23">
        <v>325.0</v>
      </c>
      <c r="H34" s="24"/>
      <c r="I34" s="2"/>
      <c r="J34" s="31" t="s">
        <v>50</v>
      </c>
      <c r="K34" s="31" t="s">
        <v>51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52</v>
      </c>
      <c r="D35" s="6">
        <v>30.0</v>
      </c>
      <c r="E35" s="8">
        <v>46206.47856957176</v>
      </c>
      <c r="F35" s="2"/>
      <c r="G35" s="24"/>
      <c r="H35" s="24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53</v>
      </c>
      <c r="D36" s="6">
        <v>5.5</v>
      </c>
      <c r="E36" s="8">
        <v>46206.47866527778</v>
      </c>
      <c r="F36" s="2"/>
      <c r="G36" s="24"/>
      <c r="H36" s="24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6">
        <v>75922.0</v>
      </c>
      <c r="B37" s="6">
        <v>1.0</v>
      </c>
      <c r="C37" s="7" t="s">
        <v>54</v>
      </c>
      <c r="D37" s="6">
        <v>54.0</v>
      </c>
      <c r="E37" s="8">
        <v>46206.49041362268</v>
      </c>
      <c r="F37" s="2"/>
      <c r="G37" s="24"/>
      <c r="H37" s="24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3"/>
      <c r="B38" s="6">
        <v>24.0</v>
      </c>
      <c r="C38" s="7" t="s">
        <v>55</v>
      </c>
      <c r="D38" s="6">
        <v>16.0</v>
      </c>
      <c r="E38" s="8">
        <v>46206.49694644676</v>
      </c>
      <c r="F38" s="2"/>
      <c r="G38" s="24"/>
      <c r="H38" s="24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56</v>
      </c>
      <c r="D39" s="6">
        <v>8.0</v>
      </c>
      <c r="E39" s="8">
        <v>46206.50953027778</v>
      </c>
      <c r="F39" s="2"/>
      <c r="G39" s="24"/>
      <c r="H39" s="24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3"/>
      <c r="B40" s="6" t="s">
        <v>57</v>
      </c>
      <c r="C40" s="7" t="s">
        <v>58</v>
      </c>
      <c r="D40" s="6">
        <v>23.0</v>
      </c>
      <c r="E40" s="8">
        <v>46206.515445868055</v>
      </c>
      <c r="F40" s="2"/>
      <c r="G40" s="24"/>
      <c r="H40" s="24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3"/>
      <c r="B41" s="6" t="s">
        <v>59</v>
      </c>
      <c r="C41" s="7" t="s">
        <v>60</v>
      </c>
      <c r="D41" s="6">
        <v>12.0</v>
      </c>
      <c r="E41" s="8">
        <v>46206.51566371528</v>
      </c>
      <c r="F41" s="2"/>
      <c r="G41" s="24"/>
      <c r="H41" s="24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3"/>
      <c r="B42" s="6" t="s">
        <v>61</v>
      </c>
      <c r="C42" s="7" t="s">
        <v>62</v>
      </c>
      <c r="D42" s="22">
        <v>15.0</v>
      </c>
      <c r="E42" s="8">
        <v>46206.515965694445</v>
      </c>
      <c r="F42" s="2"/>
      <c r="G42" s="24"/>
      <c r="H42" s="24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3"/>
      <c r="B43" s="6" t="s">
        <v>63</v>
      </c>
      <c r="C43" s="7" t="s">
        <v>64</v>
      </c>
      <c r="D43" s="6">
        <v>12.0</v>
      </c>
      <c r="E43" s="8">
        <v>46206.51641140046</v>
      </c>
      <c r="F43" s="2"/>
      <c r="G43" s="24"/>
      <c r="H43" s="24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3"/>
      <c r="B44" s="6" t="s">
        <v>65</v>
      </c>
      <c r="C44" s="7" t="s">
        <v>66</v>
      </c>
      <c r="D44" s="6">
        <v>12.0</v>
      </c>
      <c r="E44" s="8">
        <v>46206.516904375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67</v>
      </c>
      <c r="D45" s="6">
        <v>365.0</v>
      </c>
      <c r="E45" s="8">
        <v>46206.51771289352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68</v>
      </c>
      <c r="D46" s="6">
        <v>3.0</v>
      </c>
      <c r="E46" s="8">
        <v>46206.52828119213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69</v>
      </c>
      <c r="D47" s="6">
        <v>19.0</v>
      </c>
      <c r="E47" s="8">
        <v>46206.55209488426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 t="s">
        <v>70</v>
      </c>
      <c r="C48" s="7" t="s">
        <v>71</v>
      </c>
      <c r="D48" s="6">
        <v>55.0</v>
      </c>
      <c r="E48" s="8">
        <v>46206.57550024305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72</v>
      </c>
      <c r="D49" s="6">
        <v>31.0</v>
      </c>
      <c r="E49" s="8">
        <v>46206.57564605324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73</v>
      </c>
      <c r="D50" s="6">
        <v>18.0</v>
      </c>
      <c r="E50" s="8">
        <v>46206.57576061343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74</v>
      </c>
      <c r="D51" s="6">
        <v>20.0</v>
      </c>
      <c r="E51" s="8">
        <v>46206.575850451394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24.0</v>
      </c>
      <c r="C52" s="7" t="s">
        <v>75</v>
      </c>
      <c r="D52" s="6">
        <v>9.0</v>
      </c>
      <c r="E52" s="8">
        <v>46206.588147766204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12.0</v>
      </c>
      <c r="C53" s="7" t="s">
        <v>76</v>
      </c>
      <c r="D53" s="6">
        <v>1.0</v>
      </c>
      <c r="E53" s="8">
        <v>46206.58820079861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77</v>
      </c>
      <c r="D54" s="6">
        <v>11.0</v>
      </c>
      <c r="E54" s="8">
        <v>46206.58829399306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78</v>
      </c>
      <c r="D55" s="6">
        <v>7.5</v>
      </c>
      <c r="E55" s="8">
        <v>46206.58836689815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79</v>
      </c>
      <c r="D56" s="6">
        <v>2.5</v>
      </c>
      <c r="E56" s="8">
        <v>46206.591391643524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 t="s">
        <v>80</v>
      </c>
      <c r="C57" s="7" t="s">
        <v>81</v>
      </c>
      <c r="D57" s="22">
        <v>13.5</v>
      </c>
      <c r="E57" s="8">
        <v>46206.61114324074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82</v>
      </c>
      <c r="D58" s="6">
        <v>8.0</v>
      </c>
      <c r="E58" s="8">
        <v>46206.61121072917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4.0</v>
      </c>
      <c r="C59" s="7" t="s">
        <v>83</v>
      </c>
      <c r="D59" s="6">
        <v>8.0</v>
      </c>
      <c r="E59" s="8">
        <v>46206.611268402776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84</v>
      </c>
      <c r="D60" s="6">
        <v>55.0</v>
      </c>
      <c r="E60" s="8">
        <v>46206.62283460648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85</v>
      </c>
      <c r="D61" s="6">
        <v>140.0</v>
      </c>
      <c r="E61" s="8">
        <v>46206.62367023148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86</v>
      </c>
      <c r="D62" s="6">
        <v>20.0</v>
      </c>
      <c r="E62" s="8">
        <v>46206.62356940973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12.0</v>
      </c>
      <c r="C63" s="7" t="s">
        <v>87</v>
      </c>
      <c r="D63" s="6">
        <v>156.0</v>
      </c>
      <c r="E63" s="8">
        <v>46206.62350300926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88</v>
      </c>
      <c r="D64" s="6">
        <v>12.0</v>
      </c>
      <c r="E64" s="8">
        <v>46206.623446990736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2.0</v>
      </c>
      <c r="C65" s="7" t="s">
        <v>31</v>
      </c>
      <c r="D65" s="6">
        <v>32.0</v>
      </c>
      <c r="E65" s="8">
        <v>46206.6248490625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89</v>
      </c>
      <c r="D66" s="6">
        <v>15.0</v>
      </c>
      <c r="E66" s="8">
        <v>46206.64884246528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90</v>
      </c>
      <c r="D67" s="6">
        <v>110.0</v>
      </c>
      <c r="E67" s="8">
        <v>46206.64904369213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2.0</v>
      </c>
      <c r="C68" s="7" t="s">
        <v>91</v>
      </c>
      <c r="D68" s="6">
        <v>104.0</v>
      </c>
      <c r="E68" s="8">
        <v>46206.64909114584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5.0</v>
      </c>
      <c r="C69" s="7" t="s">
        <v>92</v>
      </c>
      <c r="D69" s="6">
        <v>55.0</v>
      </c>
      <c r="E69" s="8">
        <v>46206.64914784722</v>
      </c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2.0</v>
      </c>
      <c r="C70" s="7" t="s">
        <v>93</v>
      </c>
      <c r="D70" s="6">
        <v>16.0</v>
      </c>
      <c r="E70" s="8">
        <v>46206.655834606485</v>
      </c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94</v>
      </c>
      <c r="D71" s="6">
        <v>19.0</v>
      </c>
      <c r="E71" s="8">
        <v>46206.660467326394</v>
      </c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95</v>
      </c>
      <c r="D72" s="6">
        <v>75.0</v>
      </c>
      <c r="E72" s="8">
        <v>46206.66540758102</v>
      </c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96</v>
      </c>
      <c r="D73" s="6">
        <v>235.0</v>
      </c>
      <c r="E73" s="8">
        <v>46206.67483618055</v>
      </c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97</v>
      </c>
      <c r="D74" s="6">
        <v>247.0</v>
      </c>
      <c r="E74" s="8">
        <v>46206.6785762963</v>
      </c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98</v>
      </c>
      <c r="D75" s="6">
        <v>135.0</v>
      </c>
      <c r="E75" s="8">
        <v>46206.711994930556</v>
      </c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99</v>
      </c>
      <c r="D76" s="6">
        <v>42.0</v>
      </c>
      <c r="E76" s="8">
        <v>46206.71211172454</v>
      </c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100</v>
      </c>
      <c r="D77" s="6">
        <v>11.0</v>
      </c>
      <c r="E77" s="8">
        <v>46206.71220296297</v>
      </c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101</v>
      </c>
      <c r="D78" s="6">
        <v>5.0</v>
      </c>
      <c r="E78" s="8">
        <v>46206.730483437495</v>
      </c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2.0</v>
      </c>
      <c r="C79" s="7" t="s">
        <v>102</v>
      </c>
      <c r="D79" s="6">
        <v>4.0</v>
      </c>
      <c r="E79" s="8">
        <v>46206.75310307871</v>
      </c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2.0</v>
      </c>
      <c r="C80" s="7" t="s">
        <v>103</v>
      </c>
      <c r="D80" s="6">
        <v>6.4</v>
      </c>
      <c r="E80" s="8">
        <v>46206.75315276621</v>
      </c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104</v>
      </c>
      <c r="D81" s="6">
        <v>9.0</v>
      </c>
      <c r="E81" s="8">
        <v>46206.75330549768</v>
      </c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105</v>
      </c>
      <c r="D82" s="6">
        <v>5.5</v>
      </c>
      <c r="E82" s="8">
        <v>46206.753342905096</v>
      </c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4.0</v>
      </c>
      <c r="C83" s="7" t="s">
        <v>106</v>
      </c>
      <c r="D83" s="6">
        <v>14.8</v>
      </c>
      <c r="E83" s="8">
        <v>46206.7535447338</v>
      </c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107</v>
      </c>
      <c r="D84" s="6">
        <v>49.0</v>
      </c>
      <c r="E84" s="8">
        <v>46206.75360195602</v>
      </c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108</v>
      </c>
      <c r="D85" s="6">
        <v>38.0</v>
      </c>
      <c r="E85" s="8">
        <v>46206.75366119213</v>
      </c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2.0</v>
      </c>
      <c r="C86" s="7" t="s">
        <v>109</v>
      </c>
      <c r="D86" s="6">
        <v>7.0</v>
      </c>
      <c r="E86" s="8">
        <v>46206.75389723379</v>
      </c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110</v>
      </c>
      <c r="D87" s="6">
        <v>6.0</v>
      </c>
      <c r="E87" s="8">
        <v>46206.753941840274</v>
      </c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111</v>
      </c>
      <c r="D88" s="6">
        <v>4.0</v>
      </c>
      <c r="E88" s="8">
        <v>46206.75409391204</v>
      </c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112</v>
      </c>
      <c r="D89" s="6">
        <v>110.0</v>
      </c>
      <c r="E89" s="8">
        <v>46206.75416737268</v>
      </c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113</v>
      </c>
      <c r="D90" s="6">
        <v>61.0</v>
      </c>
      <c r="E90" s="8">
        <v>46206.754314791666</v>
      </c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2.0</v>
      </c>
      <c r="C91" s="7" t="s">
        <v>114</v>
      </c>
      <c r="D91" s="6">
        <v>6.0</v>
      </c>
      <c r="E91" s="8">
        <v>46206.75436024305</v>
      </c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2.0</v>
      </c>
      <c r="C92" s="7" t="s">
        <v>115</v>
      </c>
      <c r="D92" s="6">
        <v>5.0</v>
      </c>
      <c r="E92" s="8">
        <v>46206.75451803241</v>
      </c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6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6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6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