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<sst xmlns="http://schemas.openxmlformats.org/spreadsheetml/2006/main" count="147" uniqueCount="140">
  <si>
    <t>HOJA DE CALCULO FERRETERIA</t>
  </si>
  <si>
    <t>CODIGO</t>
  </si>
  <si>
    <t>CANTIDAD</t>
  </si>
  <si>
    <t>DESCRIPCION</t>
  </si>
  <si>
    <t>TOTAL</t>
  </si>
  <si>
    <t>HORA</t>
  </si>
  <si>
    <t>CUADRAR</t>
  </si>
  <si>
    <t>brocha atlas 1</t>
  </si>
  <si>
    <t>brcochas atlas 3/4</t>
  </si>
  <si>
    <t>MONEDAS</t>
  </si>
  <si>
    <t>CAJA CHICA</t>
  </si>
  <si>
    <t>cina aislantes</t>
  </si>
  <si>
    <t>BILLETES 10-20</t>
  </si>
  <si>
    <t>TOTAL VENTAS DIA</t>
  </si>
  <si>
    <t>valvula retencon horizaonra1/2</t>
  </si>
  <si>
    <t>BILLETES 50-100-200</t>
  </si>
  <si>
    <t>AUMENTO DE DINERO</t>
  </si>
  <si>
    <t>adaptador 1/2</t>
  </si>
  <si>
    <t>INGRESOS YAPE</t>
  </si>
  <si>
    <t>5 doc</t>
  </si>
  <si>
    <t>ramplu 6</t>
  </si>
  <si>
    <t>INGRESOS TARJETA</t>
  </si>
  <si>
    <t>10 doc chip</t>
  </si>
  <si>
    <t>chip</t>
  </si>
  <si>
    <t>GASTOS VARIOS</t>
  </si>
  <si>
    <t>armella biertas</t>
  </si>
  <si>
    <t>m manguera  gas</t>
  </si>
  <si>
    <t>DINERO GANADO HOY:</t>
  </si>
  <si>
    <t>CANTIDAD DINERO CAJA:</t>
  </si>
  <si>
    <t>abrazaderas</t>
  </si>
  <si>
    <t>pistola de silicona</t>
  </si>
  <si>
    <t>silicona akfi bl</t>
  </si>
  <si>
    <t>2 lts</t>
  </si>
  <si>
    <t>thiner</t>
  </si>
  <si>
    <t xml:space="preserve">lijas </t>
  </si>
  <si>
    <t>antitermita matrix 1</t>
  </si>
  <si>
    <t>BROCHA ROJA 2</t>
  </si>
  <si>
    <t>YAPE MAMÁ</t>
  </si>
  <si>
    <t>YAPE PAPÁ</t>
  </si>
  <si>
    <t>ANTITERMITA matrix 1/2</t>
  </si>
  <si>
    <t>JUEGMOD E CEPILO PRETUL</t>
  </si>
  <si>
    <t>RESISTENCA CORONA</t>
  </si>
  <si>
    <t>1/2 KG</t>
  </si>
  <si>
    <t>RLRCTRODO DELG</t>
  </si>
  <si>
    <t>DISCO 4 GALL</t>
  </si>
  <si>
    <t>CLEFA</t>
  </si>
  <si>
    <t>RESISTEN CORONA</t>
  </si>
  <si>
    <t>CINTRA 3/4 DOBLE</t>
  </si>
  <si>
    <t>CHIP 4,5 40</t>
  </si>
  <si>
    <t>RAMPLU LAD HCO 6</t>
  </si>
  <si>
    <t>ARA 1/4</t>
  </si>
  <si>
    <t>hola para cepillo electrico</t>
  </si>
  <si>
    <t>chip 4.5 x 60</t>
  </si>
  <si>
    <t>picaporte  5</t>
  </si>
  <si>
    <t>destornillador</t>
  </si>
  <si>
    <t>broca madera</t>
  </si>
  <si>
    <t>estilete pretu</t>
  </si>
  <si>
    <t>clavo 30mm</t>
  </si>
  <si>
    <t>clavo 25mm</t>
  </si>
  <si>
    <t>masquin 1</t>
  </si>
  <si>
    <t>flexo 5m</t>
  </si>
  <si>
    <t>lente</t>
  </si>
  <si>
    <t>1kl</t>
  </si>
  <si>
    <t>alambre gal 12</t>
  </si>
  <si>
    <t>silicona trans</t>
  </si>
  <si>
    <t>cinta doble contacto 3/4</t>
  </si>
  <si>
    <t>cuello de cera</t>
  </si>
  <si>
    <t>foco 9w</t>
  </si>
  <si>
    <t>klalabre deamarre</t>
  </si>
  <si>
    <t>gotita</t>
  </si>
  <si>
    <t>chip 4 + raplu 6</t>
  </si>
  <si>
    <t>clavo 1 1/2</t>
  </si>
  <si>
    <t>debor 2.5 fierro</t>
  </si>
  <si>
    <t>carpicola</t>
  </si>
  <si>
    <t>fresa v 1/2</t>
  </si>
  <si>
    <t>fresa v 7/8</t>
  </si>
  <si>
    <t>2m</t>
  </si>
  <si>
    <t>cadena 5/16</t>
  </si>
  <si>
    <t>candado hr</t>
  </si>
  <si>
    <t>pernos conarandela</t>
  </si>
  <si>
    <t xml:space="preserve">gunates goma </t>
  </si>
  <si>
    <t>escamosila 1kl</t>
  </si>
  <si>
    <t>pico para acople</t>
  </si>
  <si>
    <t>soplete para pintar stanfort</t>
  </si>
  <si>
    <t>cinta asilante</t>
  </si>
  <si>
    <t>medidor de tencion</t>
  </si>
  <si>
    <t>palo para azadon</t>
  </si>
  <si>
    <t>martilo</t>
  </si>
  <si>
    <t>tester</t>
  </si>
  <si>
    <t>tapon 12 tigre</t>
  </si>
  <si>
    <t>torquimetro 3/4</t>
  </si>
  <si>
    <t>dado estriado 10</t>
  </si>
  <si>
    <t>dado estriado 11</t>
  </si>
  <si>
    <t>dado estriado 9</t>
  </si>
  <si>
    <t>alicate tolsen corte mini</t>
  </si>
  <si>
    <t>acoples</t>
  </si>
  <si>
    <t>cierra mecanica</t>
  </si>
  <si>
    <t>decrub</t>
  </si>
  <si>
    <t xml:space="preserve">regleta </t>
  </si>
  <si>
    <t>pistola de calor total</t>
  </si>
  <si>
    <t xml:space="preserve">precilnto </t>
  </si>
  <si>
    <t>precinta</t>
  </si>
  <si>
    <t>cinta aislnta</t>
  </si>
  <si>
    <t>pistoa de calor</t>
  </si>
  <si>
    <t>paquete silicona gruesa</t>
  </si>
  <si>
    <t>soporte de celular para el auto</t>
  </si>
  <si>
    <t>sintetica 220</t>
  </si>
  <si>
    <t>ropdillo</t>
  </si>
  <si>
    <t>puntas taladro</t>
  </si>
  <si>
    <t>manguera para inflador</t>
  </si>
  <si>
    <t>reduccion buje 3/4 a 1/2</t>
  </si>
  <si>
    <t>copla 3/4 tigre</t>
  </si>
  <si>
    <t>codo 1/2 pvc</t>
  </si>
  <si>
    <t>copla pvc 2/3</t>
  </si>
  <si>
    <t>adaptador 3/4</t>
  </si>
  <si>
    <t>codo 3/4 pvc</t>
  </si>
  <si>
    <t>teflon</t>
  </si>
  <si>
    <t>4m</t>
  </si>
  <si>
    <t xml:space="preserve">cañeria 1/2 </t>
  </si>
  <si>
    <t>flotador 1/2</t>
  </si>
  <si>
    <t>mariposa de gas</t>
  </si>
  <si>
    <t>cinta doble contacto 1/2</t>
  </si>
  <si>
    <t>ponchillo para lluvia</t>
  </si>
  <si>
    <t>kit de amoladora y taladro inalambrico</t>
  </si>
  <si>
    <t>alargador 5m ultra</t>
  </si>
  <si>
    <t>cubre cable 10*15</t>
  </si>
  <si>
    <t>pilas redondas 3v 2032</t>
  </si>
  <si>
    <t>disco fierro norton 14</t>
  </si>
  <si>
    <t>disco uyustoll 4</t>
  </si>
  <si>
    <t>disco lapis tramkonita</t>
  </si>
  <si>
    <t>disco uyustools4</t>
  </si>
  <si>
    <t>broca debor 6</t>
  </si>
  <si>
    <t>broca tr 6</t>
  </si>
  <si>
    <t>linternas pr</t>
  </si>
  <si>
    <t>2 mt</t>
  </si>
  <si>
    <t>7 hilo</t>
  </si>
  <si>
    <t>abrazadra</t>
  </si>
  <si>
    <t>caja shuco</t>
  </si>
  <si>
    <t xml:space="preserve">m cable bipolar </t>
  </si>
  <si>
    <t xml:space="preserve">bisagra pispot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</si>
</sst>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9.0</v>
      </c>
      <c r="E8" s="8">
        <v>46089.380699155095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16.0</v>
      </c>
      <c r="E9" s="8">
        <v>46089.38082046296</v>
      </c>
      <c r="F9" s="2"/>
      <c r="G9" s="9" t="s">
        <v>9</v>
      </c>
      <c r="H9" s="10">
        <v>111.0</v>
      </c>
      <c r="I9" s="2"/>
      <c r="J9" s="9" t="s">
        <v>10</v>
      </c>
      <c r="K9" s="10">
        <v>769.0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18.0</v>
      </c>
      <c r="E10" s="8">
        <v>46089.38094872685</v>
      </c>
      <c r="F10" s="2"/>
      <c r="G10" s="9" t="s">
        <v>12</v>
      </c>
      <c r="H10" s="10">
        <v>250.0</v>
      </c>
      <c r="I10" s="2"/>
      <c r="J10" s="9" t="s">
        <v>13</v>
      </c>
      <c r="K10" s="11">
        <f>SUM(PRINCIPAL[TOTAL])</f>
        <v>7032.5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70.0</v>
      </c>
      <c r="E11" s="8">
        <v>46089.39710061342</v>
      </c>
      <c r="F11" s="2"/>
      <c r="G11" s="9" t="s">
        <v>15</v>
      </c>
      <c r="H11" s="10">
        <v>4700.0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4.0</v>
      </c>
      <c r="E12" s="8">
        <v>46089.39721177083</v>
      </c>
      <c r="F12" s="2"/>
      <c r="G12" s="9" t="s">
        <v>18</v>
      </c>
      <c r="H12" s="12">
        <f>SUM(G24:H361)</f>
        <v>2808.5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7.5</v>
      </c>
      <c r="E13" s="8">
        <v>46089.401426400465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22</v>
      </c>
      <c r="C14" s="7" t="s">
        <v>23</v>
      </c>
      <c r="D14" s="6">
        <v>28.0</v>
      </c>
      <c r="E14" s="8">
        <v>46089.40164145833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12.0</v>
      </c>
      <c r="C15" s="7" t="s">
        <v>25</v>
      </c>
      <c r="D15" s="6">
        <v>2.0</v>
      </c>
      <c r="E15" s="8">
        <v>46089.40841261574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26</v>
      </c>
      <c r="D16" s="6">
        <v>24.0</v>
      </c>
      <c r="E16" s="8">
        <v>46089.41885371528</v>
      </c>
      <c r="F16" s="2"/>
      <c r="G16" s="15" t="s">
        <v>27</v>
      </c>
      <c r="H16" s="16">
        <f>SUM(H9:H14)</f>
        <v>7869.5</v>
      </c>
      <c r="I16" s="3"/>
      <c r="J16" s="15" t="s">
        <v>28</v>
      </c>
      <c r="K16" s="16">
        <f>SUM(K9:K11)</f>
        <v>7801.5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29</v>
      </c>
      <c r="D17" s="6">
        <v>6.0</v>
      </c>
      <c r="E17" s="8">
        <v>46089.41890592592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30</v>
      </c>
      <c r="D18" s="6">
        <v>17.0</v>
      </c>
      <c r="E18" s="8">
        <v>46089.418958379625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34.0</v>
      </c>
      <c r="E19" s="8">
        <v>46089.41909173611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32</v>
      </c>
      <c r="C20" s="7" t="s">
        <v>33</v>
      </c>
      <c r="D20" s="6">
        <v>70.0</v>
      </c>
      <c r="E20" s="8">
        <v>46089.44827232639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34</v>
      </c>
      <c r="D21" s="6">
        <v>10.0</v>
      </c>
      <c r="E21" s="8">
        <v>46089.44841266204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35</v>
      </c>
      <c r="D22" s="6">
        <v>36.0</v>
      </c>
      <c r="E22" s="8">
        <v>46089.45215612269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36</v>
      </c>
      <c r="D23" s="6">
        <v>6.0</v>
      </c>
      <c r="E23" s="8">
        <v>46089.4646575463</v>
      </c>
      <c r="F23" s="2"/>
      <c r="G23" s="19" t="s">
        <v>37</v>
      </c>
      <c r="H23" s="19" t="s">
        <v>38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17.0</v>
      </c>
      <c r="E24" s="8">
        <v>46089.46492329861</v>
      </c>
      <c r="F24" s="2"/>
      <c r="G24" s="20">
        <v>25.0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110.0</v>
      </c>
      <c r="E25" s="8">
        <v>46089.47764111111</v>
      </c>
      <c r="F25" s="2"/>
      <c r="G25" s="20">
        <v>35.5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23.0</v>
      </c>
      <c r="E26" s="8">
        <v>46089.48195528935</v>
      </c>
      <c r="F26" s="2"/>
      <c r="G26" s="22">
        <v>80.0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42</v>
      </c>
      <c r="C27" s="7" t="s">
        <v>43</v>
      </c>
      <c r="D27" s="6">
        <v>29.0</v>
      </c>
      <c r="E27" s="8">
        <v>46089.49953743056</v>
      </c>
      <c r="F27" s="2"/>
      <c r="G27" s="20">
        <v>80.0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5.0</v>
      </c>
      <c r="E28" s="8">
        <v>46089.49970517361</v>
      </c>
      <c r="F28" s="2"/>
      <c r="G28" s="20">
        <v>36.0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16.0</v>
      </c>
      <c r="E29" s="8">
        <v>46089.50319204861</v>
      </c>
      <c r="F29" s="2"/>
      <c r="G29" s="20">
        <v>36.0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23.0</v>
      </c>
      <c r="E30" s="8">
        <v>46089.50994202546</v>
      </c>
      <c r="F30" s="2"/>
      <c r="G30" s="20">
        <v>110.0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15.0</v>
      </c>
      <c r="E31" s="8">
        <v>46089.51019773148</v>
      </c>
      <c r="F31" s="2"/>
      <c r="G31" s="20">
        <v>23.0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48</v>
      </c>
      <c r="D32" s="6">
        <v>2.0</v>
      </c>
      <c r="E32" s="8">
        <v>46089.51036422454</v>
      </c>
      <c r="F32" s="2"/>
      <c r="G32" s="20">
        <v>20.0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49</v>
      </c>
      <c r="D33" s="6">
        <v>2.0</v>
      </c>
      <c r="E33" s="8">
        <v>46089.51060820602</v>
      </c>
      <c r="F33" s="2"/>
      <c r="G33" s="20">
        <v>23.0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6.0</v>
      </c>
      <c r="C34" s="7" t="s">
        <v>50</v>
      </c>
      <c r="D34" s="6">
        <v>1.0</v>
      </c>
      <c r="E34" s="8">
        <v>46089.51075717593</v>
      </c>
      <c r="F34" s="2"/>
      <c r="G34" s="20">
        <v>74.0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51</v>
      </c>
      <c r="D35" s="6">
        <v>74.0</v>
      </c>
      <c r="E35" s="8">
        <v>46090.351582013885</v>
      </c>
      <c r="F35" s="2"/>
      <c r="G35" s="20">
        <v>36.5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6.0</v>
      </c>
      <c r="C36" s="7" t="s">
        <v>52</v>
      </c>
      <c r="D36" s="6">
        <v>2.0</v>
      </c>
      <c r="E36" s="8">
        <v>46090.363611875</v>
      </c>
      <c r="F36" s="2"/>
      <c r="G36" s="20">
        <v>10.0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18.0</v>
      </c>
      <c r="E37" s="8">
        <v>46090.373579340274</v>
      </c>
      <c r="F37" s="2"/>
      <c r="G37" s="20">
        <v>45.5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12.0</v>
      </c>
      <c r="E38" s="8">
        <v>46090.37694184028</v>
      </c>
      <c r="F38" s="2"/>
      <c r="G38" s="20">
        <v>50.0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6.5</v>
      </c>
      <c r="E39" s="8">
        <v>46090.373724930556</v>
      </c>
      <c r="F39" s="2"/>
      <c r="G39" s="20">
        <v>115.0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10.0</v>
      </c>
      <c r="E40" s="8">
        <v>46090.37717923611</v>
      </c>
      <c r="F40" s="2"/>
      <c r="G40" s="20">
        <v>230.0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57</v>
      </c>
      <c r="D41" s="6">
        <v>150.0</v>
      </c>
      <c r="E41" s="8">
        <v>46090.3777346875</v>
      </c>
      <c r="F41" s="2"/>
      <c r="G41" s="20">
        <v>1.0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58</v>
      </c>
      <c r="D42" s="6">
        <v>120.0</v>
      </c>
      <c r="E42" s="8">
        <v>46090.37833769676</v>
      </c>
      <c r="F42" s="2"/>
      <c r="G42" s="20">
        <v>2.0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16.5</v>
      </c>
      <c r="E43" s="8">
        <v>46090.38862453704</v>
      </c>
      <c r="F43" s="2"/>
      <c r="G43" s="20">
        <v>21.0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20.0</v>
      </c>
      <c r="E44" s="8">
        <v>46090.38870821759</v>
      </c>
      <c r="F44" s="2"/>
      <c r="G44" s="20">
        <v>410.0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10.0</v>
      </c>
      <c r="E45" s="8">
        <v>46090.38872834491</v>
      </c>
      <c r="F45" s="2"/>
      <c r="G45" s="20">
        <v>508.0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62</v>
      </c>
      <c r="C46" s="7" t="s">
        <v>63</v>
      </c>
      <c r="D46" s="6">
        <v>30.0</v>
      </c>
      <c r="E46" s="8">
        <v>46090.393656099535</v>
      </c>
      <c r="F46" s="2"/>
      <c r="G46" s="20">
        <v>24.0</v>
      </c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34.0</v>
      </c>
      <c r="E47" s="8">
        <v>46090.39379526621</v>
      </c>
      <c r="F47" s="2"/>
      <c r="G47" s="20">
        <v>231.0</v>
      </c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15.0</v>
      </c>
      <c r="E48" s="8">
        <v>46090.393957141205</v>
      </c>
      <c r="F48" s="2"/>
      <c r="G48" s="20">
        <v>20.0</v>
      </c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24.0</v>
      </c>
      <c r="E49" s="8">
        <v>46090.394189479164</v>
      </c>
      <c r="F49" s="2"/>
      <c r="G49" s="20">
        <v>150.0</v>
      </c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67</v>
      </c>
      <c r="D50" s="6">
        <v>26.0</v>
      </c>
      <c r="E50" s="8">
        <v>46090.39425065972</v>
      </c>
      <c r="F50" s="2"/>
      <c r="G50" s="20">
        <v>290.0</v>
      </c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17.0</v>
      </c>
      <c r="E51" s="8">
        <v>46090.40599526621</v>
      </c>
      <c r="F51" s="2"/>
      <c r="G51" s="20">
        <v>55.0</v>
      </c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11.0</v>
      </c>
      <c r="E52" s="8">
        <v>46090.428422013894</v>
      </c>
      <c r="F52" s="2"/>
      <c r="G52" s="20">
        <v>20.0</v>
      </c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70</v>
      </c>
      <c r="D53" s="6">
        <v>4.0</v>
      </c>
      <c r="E53" s="8">
        <v>46090.428615428245</v>
      </c>
      <c r="F53" s="2"/>
      <c r="G53" s="20">
        <v>47.0</v>
      </c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20.0</v>
      </c>
      <c r="E54" s="8">
        <v>46090.43669905093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10.0</v>
      </c>
      <c r="E55" s="8">
        <v>46090.436829479164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8.0</v>
      </c>
      <c r="E56" s="8">
        <v>46090.43697446759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48.0</v>
      </c>
      <c r="E57" s="8">
        <v>46090.44430347222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67.0</v>
      </c>
      <c r="E58" s="8">
        <v>46090.44455778935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 t="s">
        <v>76</v>
      </c>
      <c r="C59" s="7" t="s">
        <v>77</v>
      </c>
      <c r="D59" s="6">
        <v>90.0</v>
      </c>
      <c r="E59" s="8">
        <v>46090.463578622686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140.0</v>
      </c>
      <c r="E60" s="8">
        <v>46090.463708344905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79</v>
      </c>
      <c r="D61" s="6">
        <v>2.0</v>
      </c>
      <c r="E61" s="8">
        <v>46090.46616008102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13.0</v>
      </c>
      <c r="E62" s="8">
        <v>46090.4758562037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38.0</v>
      </c>
      <c r="E63" s="8">
        <v>46090.47599931713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7.0</v>
      </c>
      <c r="E64" s="8">
        <v>46090.48108159722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68.0</v>
      </c>
      <c r="E65" s="8">
        <v>46090.48810908565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13.0</v>
      </c>
      <c r="E66" s="8">
        <v>46090.49795590278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80.0</v>
      </c>
      <c r="E67" s="8">
        <v>46090.498278784726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13.0</v>
      </c>
      <c r="E68" s="8">
        <v>46090.49816446759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138.0</v>
      </c>
      <c r="E69" s="8">
        <v>46090.516058298614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100.0</v>
      </c>
      <c r="E70" s="8">
        <v>46090.52896428241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73</v>
      </c>
      <c r="D71" s="6">
        <v>8.0</v>
      </c>
      <c r="E71" s="8">
        <v>46090.56673017361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2.0</v>
      </c>
      <c r="E72" s="8">
        <v>46090.56940288194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2.0</v>
      </c>
      <c r="E73" s="8">
        <v>46090.57002666667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770.0</v>
      </c>
      <c r="E74" s="8">
        <v>46090.57530318287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29.0</v>
      </c>
      <c r="E75" s="8">
        <v>46090.57540671296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29.0</v>
      </c>
      <c r="E76" s="8">
        <v>46090.57546612268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25.0</v>
      </c>
      <c r="E77" s="8">
        <v>46090.5755584375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31.0</v>
      </c>
      <c r="E78" s="8">
        <v>46090.575672314815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95</v>
      </c>
      <c r="D79" s="6">
        <v>14.0</v>
      </c>
      <c r="E79" s="8">
        <v>46090.58265611111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82</v>
      </c>
      <c r="D80" s="6">
        <v>7.0</v>
      </c>
      <c r="E80" s="8">
        <v>46090.582732407405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19.0</v>
      </c>
      <c r="E81" s="8">
        <v>46090.585094525464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65.0</v>
      </c>
      <c r="E82" s="8">
        <v>46090.58577648149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98</v>
      </c>
      <c r="D83" s="6">
        <v>20.0</v>
      </c>
      <c r="E83" s="8">
        <v>46090.586915810185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99</v>
      </c>
      <c r="D84" s="6">
        <v>410.0</v>
      </c>
      <c r="E84" s="8">
        <v>46090.58965206018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4.0</v>
      </c>
      <c r="C85" s="7" t="s">
        <v>100</v>
      </c>
      <c r="D85" s="6">
        <v>100.0</v>
      </c>
      <c r="E85" s="8">
        <v>46090.59156903935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4.0</v>
      </c>
      <c r="C86" s="7" t="s">
        <v>101</v>
      </c>
      <c r="D86" s="6">
        <v>52.0</v>
      </c>
      <c r="E86" s="8">
        <v>46090.591611909724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8.0</v>
      </c>
      <c r="C87" s="7" t="s">
        <v>102</v>
      </c>
      <c r="D87" s="6">
        <v>96.0</v>
      </c>
      <c r="E87" s="8">
        <v>46090.59165899306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220.0</v>
      </c>
      <c r="E88" s="8">
        <v>46090.60945577546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104</v>
      </c>
      <c r="D89" s="6">
        <v>180.0</v>
      </c>
      <c r="E89" s="8">
        <v>46090.609609618055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108.0</v>
      </c>
      <c r="E90" s="8">
        <v>46090.60976421296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6">
        <v>15.0</v>
      </c>
      <c r="E91" s="8">
        <v>46090.61499923611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107</v>
      </c>
      <c r="D92" s="6">
        <v>18.0</v>
      </c>
      <c r="E92" s="8">
        <v>46090.61504762732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4.0</v>
      </c>
      <c r="C93" s="7" t="s">
        <v>108</v>
      </c>
      <c r="D93" s="6">
        <v>24.0</v>
      </c>
      <c r="E93" s="8">
        <v>46090.64935836806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109</v>
      </c>
      <c r="D94" s="6">
        <v>20.0</v>
      </c>
      <c r="E94" s="8">
        <v>46090.65992262731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110</v>
      </c>
      <c r="D95" s="6">
        <v>4.0</v>
      </c>
      <c r="E95" s="8">
        <v>46090.664560324076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111</v>
      </c>
      <c r="D96" s="6">
        <v>4.0</v>
      </c>
      <c r="E96" s="8">
        <v>46090.6646479051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3.0</v>
      </c>
      <c r="C97" s="7" t="s">
        <v>112</v>
      </c>
      <c r="D97" s="6">
        <v>12.0</v>
      </c>
      <c r="E97" s="8">
        <v>46090.66479386574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2.0</v>
      </c>
      <c r="C98" s="7" t="s">
        <v>113</v>
      </c>
      <c r="D98" s="6">
        <v>9.0</v>
      </c>
      <c r="E98" s="8">
        <v>46090.66491900463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17</v>
      </c>
      <c r="D99" s="6">
        <v>4.0</v>
      </c>
      <c r="E99" s="8">
        <v>46090.665060706015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114</v>
      </c>
      <c r="D100" s="6">
        <v>4.0</v>
      </c>
      <c r="E100" s="8">
        <v>46090.665145694446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2.0</v>
      </c>
      <c r="C101" s="7" t="s">
        <v>115</v>
      </c>
      <c r="D101" s="6">
        <v>10.0</v>
      </c>
      <c r="E101" s="8">
        <v>46090.66536449074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6.0</v>
      </c>
      <c r="C102" s="7" t="s">
        <v>116</v>
      </c>
      <c r="D102" s="6">
        <v>18.0</v>
      </c>
      <c r="E102" s="8">
        <v>46090.665432800924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 t="s">
        <v>117</v>
      </c>
      <c r="C103" s="7" t="s">
        <v>118</v>
      </c>
      <c r="D103" s="6">
        <v>36.0</v>
      </c>
      <c r="E103" s="8">
        <v>46090.665752581015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119</v>
      </c>
      <c r="D104" s="6">
        <v>120.0</v>
      </c>
      <c r="E104" s="8">
        <v>46090.6658528588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120</v>
      </c>
      <c r="D105" s="6">
        <v>9.0</v>
      </c>
      <c r="E105" s="8">
        <v>46090.66596802083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3.0</v>
      </c>
      <c r="C106" s="7" t="s">
        <v>121</v>
      </c>
      <c r="D106" s="6">
        <v>150.0</v>
      </c>
      <c r="E106" s="8">
        <v>46090.666116215274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122</v>
      </c>
      <c r="D107" s="6">
        <v>68.0</v>
      </c>
      <c r="E107" s="8">
        <v>46090.666367847225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78</v>
      </c>
      <c r="D108" s="6">
        <v>42.0</v>
      </c>
      <c r="E108" s="8">
        <v>46090.66695917824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123</v>
      </c>
      <c r="D109" s="6">
        <v>1450.0</v>
      </c>
      <c r="E109" s="8">
        <v>46090.66717677083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124</v>
      </c>
      <c r="D110" s="6">
        <v>45.0</v>
      </c>
      <c r="E110" s="8">
        <v>46090.67923821759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2.0</v>
      </c>
      <c r="C111" s="7" t="s">
        <v>125</v>
      </c>
      <c r="D111" s="6">
        <v>16.0</v>
      </c>
      <c r="E111" s="8">
        <v>46090.67958925926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6.0</v>
      </c>
      <c r="C112" s="7" t="s">
        <v>126</v>
      </c>
      <c r="D112" s="6">
        <v>60.0</v>
      </c>
      <c r="E112" s="8">
        <v>46090.68502076389</v>
      </c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127</v>
      </c>
      <c r="D113" s="6">
        <v>180.0</v>
      </c>
      <c r="E113" s="8">
        <v>46090.685120497685</v>
      </c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20.0</v>
      </c>
      <c r="C114" s="7" t="s">
        <v>128</v>
      </c>
      <c r="D114" s="6">
        <v>90.0</v>
      </c>
      <c r="E114" s="8">
        <v>46090.69603693287</v>
      </c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129</v>
      </c>
      <c r="D115" s="6">
        <v>30.0</v>
      </c>
      <c r="E115" s="8">
        <v>46090.70093755787</v>
      </c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130</v>
      </c>
      <c r="D116" s="6">
        <v>28.0</v>
      </c>
      <c r="E116" s="8">
        <v>46090.70105700231</v>
      </c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131</v>
      </c>
      <c r="D117" s="6">
        <v>18.0</v>
      </c>
      <c r="E117" s="8">
        <v>46090.71857697917</v>
      </c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131</v>
      </c>
      <c r="D118" s="6">
        <v>13.0</v>
      </c>
      <c r="E118" s="8">
        <v>46090.71870953703</v>
      </c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132</v>
      </c>
      <c r="D119" s="6">
        <v>24.0</v>
      </c>
      <c r="E119" s="8">
        <v>46090.718912233795</v>
      </c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2.0</v>
      </c>
      <c r="C120" s="7" t="s">
        <v>133</v>
      </c>
      <c r="D120" s="6">
        <v>180.0</v>
      </c>
      <c r="E120" s="8">
        <v>46090.72307903935</v>
      </c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5.0</v>
      </c>
      <c r="C121" s="7" t="s">
        <v>108</v>
      </c>
      <c r="D121" s="6">
        <v>20.0</v>
      </c>
      <c r="E121" s="8">
        <v>46090.72347868056</v>
      </c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 t="s">
        <v>134</v>
      </c>
      <c r="C122" s="7" t="s">
        <v>135</v>
      </c>
      <c r="D122" s="6">
        <v>23.0</v>
      </c>
      <c r="E122" s="8">
        <v>46090.746209930556</v>
      </c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4.0</v>
      </c>
      <c r="C123" s="7" t="s">
        <v>136</v>
      </c>
      <c r="D123" s="6">
        <v>8.0</v>
      </c>
      <c r="E123" s="8">
        <v>46090.7463186574</v>
      </c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137</v>
      </c>
      <c r="D124" s="6">
        <v>16.0</v>
      </c>
      <c r="E124" s="8">
        <v>46090.746458078705</v>
      </c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3.0</v>
      </c>
      <c r="C125" s="7" t="s">
        <v>138</v>
      </c>
      <c r="D125" s="6">
        <v>12.0</v>
      </c>
      <c r="E125" s="8">
        <v>46090.748044837965</v>
      </c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139</v>
      </c>
      <c r="D126" s="6">
        <v>10.0</v>
      </c>
      <c r="E126" s="8">
        <v>46090.76559340278</v>
      </c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