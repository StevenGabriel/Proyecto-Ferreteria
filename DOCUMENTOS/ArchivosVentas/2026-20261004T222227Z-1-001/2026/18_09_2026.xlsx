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<sst xmlns="http://schemas.openxmlformats.org/spreadsheetml/2006/main" count="89" uniqueCount="88">
  <si>
    <t>HOJA DE CALCULO FERRETERIA</t>
  </si>
  <si>
    <t>CODIGO</t>
  </si>
  <si>
    <t>CANTIDAD</t>
  </si>
  <si>
    <t>DESCRIPCION</t>
  </si>
  <si>
    <t>TOTAL</t>
  </si>
  <si>
    <t>HORA</t>
  </si>
  <si>
    <t>CUADRAR</t>
  </si>
  <si>
    <t>silicoan sika</t>
  </si>
  <si>
    <t xml:space="preserve">armella </t>
  </si>
  <si>
    <t>MONEDAS</t>
  </si>
  <si>
    <t>CAJA CHICA</t>
  </si>
  <si>
    <t>tornillom</t>
  </si>
  <si>
    <t>BILLETES 10-20</t>
  </si>
  <si>
    <t>TOTAL VENTAS DIA</t>
  </si>
  <si>
    <t>soga  perlons</t>
  </si>
  <si>
    <t>BILLETES 50-100-200</t>
  </si>
  <si>
    <t>AUMENTO DE DINERO</t>
  </si>
  <si>
    <t xml:space="preserve">nivel </t>
  </si>
  <si>
    <t>INGRESOS YAPE</t>
  </si>
  <si>
    <t>nivel busrbua</t>
  </si>
  <si>
    <t>INGRESOS TARJETA</t>
  </si>
  <si>
    <t>escuadra</t>
  </si>
  <si>
    <t>GASTOS VARIOS</t>
  </si>
  <si>
    <t xml:space="preserve">escuadra </t>
  </si>
  <si>
    <t xml:space="preserve">tesador </t>
  </si>
  <si>
    <t>DINERO GANADO HOY:</t>
  </si>
  <si>
    <t>CANTIDAD DINERO CAJA:</t>
  </si>
  <si>
    <t>desarmador</t>
  </si>
  <si>
    <t xml:space="preserve">desarmado </t>
  </si>
  <si>
    <t>juego de desarmadkores</t>
  </si>
  <si>
    <t>juego dedesarmadkora</t>
  </si>
  <si>
    <t>debor 3,5</t>
  </si>
  <si>
    <t>clavija shuco</t>
  </si>
  <si>
    <t>clavija ultra</t>
  </si>
  <si>
    <t>YAPE MAMÁ</t>
  </si>
  <si>
    <t>YAPE PAPÁ</t>
  </si>
  <si>
    <t>YAPE</t>
  </si>
  <si>
    <t>clavo 35mm</t>
  </si>
  <si>
    <t>Monto Total YAPE (No tocar):</t>
  </si>
  <si>
    <t>goma inodoro</t>
  </si>
  <si>
    <t>estielte tr</t>
  </si>
  <si>
    <t>Monto Total Registrado en aplicacion</t>
  </si>
  <si>
    <t>estilete tr</t>
  </si>
  <si>
    <t>flexo 5,5 tr</t>
  </si>
  <si>
    <t>resistencia lorenzety</t>
  </si>
  <si>
    <t>flexo 5m gophi</t>
  </si>
  <si>
    <t>lapiz irwin</t>
  </si>
  <si>
    <t>pie de amigo</t>
  </si>
  <si>
    <t>cinta de embalaje</t>
  </si>
  <si>
    <t>chiches</t>
  </si>
  <si>
    <t>PAGOS YAPE</t>
  </si>
  <si>
    <t>DESCRIPCION PAGO</t>
  </si>
  <si>
    <t>ventosa</t>
  </si>
  <si>
    <t>lija 2000</t>
  </si>
  <si>
    <t>dosble contascto cristal</t>
  </si>
  <si>
    <t>silica transparente</t>
  </si>
  <si>
    <t>lente de seguridad</t>
  </si>
  <si>
    <t>grampas 6mm</t>
  </si>
  <si>
    <t>grampa 8mm</t>
  </si>
  <si>
    <t>regla metalica</t>
  </si>
  <si>
    <t>tubo toallero</t>
  </si>
  <si>
    <t>poxipol trnas</t>
  </si>
  <si>
    <t>vatilla de bronce</t>
  </si>
  <si>
    <t>borax</t>
  </si>
  <si>
    <t>conduit 5/8</t>
  </si>
  <si>
    <t>varilla bronce</t>
  </si>
  <si>
    <t>1,5m</t>
  </si>
  <si>
    <t>lija 80</t>
  </si>
  <si>
    <t>cautin 150w</t>
  </si>
  <si>
    <t>grampa 1</t>
  </si>
  <si>
    <t>PANEL LED</t>
  </si>
  <si>
    <t>foo 15w</t>
  </si>
  <si>
    <t>placa epem</t>
  </si>
  <si>
    <t xml:space="preserve">m maguera </t>
  </si>
  <si>
    <t>cinta aislante</t>
  </si>
  <si>
    <t>3kl</t>
  </si>
  <si>
    <t>electrodo grueso</t>
  </si>
  <si>
    <t>perdon 5/16*21/2</t>
  </si>
  <si>
    <t>plancha madera 14*25</t>
  </si>
  <si>
    <t xml:space="preserve">masquin </t>
  </si>
  <si>
    <t>removedro de ortero</t>
  </si>
  <si>
    <t xml:space="preserve">1/2 kg </t>
  </si>
  <si>
    <t>rlectrodo</t>
  </si>
  <si>
    <t xml:space="preserve">lla hexagonal </t>
  </si>
  <si>
    <t>caja grampas</t>
  </si>
  <si>
    <t>cince truepr</t>
  </si>
  <si>
    <t>cincel tolsen</t>
  </si>
  <si>
    <t>compresor vehiculo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</si>
</sst>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1" fillId="10" fontId="5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2.0</v>
      </c>
      <c r="C8" s="7" t="s">
        <v>7</v>
      </c>
      <c r="D8" s="6">
        <v>84.0</v>
      </c>
      <c r="E8" s="8">
        <v>46283.37029770833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/>
      <c r="C9" s="7" t="s">
        <v>8</v>
      </c>
      <c r="D9" s="6">
        <v>4.0</v>
      </c>
      <c r="E9" s="8">
        <v>46283.37623248843</v>
      </c>
      <c r="F9" s="2"/>
      <c r="G9" s="9" t="s">
        <v>9</v>
      </c>
      <c r="H9" s="10">
        <v>78.0</v>
      </c>
      <c r="I9" s="2"/>
      <c r="J9" s="9" t="s">
        <v>10</v>
      </c>
      <c r="K9" s="10">
        <v>535.0</v>
      </c>
      <c r="L9" s="2"/>
      <c r="M9" s="2"/>
      <c r="N9" s="2"/>
      <c r="O9" s="2"/>
      <c r="P9" s="2"/>
      <c r="Q9" s="2"/>
    </row>
    <row r="10" ht="22.5" customHeight="1">
      <c r="A10" s="6"/>
      <c r="B10" s="6"/>
      <c r="C10" s="7" t="s">
        <v>11</v>
      </c>
      <c r="D10" s="6">
        <v>6.0</v>
      </c>
      <c r="E10" s="8">
        <v>46283.37627501157</v>
      </c>
      <c r="F10" s="2"/>
      <c r="G10" s="9" t="s">
        <v>12</v>
      </c>
      <c r="H10" s="10">
        <v>520.0</v>
      </c>
      <c r="I10" s="2"/>
      <c r="J10" s="9" t="s">
        <v>13</v>
      </c>
      <c r="K10" s="11">
        <f>SUM(PRINCIPAL[TOTAL])</f>
        <v>3161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10.0</v>
      </c>
      <c r="C11" s="7" t="s">
        <v>14</v>
      </c>
      <c r="D11" s="6">
        <v>35.0</v>
      </c>
      <c r="E11" s="8">
        <v>46283.37632703704</v>
      </c>
      <c r="F11" s="2"/>
      <c r="G11" s="9" t="s">
        <v>15</v>
      </c>
      <c r="H11" s="10">
        <v>1450.0</v>
      </c>
      <c r="I11" s="2"/>
      <c r="J11" s="9" t="s">
        <v>16</v>
      </c>
      <c r="K11" s="10">
        <v>300.0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390.0</v>
      </c>
      <c r="E12" s="8">
        <v>46283.37646935185</v>
      </c>
      <c r="F12" s="2"/>
      <c r="G12" s="9" t="s">
        <v>18</v>
      </c>
      <c r="H12" s="12">
        <f>SUM(G24:H361)</f>
        <v>1867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17.0</v>
      </c>
      <c r="E13" s="8">
        <v>46283.37653109954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72.0</v>
      </c>
      <c r="E14" s="8">
        <v>46283.37658420139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78.0</v>
      </c>
      <c r="E15" s="8">
        <v>46283.37679369213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72.0</v>
      </c>
      <c r="E16" s="8">
        <v>46283.376841087964</v>
      </c>
      <c r="F16" s="2"/>
      <c r="G16" s="15" t="s">
        <v>25</v>
      </c>
      <c r="H16" s="16">
        <f>SUM(H9:H14)</f>
        <v>3915</v>
      </c>
      <c r="I16" s="3"/>
      <c r="J16" s="15" t="s">
        <v>26</v>
      </c>
      <c r="K16" s="16">
        <f>SUM(K9:K11)</f>
        <v>3996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20.0</v>
      </c>
      <c r="E17" s="8">
        <v>46283.3768728125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19.0</v>
      </c>
      <c r="E18" s="8">
        <v>46283.377022071756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81,00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45.0</v>
      </c>
      <c r="E19" s="8">
        <v>46283.377071759256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57.0</v>
      </c>
      <c r="E20" s="8">
        <v>46283.37711923612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16.0</v>
      </c>
      <c r="E21" s="8">
        <v>46283.39969990741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35.0</v>
      </c>
      <c r="E22" s="8">
        <v>46283.40599625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6.0</v>
      </c>
      <c r="E23" s="8">
        <v>46283.40605431713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2.0</v>
      </c>
      <c r="C24" s="7" t="s">
        <v>37</v>
      </c>
      <c r="D24" s="6">
        <v>216.0</v>
      </c>
      <c r="E24" s="8">
        <v>46283.40923506944</v>
      </c>
      <c r="F24" s="2"/>
      <c r="G24" s="22">
        <v>815.0</v>
      </c>
      <c r="H24" s="23"/>
      <c r="I24" s="2"/>
      <c r="J24" s="24" t="s">
        <v>38</v>
      </c>
      <c r="K24" s="25">
        <f>SUM(INGRESOS_YAPE[])</f>
        <v>1867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39</v>
      </c>
      <c r="D25" s="6">
        <v>20.0</v>
      </c>
      <c r="E25" s="8">
        <v>46283.41403056713</v>
      </c>
      <c r="F25" s="2"/>
      <c r="G25" s="22">
        <v>216.0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40</v>
      </c>
      <c r="D26" s="6">
        <v>40.0</v>
      </c>
      <c r="E26" s="8">
        <v>46283.41614151621</v>
      </c>
      <c r="F26" s="2"/>
      <c r="G26" s="26">
        <v>187.0</v>
      </c>
      <c r="H26" s="23"/>
      <c r="I26" s="2"/>
      <c r="J26" s="27" t="s">
        <v>41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3.0</v>
      </c>
      <c r="C27" s="7" t="s">
        <v>42</v>
      </c>
      <c r="D27" s="6">
        <v>72.0</v>
      </c>
      <c r="E27" s="8">
        <v>46283.4161952662</v>
      </c>
      <c r="F27" s="2"/>
      <c r="G27" s="22">
        <v>21.5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43</v>
      </c>
      <c r="D28" s="6">
        <v>75.0</v>
      </c>
      <c r="E28" s="8">
        <v>46283.41652423611</v>
      </c>
      <c r="F28" s="2"/>
      <c r="G28" s="22">
        <v>84.0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44</v>
      </c>
      <c r="D29" s="6">
        <v>28.0</v>
      </c>
      <c r="E29" s="8">
        <v>46283.41831775463</v>
      </c>
      <c r="F29" s="2"/>
      <c r="G29" s="22">
        <v>6.5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1867,00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45</v>
      </c>
      <c r="D30" s="6">
        <v>27.0</v>
      </c>
      <c r="E30" s="8">
        <v>46283.43395803241</v>
      </c>
      <c r="F30" s="2"/>
      <c r="G30" s="22">
        <v>17.0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46</v>
      </c>
      <c r="D31" s="30">
        <v>8.0</v>
      </c>
      <c r="E31" s="8">
        <v>46283.434040196764</v>
      </c>
      <c r="F31" s="2"/>
      <c r="G31" s="22">
        <v>10.0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12.0</v>
      </c>
      <c r="C32" s="7" t="s">
        <v>47</v>
      </c>
      <c r="D32" s="6">
        <v>21.5</v>
      </c>
      <c r="E32" s="8">
        <v>46283.456229965275</v>
      </c>
      <c r="F32" s="2"/>
      <c r="G32" s="22">
        <v>185.0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3.0</v>
      </c>
      <c r="C33" s="7" t="s">
        <v>48</v>
      </c>
      <c r="D33" s="6">
        <v>36.0</v>
      </c>
      <c r="E33" s="8">
        <v>46283.46634425926</v>
      </c>
      <c r="F33" s="2"/>
      <c r="G33" s="22">
        <v>10.0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49</v>
      </c>
      <c r="D34" s="6">
        <v>3.0</v>
      </c>
      <c r="E34" s="8">
        <v>46283.466584050926</v>
      </c>
      <c r="F34" s="2"/>
      <c r="G34" s="22">
        <v>315.0</v>
      </c>
      <c r="H34" s="23"/>
      <c r="I34" s="2"/>
      <c r="J34" s="31" t="s">
        <v>50</v>
      </c>
      <c r="K34" s="31" t="s">
        <v>51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52</v>
      </c>
      <c r="D35" s="6">
        <v>20.0</v>
      </c>
      <c r="E35" s="8">
        <v>46283.466753726854</v>
      </c>
      <c r="F35" s="2"/>
      <c r="G35" s="23"/>
      <c r="H35" s="23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53</v>
      </c>
      <c r="D36" s="6">
        <v>8.0</v>
      </c>
      <c r="E36" s="8">
        <v>46283.49966376157</v>
      </c>
      <c r="F36" s="2"/>
      <c r="G36" s="23"/>
      <c r="H36" s="23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54</v>
      </c>
      <c r="D37" s="6">
        <v>58.0</v>
      </c>
      <c r="E37" s="8">
        <v>46283.503278460645</v>
      </c>
      <c r="F37" s="2"/>
      <c r="G37" s="23"/>
      <c r="H37" s="23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55</v>
      </c>
      <c r="D38" s="6">
        <v>26.0</v>
      </c>
      <c r="E38" s="8">
        <v>46283.503373796295</v>
      </c>
      <c r="F38" s="2"/>
      <c r="G38" s="23"/>
      <c r="H38" s="23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56</v>
      </c>
      <c r="D39" s="6">
        <v>12.0</v>
      </c>
      <c r="E39" s="8">
        <v>46283.507838715275</v>
      </c>
      <c r="F39" s="2"/>
      <c r="G39" s="23"/>
      <c r="H39" s="23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>
        <v>5.0</v>
      </c>
      <c r="C40" s="7" t="s">
        <v>57</v>
      </c>
      <c r="D40" s="6">
        <v>40.0</v>
      </c>
      <c r="E40" s="8">
        <v>46283.56384275463</v>
      </c>
      <c r="F40" s="2"/>
      <c r="G40" s="23"/>
      <c r="H40" s="23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58</v>
      </c>
      <c r="D41" s="6">
        <v>9.0</v>
      </c>
      <c r="E41" s="8">
        <v>46283.52271643518</v>
      </c>
      <c r="F41" s="2"/>
      <c r="G41" s="23"/>
      <c r="H41" s="23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59</v>
      </c>
      <c r="D42" s="6">
        <v>41.0</v>
      </c>
      <c r="E42" s="8">
        <v>46283.56389356482</v>
      </c>
      <c r="F42" s="2"/>
      <c r="G42" s="23"/>
      <c r="H42" s="23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2.0</v>
      </c>
      <c r="C43" s="7" t="s">
        <v>60</v>
      </c>
      <c r="D43" s="6">
        <v>30.0</v>
      </c>
      <c r="E43" s="8">
        <v>46283.56689582176</v>
      </c>
      <c r="F43" s="2"/>
      <c r="G43" s="23"/>
      <c r="H43" s="23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61</v>
      </c>
      <c r="D44" s="6">
        <v>38.0</v>
      </c>
      <c r="E44" s="8">
        <v>46283.5669578125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62</v>
      </c>
      <c r="D45" s="6">
        <v>24.0</v>
      </c>
      <c r="E45" s="8">
        <v>46283.57143603009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63</v>
      </c>
      <c r="D46" s="6">
        <v>8.0</v>
      </c>
      <c r="E46" s="8">
        <v>46283.5715496875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64</v>
      </c>
      <c r="D47" s="6">
        <v>6.5</v>
      </c>
      <c r="E47" s="8">
        <v>46283.582200219906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3.0</v>
      </c>
      <c r="C48" s="7" t="s">
        <v>65</v>
      </c>
      <c r="D48" s="6">
        <v>72.0</v>
      </c>
      <c r="E48" s="8">
        <v>46283.591191898144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 t="s">
        <v>66</v>
      </c>
      <c r="C49" s="7" t="s">
        <v>67</v>
      </c>
      <c r="D49" s="6">
        <v>15.0</v>
      </c>
      <c r="E49" s="8">
        <v>46283.62563604167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68</v>
      </c>
      <c r="D50" s="6">
        <v>89.0</v>
      </c>
      <c r="E50" s="8">
        <v>46283.62788829861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69</v>
      </c>
      <c r="D51" s="6">
        <v>17.0</v>
      </c>
      <c r="E51" s="8">
        <v>46283.63435255787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70</v>
      </c>
      <c r="D52" s="6">
        <v>45.0</v>
      </c>
      <c r="E52" s="8">
        <v>46283.669757361116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71</v>
      </c>
      <c r="D53" s="6">
        <v>16.0</v>
      </c>
      <c r="E53" s="8">
        <v>46283.670220266205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2.0</v>
      </c>
      <c r="C54" s="7" t="s">
        <v>72</v>
      </c>
      <c r="D54" s="30">
        <v>34.0</v>
      </c>
      <c r="E54" s="8">
        <v>46283.669991145835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10.0</v>
      </c>
      <c r="C55" s="7" t="s">
        <v>73</v>
      </c>
      <c r="D55" s="6">
        <v>80.0</v>
      </c>
      <c r="E55" s="8">
        <v>46283.67590648148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74</v>
      </c>
      <c r="D56" s="6">
        <v>14.0</v>
      </c>
      <c r="E56" s="8">
        <v>46283.681203796295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 t="s">
        <v>75</v>
      </c>
      <c r="C57" s="7" t="s">
        <v>76</v>
      </c>
      <c r="D57" s="6">
        <v>168.0</v>
      </c>
      <c r="E57" s="8">
        <v>46283.6812894676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9.0</v>
      </c>
      <c r="C58" s="7" t="s">
        <v>77</v>
      </c>
      <c r="D58" s="6">
        <v>18.0</v>
      </c>
      <c r="E58" s="8">
        <v>46283.68153528935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78</v>
      </c>
      <c r="D59" s="30">
        <v>30.0</v>
      </c>
      <c r="E59" s="8">
        <v>46283.68160697917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79</v>
      </c>
      <c r="D60" s="6">
        <v>10.0</v>
      </c>
      <c r="E60" s="8">
        <v>46283.692679224536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80</v>
      </c>
      <c r="D61" s="6">
        <v>105.0</v>
      </c>
      <c r="E61" s="8">
        <v>46283.71567446759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 t="s">
        <v>81</v>
      </c>
      <c r="C62" s="7" t="s">
        <v>82</v>
      </c>
      <c r="D62" s="6">
        <v>28.0</v>
      </c>
      <c r="E62" s="8">
        <v>46283.72173640046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83</v>
      </c>
      <c r="D63" s="6">
        <v>185.0</v>
      </c>
      <c r="E63" s="8">
        <v>46283.7226000463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4.0</v>
      </c>
      <c r="C64" s="7" t="s">
        <v>47</v>
      </c>
      <c r="D64" s="6">
        <v>10.0</v>
      </c>
      <c r="E64" s="8">
        <v>46283.723878495366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84</v>
      </c>
      <c r="D65" s="6">
        <v>12.0</v>
      </c>
      <c r="E65" s="8">
        <v>46283.72919024306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85</v>
      </c>
      <c r="D66" s="6">
        <v>40.0</v>
      </c>
      <c r="E66" s="8">
        <v>46283.737345625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86</v>
      </c>
      <c r="D67" s="6">
        <v>35.0</v>
      </c>
      <c r="E67" s="8">
        <v>46283.737423252314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87</v>
      </c>
      <c r="D68" s="6">
        <v>315.0</v>
      </c>
      <c r="E68" s="8">
        <v>46283.743454317126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34"/>
      <c r="D69" s="35"/>
      <c r="E69" s="36"/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34"/>
      <c r="D70" s="35"/>
      <c r="E70" s="36"/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34"/>
      <c r="D71" s="35"/>
      <c r="E71" s="36"/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34"/>
      <c r="D72" s="35"/>
      <c r="E72" s="36"/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34"/>
      <c r="D73" s="35"/>
      <c r="E73" s="36"/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34"/>
      <c r="D74" s="35"/>
      <c r="E74" s="36"/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4"/>
      <c r="D75" s="35"/>
      <c r="E75" s="36"/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4"/>
      <c r="D76" s="35"/>
      <c r="E76" s="36"/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4"/>
      <c r="D77" s="35"/>
      <c r="E77" s="36"/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4"/>
      <c r="D78" s="35"/>
      <c r="E78" s="36"/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4"/>
      <c r="D79" s="35"/>
      <c r="E79" s="36"/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4"/>
      <c r="D80" s="35"/>
      <c r="E80" s="36"/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4"/>
      <c r="D81" s="35"/>
      <c r="E81" s="36"/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4"/>
      <c r="D82" s="35"/>
      <c r="E82" s="36"/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4"/>
      <c r="D83" s="35"/>
      <c r="E83" s="36"/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4"/>
      <c r="D84" s="35"/>
      <c r="E84" s="36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4"/>
      <c r="D85" s="35"/>
      <c r="E85" s="36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4"/>
      <c r="D86" s="35"/>
      <c r="E86" s="36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4"/>
      <c r="D87" s="35"/>
      <c r="E87" s="36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4"/>
      <c r="D88" s="35"/>
      <c r="E88" s="36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4"/>
      <c r="D89" s="35"/>
      <c r="E89" s="36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4"/>
      <c r="D90" s="35"/>
      <c r="E90" s="36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4"/>
      <c r="D91" s="35"/>
      <c r="E91" s="36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4"/>
      <c r="D92" s="35"/>
      <c r="E92" s="36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4"/>
      <c r="D93" s="35"/>
      <c r="E93" s="36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4"/>
      <c r="D94" s="35"/>
      <c r="E94" s="36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5"/>
      <c r="E95" s="36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5"/>
      <c r="E96" s="36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5"/>
      <c r="E97" s="36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5"/>
      <c r="E98" s="36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5"/>
      <c r="E99" s="36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5"/>
      <c r="E100" s="36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6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6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6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6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6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6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6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6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6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6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6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6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6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