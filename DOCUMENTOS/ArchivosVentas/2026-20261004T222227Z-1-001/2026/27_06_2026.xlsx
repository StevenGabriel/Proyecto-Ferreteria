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<sst xmlns="http://schemas.openxmlformats.org/spreadsheetml/2006/main" count="74" uniqueCount="73">
  <si>
    <t>HOJA DE CALCULO FERRETERIA</t>
  </si>
  <si>
    <t>CODIGO</t>
  </si>
  <si>
    <t>CANTIDAD</t>
  </si>
  <si>
    <t>DESCRIPCION</t>
  </si>
  <si>
    <t>TOTAL</t>
  </si>
  <si>
    <t>HORA</t>
  </si>
  <si>
    <t>CUADRAR</t>
  </si>
  <si>
    <t>singer</t>
  </si>
  <si>
    <t>riel telescopica 35</t>
  </si>
  <si>
    <t>MONEDAS</t>
  </si>
  <si>
    <t>CAJA CHICA</t>
  </si>
  <si>
    <t>tapon hembra 1/2</t>
  </si>
  <si>
    <t>BILLETES 10-20</t>
  </si>
  <si>
    <t>TOTAL VENTAS DIA</t>
  </si>
  <si>
    <t>kl electrodo grueso</t>
  </si>
  <si>
    <t>BILLETES 50-100-200</t>
  </si>
  <si>
    <t>AUMENTO DE DINERO</t>
  </si>
  <si>
    <t>disco corte uyustool</t>
  </si>
  <si>
    <t>INGRESOS YAPE</t>
  </si>
  <si>
    <t>kl electrdo 6013</t>
  </si>
  <si>
    <t>INGRESOS TARJETA</t>
  </si>
  <si>
    <t>espatula tramon</t>
  </si>
  <si>
    <t>GASTOS VARIOS</t>
  </si>
  <si>
    <t>cincel plano</t>
  </si>
  <si>
    <t>cal</t>
  </si>
  <si>
    <t>DINERO GANADO HOY:</t>
  </si>
  <si>
    <t>CANTIDAD DINERO CAJA:</t>
  </si>
  <si>
    <t>engrampadora neumatica</t>
  </si>
  <si>
    <t>grampas 19mm</t>
  </si>
  <si>
    <t>placa simple</t>
  </si>
  <si>
    <t>lavanderia de 2</t>
  </si>
  <si>
    <t>niple 1/2</t>
  </si>
  <si>
    <t>remachadora</t>
  </si>
  <si>
    <t>YAPE MAMÁ</t>
  </si>
  <si>
    <t>YAPE PAPÁ</t>
  </si>
  <si>
    <t>YAPE</t>
  </si>
  <si>
    <t xml:space="preserve">remache </t>
  </si>
  <si>
    <t>Monto Total YAPE (No tocar):</t>
  </si>
  <si>
    <t>arandelas</t>
  </si>
  <si>
    <t>guante nitrilo</t>
  </si>
  <si>
    <t>Monto Total Registrado en aplicacion</t>
  </si>
  <si>
    <t>resstencia lorenzety</t>
  </si>
  <si>
    <t>regletas ultra</t>
  </si>
  <si>
    <t>abraxdera 3/4</t>
  </si>
  <si>
    <t>manguera gas con regulador</t>
  </si>
  <si>
    <t>cabon 246</t>
  </si>
  <si>
    <t>juego llaves alen</t>
  </si>
  <si>
    <t>reparo</t>
  </si>
  <si>
    <t>rtv silic</t>
  </si>
  <si>
    <t>PAGOS YAPE</t>
  </si>
  <si>
    <t>DESCRIPCION PAGO</t>
  </si>
  <si>
    <t>WD40</t>
  </si>
  <si>
    <t>ALICATE PRESION</t>
  </si>
  <si>
    <t>BROCA 13 MM</t>
  </si>
  <si>
    <t>TORNILLO</t>
  </si>
  <si>
    <t>CANDADO</t>
  </si>
  <si>
    <t>TAPON  AUDITIBVO</t>
  </si>
  <si>
    <t>GUANTES TOLSEN</t>
  </si>
  <si>
    <t>CINTA DOBLE TATO</t>
  </si>
  <si>
    <t>PEGAMENTO AKFIX</t>
  </si>
  <si>
    <t>FLEXO 7.5M</t>
  </si>
  <si>
    <t>OCRE</t>
  </si>
  <si>
    <t>RAMPLUS</t>
  </si>
  <si>
    <t>CHIP 4*45</t>
  </si>
  <si>
    <t>CLAVO TRUPER</t>
  </si>
  <si>
    <t>TRAPO</t>
  </si>
  <si>
    <t>GOM PARA TRAPER</t>
  </si>
  <si>
    <t>SELLA ROSA</t>
  </si>
  <si>
    <t>GRIFO ITAP  1/2</t>
  </si>
  <si>
    <t>TEFLO</t>
  </si>
  <si>
    <t>TAPA INOD</t>
  </si>
  <si>
    <t>BALANZA DIGITAL</t>
  </si>
  <si>
    <t>DESTAPACAÑOS TOLSEN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</si>
</sst>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theme="8"/>
        <bgColor theme="8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6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15.0</v>
      </c>
      <c r="E8" s="8">
        <v>46200.37495144676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9">
        <v>25.0</v>
      </c>
      <c r="E9" s="8">
        <v>46200.382921620374</v>
      </c>
      <c r="F9" s="2"/>
      <c r="G9" s="10" t="s">
        <v>9</v>
      </c>
      <c r="H9" s="11">
        <v>115.5</v>
      </c>
      <c r="I9" s="2"/>
      <c r="J9" s="10" t="s">
        <v>10</v>
      </c>
      <c r="K9" s="11">
        <v>623.5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2.5</v>
      </c>
      <c r="E10" s="8">
        <v>46200.385720844904</v>
      </c>
      <c r="F10" s="2"/>
      <c r="G10" s="10" t="s">
        <v>12</v>
      </c>
      <c r="H10" s="11">
        <v>190.0</v>
      </c>
      <c r="I10" s="2"/>
      <c r="J10" s="10" t="s">
        <v>13</v>
      </c>
      <c r="K10" s="12">
        <f>SUM(PRINCIPAL[TOTAL])</f>
        <v>2964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56.0</v>
      </c>
      <c r="E11" s="8">
        <v>46200.407197939814</v>
      </c>
      <c r="F11" s="2"/>
      <c r="G11" s="10" t="s">
        <v>15</v>
      </c>
      <c r="H11" s="11">
        <v>2250.0</v>
      </c>
      <c r="I11" s="2"/>
      <c r="J11" s="10" t="s">
        <v>16</v>
      </c>
      <c r="K11" s="11">
        <v>105.0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9.0</v>
      </c>
      <c r="E12" s="8">
        <v>46200.40725653935</v>
      </c>
      <c r="F12" s="2"/>
      <c r="G12" s="10" t="s">
        <v>18</v>
      </c>
      <c r="H12" s="13">
        <f>SUM(G24:H361)</f>
        <v>1027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3.0</v>
      </c>
      <c r="C13" s="7" t="s">
        <v>19</v>
      </c>
      <c r="D13" s="6">
        <v>192.0</v>
      </c>
      <c r="E13" s="8">
        <v>46200.409768425925</v>
      </c>
      <c r="F13" s="2"/>
      <c r="G13" s="10" t="s">
        <v>20</v>
      </c>
      <c r="H13" s="11">
        <v>142.0</v>
      </c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2.0</v>
      </c>
      <c r="C14" s="7" t="s">
        <v>21</v>
      </c>
      <c r="D14" s="6">
        <v>34.0</v>
      </c>
      <c r="E14" s="8">
        <v>46200.41131660879</v>
      </c>
      <c r="F14" s="2"/>
      <c r="G14" s="10" t="s">
        <v>22</v>
      </c>
      <c r="H14" s="11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2.0</v>
      </c>
      <c r="C15" s="7" t="s">
        <v>23</v>
      </c>
      <c r="D15" s="6">
        <v>36.0</v>
      </c>
      <c r="E15" s="8">
        <v>46200.411426446764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4.0</v>
      </c>
      <c r="C16" s="7" t="s">
        <v>24</v>
      </c>
      <c r="D16" s="6">
        <v>76.0</v>
      </c>
      <c r="E16" s="8">
        <v>46200.41163740741</v>
      </c>
      <c r="F16" s="2"/>
      <c r="G16" s="16" t="s">
        <v>25</v>
      </c>
      <c r="H16" s="17">
        <f>SUM(H9:H14)</f>
        <v>3724.5</v>
      </c>
      <c r="I16" s="3"/>
      <c r="J16" s="16" t="s">
        <v>26</v>
      </c>
      <c r="K16" s="17">
        <f>SUM(K9:K11)</f>
        <v>3692.5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1.0</v>
      </c>
      <c r="C17" s="7" t="s">
        <v>27</v>
      </c>
      <c r="D17" s="6">
        <v>650.0</v>
      </c>
      <c r="E17" s="8">
        <v>46200.420563182866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2.0</v>
      </c>
      <c r="C18" s="7" t="s">
        <v>28</v>
      </c>
      <c r="D18" s="6">
        <v>190.0</v>
      </c>
      <c r="E18" s="8">
        <v>46200.42065619213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32,00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1.0</v>
      </c>
      <c r="C19" s="7" t="s">
        <v>29</v>
      </c>
      <c r="D19" s="6">
        <v>11.5</v>
      </c>
      <c r="E19" s="8">
        <v>46200.43482981481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29</v>
      </c>
      <c r="D20" s="6">
        <v>15.5</v>
      </c>
      <c r="E20" s="8">
        <v>46200.434811342595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30</v>
      </c>
      <c r="D21" s="6">
        <v>270.0</v>
      </c>
      <c r="E21" s="8">
        <v>46200.437996712964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2.0</v>
      </c>
      <c r="C22" s="7" t="s">
        <v>31</v>
      </c>
      <c r="D22" s="6">
        <v>4.0</v>
      </c>
      <c r="E22" s="8">
        <v>46200.43818549768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1.0</v>
      </c>
      <c r="C23" s="7" t="s">
        <v>32</v>
      </c>
      <c r="D23" s="6">
        <v>90.0</v>
      </c>
      <c r="E23" s="8">
        <v>46200.462237025466</v>
      </c>
      <c r="F23" s="2"/>
      <c r="G23" s="20" t="s">
        <v>33</v>
      </c>
      <c r="H23" s="20" t="s">
        <v>34</v>
      </c>
      <c r="I23" s="2"/>
      <c r="J23" s="21" t="s">
        <v>35</v>
      </c>
      <c r="L23" s="22"/>
      <c r="M23" s="2"/>
      <c r="N23" s="2"/>
      <c r="O23" s="2"/>
      <c r="P23" s="2"/>
      <c r="Q23" s="2"/>
    </row>
    <row r="24" ht="22.5" customHeight="1">
      <c r="A24" s="14"/>
      <c r="B24" s="6">
        <v>48.0</v>
      </c>
      <c r="C24" s="7" t="s">
        <v>36</v>
      </c>
      <c r="D24" s="6">
        <v>18.0</v>
      </c>
      <c r="E24" s="8">
        <v>46200.462348402776</v>
      </c>
      <c r="F24" s="2"/>
      <c r="G24" s="23">
        <v>274.0</v>
      </c>
      <c r="H24" s="24"/>
      <c r="I24" s="2"/>
      <c r="J24" s="25" t="s">
        <v>37</v>
      </c>
      <c r="K24" s="26">
        <f>SUM(INGRESOS_YAPE[])</f>
        <v>1027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48.0</v>
      </c>
      <c r="C25" s="7" t="s">
        <v>38</v>
      </c>
      <c r="D25" s="6">
        <v>6.0</v>
      </c>
      <c r="E25" s="8">
        <v>46200.46243775463</v>
      </c>
      <c r="F25" s="2"/>
      <c r="G25" s="23">
        <v>108.0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>
        <v>4.0</v>
      </c>
      <c r="C26" s="7" t="s">
        <v>39</v>
      </c>
      <c r="D26" s="6">
        <v>8.0</v>
      </c>
      <c r="E26" s="8">
        <v>46200.46256619213</v>
      </c>
      <c r="F26" s="2"/>
      <c r="G26" s="27">
        <v>72.0</v>
      </c>
      <c r="H26" s="24"/>
      <c r="I26" s="2"/>
      <c r="J26" s="28" t="s">
        <v>40</v>
      </c>
      <c r="K26" s="29"/>
      <c r="L26" s="2"/>
      <c r="M26" s="2"/>
      <c r="N26" s="2"/>
      <c r="O26" s="2"/>
      <c r="P26" s="2"/>
      <c r="Q26" s="2"/>
    </row>
    <row r="27" ht="22.5" customHeight="1">
      <c r="A27" s="14"/>
      <c r="B27" s="6">
        <v>4.0</v>
      </c>
      <c r="C27" s="7" t="s">
        <v>41</v>
      </c>
      <c r="D27" s="6">
        <v>108.0</v>
      </c>
      <c r="E27" s="8">
        <v>46200.4762633912</v>
      </c>
      <c r="F27" s="2"/>
      <c r="G27" s="23">
        <v>32.0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2.0</v>
      </c>
      <c r="C28" s="7" t="s">
        <v>42</v>
      </c>
      <c r="D28" s="6">
        <v>32.0</v>
      </c>
      <c r="E28" s="8">
        <v>46200.48106898148</v>
      </c>
      <c r="F28" s="2"/>
      <c r="G28" s="23">
        <v>2.0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1.0</v>
      </c>
      <c r="C29" s="7" t="s">
        <v>43</v>
      </c>
      <c r="D29" s="6">
        <v>3.0</v>
      </c>
      <c r="E29" s="8">
        <v>46200.48181902777</v>
      </c>
      <c r="F29" s="2"/>
      <c r="G29" s="23">
        <v>20.0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1027,00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1.0</v>
      </c>
      <c r="C30" s="7" t="s">
        <v>44</v>
      </c>
      <c r="D30" s="6">
        <v>69.0</v>
      </c>
      <c r="E30" s="8">
        <v>46200.48189234953</v>
      </c>
      <c r="F30" s="2"/>
      <c r="G30" s="23">
        <v>155.0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45</v>
      </c>
      <c r="D31" s="6">
        <v>20.0</v>
      </c>
      <c r="E31" s="8">
        <v>46200.49060263889</v>
      </c>
      <c r="F31" s="2"/>
      <c r="G31" s="23">
        <v>64.0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1.0</v>
      </c>
      <c r="C32" s="7" t="s">
        <v>46</v>
      </c>
      <c r="D32" s="6">
        <v>65.0</v>
      </c>
      <c r="E32" s="8">
        <v>46200.50098643519</v>
      </c>
      <c r="F32" s="2"/>
      <c r="G32" s="23">
        <v>20.0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4.0</v>
      </c>
      <c r="C33" s="7" t="s">
        <v>47</v>
      </c>
      <c r="D33" s="9">
        <v>24.0</v>
      </c>
      <c r="E33" s="8">
        <v>46200.51067502315</v>
      </c>
      <c r="F33" s="2"/>
      <c r="G33" s="23">
        <v>183.0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1.0</v>
      </c>
      <c r="C34" s="7" t="s">
        <v>48</v>
      </c>
      <c r="D34" s="6">
        <v>20.0</v>
      </c>
      <c r="E34" s="8">
        <v>46200.527643090274</v>
      </c>
      <c r="F34" s="2"/>
      <c r="G34" s="23">
        <v>97.0</v>
      </c>
      <c r="H34" s="24"/>
      <c r="I34" s="2"/>
      <c r="J34" s="31" t="s">
        <v>49</v>
      </c>
      <c r="K34" s="31" t="s">
        <v>50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1.0</v>
      </c>
      <c r="C35" s="7" t="s">
        <v>51</v>
      </c>
      <c r="D35" s="6">
        <v>95.0</v>
      </c>
      <c r="E35" s="8">
        <v>46200.53111221065</v>
      </c>
      <c r="F35" s="2"/>
      <c r="G35" s="24"/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4"/>
      <c r="B36" s="6">
        <v>1.0</v>
      </c>
      <c r="C36" s="7" t="s">
        <v>52</v>
      </c>
      <c r="D36" s="6">
        <v>60.0</v>
      </c>
      <c r="E36" s="8">
        <v>46200.52989075231</v>
      </c>
      <c r="F36" s="2"/>
      <c r="G36" s="24"/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53</v>
      </c>
      <c r="D37" s="6">
        <v>28.0</v>
      </c>
      <c r="E37" s="8">
        <v>46200.5323103125</v>
      </c>
      <c r="F37" s="2"/>
      <c r="G37" s="24"/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4"/>
      <c r="B38" s="6">
        <v>2.0</v>
      </c>
      <c r="C38" s="7" t="s">
        <v>54</v>
      </c>
      <c r="D38" s="9">
        <v>0.5</v>
      </c>
      <c r="E38" s="8">
        <v>46200.53266321759</v>
      </c>
      <c r="F38" s="2"/>
      <c r="G38" s="24"/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4"/>
      <c r="B39" s="6">
        <v>1.0</v>
      </c>
      <c r="C39" s="7" t="s">
        <v>55</v>
      </c>
      <c r="D39" s="6">
        <v>26.0</v>
      </c>
      <c r="E39" s="8">
        <v>46200.53366396991</v>
      </c>
      <c r="F39" s="2"/>
      <c r="G39" s="24"/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4"/>
      <c r="B40" s="6">
        <v>4.0</v>
      </c>
      <c r="C40" s="7" t="s">
        <v>56</v>
      </c>
      <c r="D40" s="6">
        <v>24.0</v>
      </c>
      <c r="E40" s="8">
        <v>46200.546278229165</v>
      </c>
      <c r="F40" s="2"/>
      <c r="G40" s="24"/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4"/>
      <c r="B41" s="6">
        <v>4.0</v>
      </c>
      <c r="C41" s="7" t="s">
        <v>57</v>
      </c>
      <c r="D41" s="6">
        <v>40.0</v>
      </c>
      <c r="E41" s="8">
        <v>46200.546554953704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4"/>
      <c r="B42" s="6">
        <v>1.0</v>
      </c>
      <c r="C42" s="7" t="s">
        <v>58</v>
      </c>
      <c r="D42" s="6">
        <v>49.0</v>
      </c>
      <c r="E42" s="8">
        <v>46200.54727230324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4"/>
      <c r="B43" s="6">
        <v>1.0</v>
      </c>
      <c r="C43" s="7" t="s">
        <v>59</v>
      </c>
      <c r="D43" s="6">
        <v>34.0</v>
      </c>
      <c r="E43" s="8">
        <v>46200.584018113426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4"/>
      <c r="B44" s="6">
        <v>1.0</v>
      </c>
      <c r="C44" s="7" t="s">
        <v>60</v>
      </c>
      <c r="D44" s="6">
        <v>33.0</v>
      </c>
      <c r="E44" s="8">
        <v>46200.594521562496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1.0</v>
      </c>
      <c r="C45" s="7" t="s">
        <v>61</v>
      </c>
      <c r="D45" s="6">
        <v>6.0</v>
      </c>
      <c r="E45" s="8">
        <v>46200.59638657408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12.0</v>
      </c>
      <c r="C46" s="7" t="s">
        <v>62</v>
      </c>
      <c r="D46" s="6">
        <v>1.0</v>
      </c>
      <c r="E46" s="8">
        <v>46200.60422309028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36.0</v>
      </c>
      <c r="C47" s="7" t="s">
        <v>63</v>
      </c>
      <c r="D47" s="6">
        <v>9.0</v>
      </c>
      <c r="E47" s="8">
        <v>46200.607522754624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1.0</v>
      </c>
      <c r="C48" s="7" t="s">
        <v>64</v>
      </c>
      <c r="D48" s="6">
        <v>50.0</v>
      </c>
      <c r="E48" s="8">
        <v>46200.60954431713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1.0</v>
      </c>
      <c r="C49" s="7" t="s">
        <v>65</v>
      </c>
      <c r="D49" s="6">
        <v>8.0</v>
      </c>
      <c r="E49" s="8">
        <v>46200.61412640046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1.0</v>
      </c>
      <c r="C50" s="7" t="s">
        <v>66</v>
      </c>
      <c r="D50" s="6">
        <v>9.0</v>
      </c>
      <c r="E50" s="8">
        <v>46200.61417332176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1.0</v>
      </c>
      <c r="C51" s="7" t="s">
        <v>67</v>
      </c>
      <c r="D51" s="6">
        <v>20.0</v>
      </c>
      <c r="E51" s="8">
        <v>46200.617905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2.0</v>
      </c>
      <c r="C52" s="7" t="s">
        <v>68</v>
      </c>
      <c r="D52" s="6">
        <v>180.0</v>
      </c>
      <c r="E52" s="8">
        <v>46200.62538405093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1.0</v>
      </c>
      <c r="C53" s="7" t="s">
        <v>69</v>
      </c>
      <c r="D53" s="6">
        <v>3.0</v>
      </c>
      <c r="E53" s="8">
        <v>46200.625459375005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1.0</v>
      </c>
      <c r="C54" s="7" t="s">
        <v>70</v>
      </c>
      <c r="D54" s="6">
        <v>97.0</v>
      </c>
      <c r="E54" s="8">
        <v>46200.62882724537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1.0</v>
      </c>
      <c r="C55" s="7" t="s">
        <v>71</v>
      </c>
      <c r="D55" s="6">
        <v>107.0</v>
      </c>
      <c r="E55" s="8">
        <v>46200.66738322917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1.0</v>
      </c>
      <c r="C56" s="7" t="s">
        <v>72</v>
      </c>
      <c r="D56" s="6">
        <v>35.0</v>
      </c>
      <c r="E56" s="8">
        <v>46200.66746564815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14"/>
      <c r="C57" s="34"/>
      <c r="D57" s="35"/>
      <c r="E57" s="36"/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14"/>
      <c r="C58" s="34"/>
      <c r="D58" s="35"/>
      <c r="E58" s="36"/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14"/>
      <c r="C59" s="34"/>
      <c r="D59" s="35"/>
      <c r="E59" s="36"/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14"/>
      <c r="C60" s="34"/>
      <c r="D60" s="35"/>
      <c r="E60" s="36"/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14"/>
      <c r="C61" s="34"/>
      <c r="D61" s="35"/>
      <c r="E61" s="36"/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14"/>
      <c r="C62" s="34"/>
      <c r="D62" s="35"/>
      <c r="E62" s="36"/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14"/>
      <c r="C63" s="34"/>
      <c r="D63" s="35"/>
      <c r="E63" s="36"/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14"/>
      <c r="C64" s="34"/>
      <c r="D64" s="35"/>
      <c r="E64" s="36"/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14"/>
      <c r="C65" s="34"/>
      <c r="D65" s="35"/>
      <c r="E65" s="36"/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14"/>
      <c r="C66" s="34"/>
      <c r="D66" s="35"/>
      <c r="E66" s="36"/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14"/>
      <c r="C67" s="34"/>
      <c r="D67" s="35"/>
      <c r="E67" s="36"/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14"/>
      <c r="C68" s="34"/>
      <c r="D68" s="35"/>
      <c r="E68" s="36"/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14"/>
      <c r="C69" s="34"/>
      <c r="D69" s="35"/>
      <c r="E69" s="36"/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14"/>
      <c r="C70" s="34"/>
      <c r="D70" s="35"/>
      <c r="E70" s="36"/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14"/>
      <c r="C71" s="34"/>
      <c r="D71" s="35"/>
      <c r="E71" s="36"/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14"/>
      <c r="C72" s="34"/>
      <c r="D72" s="35"/>
      <c r="E72" s="36"/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14"/>
      <c r="C73" s="34"/>
      <c r="D73" s="35"/>
      <c r="E73" s="36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14"/>
      <c r="C74" s="34"/>
      <c r="D74" s="35"/>
      <c r="E74" s="36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14"/>
      <c r="C75" s="34"/>
      <c r="D75" s="35"/>
      <c r="E75" s="36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14"/>
      <c r="C76" s="34"/>
      <c r="D76" s="35"/>
      <c r="E76" s="36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14"/>
      <c r="C77" s="34"/>
      <c r="D77" s="35"/>
      <c r="E77" s="36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14"/>
      <c r="C78" s="34"/>
      <c r="D78" s="35"/>
      <c r="E78" s="36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14"/>
      <c r="C79" s="34"/>
      <c r="D79" s="35"/>
      <c r="E79" s="36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14"/>
      <c r="C80" s="34"/>
      <c r="D80" s="35"/>
      <c r="E80" s="36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14"/>
      <c r="C81" s="34"/>
      <c r="D81" s="35"/>
      <c r="E81" s="36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14"/>
      <c r="C82" s="34"/>
      <c r="D82" s="35"/>
      <c r="E82" s="36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14"/>
      <c r="C83" s="34"/>
      <c r="D83" s="35"/>
      <c r="E83" s="36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14"/>
      <c r="C84" s="34"/>
      <c r="D84" s="35"/>
      <c r="E84" s="36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14"/>
      <c r="C85" s="34"/>
      <c r="D85" s="35"/>
      <c r="E85" s="36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14"/>
      <c r="C86" s="34"/>
      <c r="D86" s="35"/>
      <c r="E86" s="36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14"/>
      <c r="C87" s="34"/>
      <c r="D87" s="35"/>
      <c r="E87" s="36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14"/>
      <c r="C88" s="34"/>
      <c r="D88" s="35"/>
      <c r="E88" s="36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14"/>
      <c r="C89" s="34"/>
      <c r="D89" s="35"/>
      <c r="E89" s="36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14"/>
      <c r="C90" s="34"/>
      <c r="D90" s="35"/>
      <c r="E90" s="36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14"/>
      <c r="C91" s="34"/>
      <c r="D91" s="35"/>
      <c r="E91" s="36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14"/>
      <c r="C92" s="34"/>
      <c r="D92" s="35"/>
      <c r="E92" s="36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14"/>
      <c r="C93" s="34"/>
      <c r="D93" s="35"/>
      <c r="E93" s="36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14"/>
      <c r="C94" s="34"/>
      <c r="D94" s="35"/>
      <c r="E94" s="36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14"/>
      <c r="C95" s="34"/>
      <c r="D95" s="35"/>
      <c r="E95" s="36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14"/>
      <c r="C96" s="34"/>
      <c r="D96" s="35"/>
      <c r="E96" s="36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14"/>
      <c r="C97" s="34"/>
      <c r="D97" s="35"/>
      <c r="E97" s="36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14"/>
      <c r="C98" s="34"/>
      <c r="D98" s="35"/>
      <c r="E98" s="36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14"/>
      <c r="C99" s="34"/>
      <c r="D99" s="35"/>
      <c r="E99" s="36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14"/>
      <c r="C100" s="34"/>
      <c r="D100" s="35"/>
      <c r="E100" s="36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14"/>
      <c r="C101" s="34"/>
      <c r="D101" s="35"/>
      <c r="E101" s="36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34"/>
      <c r="D102" s="35"/>
      <c r="E102" s="36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34"/>
      <c r="D103" s="35"/>
      <c r="E103" s="36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34"/>
      <c r="D104" s="35"/>
      <c r="E104" s="36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34"/>
      <c r="D105" s="35"/>
      <c r="E105" s="36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4"/>
      <c r="D106" s="35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4"/>
      <c r="D107" s="35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4"/>
      <c r="D108" s="35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4"/>
      <c r="D109" s="35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4"/>
      <c r="D110" s="35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4"/>
      <c r="D111" s="35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4"/>
      <c r="D112" s="35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4"/>
      <c r="D113" s="35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4"/>
      <c r="D114" s="35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4"/>
      <c r="D115" s="35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4"/>
      <c r="D116" s="35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