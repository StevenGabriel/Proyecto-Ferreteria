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<sst xmlns="http://schemas.openxmlformats.org/spreadsheetml/2006/main" count="133" uniqueCount="130">
  <si>
    <t>HOJA DE CALCULO FERRETERIA</t>
  </si>
  <si>
    <t>CODIGO</t>
  </si>
  <si>
    <t>CANTIDAD</t>
  </si>
  <si>
    <t>DESCRIPCION</t>
  </si>
  <si>
    <t>TOTAL</t>
  </si>
  <si>
    <t>HORA</t>
  </si>
  <si>
    <t>CUADRAR</t>
  </si>
  <si>
    <t>broca fierro debor 5 mm</t>
  </si>
  <si>
    <t>burlete 80 cm</t>
  </si>
  <si>
    <t>MONEDAS</t>
  </si>
  <si>
    <t>CAJA CHICA</t>
  </si>
  <si>
    <t xml:space="preserve">clefa </t>
  </si>
  <si>
    <t>BILLETES 10-20</t>
  </si>
  <si>
    <t>TOTAL VENTAS DIA</t>
  </si>
  <si>
    <t>clefa 1l</t>
  </si>
  <si>
    <t>BILLETES 50-100-200</t>
  </si>
  <si>
    <t>AUMENTO DE DINERO</t>
  </si>
  <si>
    <t>engrampadora</t>
  </si>
  <si>
    <t>INGRESOS YAPE</t>
  </si>
  <si>
    <t>juego sierra de caladora</t>
  </si>
  <si>
    <t>INGRESOS TARJETA</t>
  </si>
  <si>
    <t>lapiz bicolor</t>
  </si>
  <si>
    <t>GASTOS VARIOS</t>
  </si>
  <si>
    <t>lente para soldar</t>
  </si>
  <si>
    <t>pie de amigo</t>
  </si>
  <si>
    <t>DINERO GANADO HOY:</t>
  </si>
  <si>
    <t>CANTIDAD DINERO CAJA:</t>
  </si>
  <si>
    <t>chip 4 x 16</t>
  </si>
  <si>
    <t>lija 2000</t>
  </si>
  <si>
    <t>clavija ultra</t>
  </si>
  <si>
    <t>automatico</t>
  </si>
  <si>
    <t>teflon</t>
  </si>
  <si>
    <t>1kl</t>
  </si>
  <si>
    <t>carburo</t>
  </si>
  <si>
    <t>cnta embalaje</t>
  </si>
  <si>
    <t>YAPE MAMÁ</t>
  </si>
  <si>
    <t>YAPE PAPÁ</t>
  </si>
  <si>
    <t>1par</t>
  </si>
  <si>
    <t>bisagra reforzada 3</t>
  </si>
  <si>
    <t>presostato</t>
  </si>
  <si>
    <t>gangochos</t>
  </si>
  <si>
    <t>carbon 20</t>
  </si>
  <si>
    <t>disco galleta</t>
  </si>
  <si>
    <t>lente tr</t>
  </si>
  <si>
    <t>repuesto estilte</t>
  </si>
  <si>
    <t>rodapies</t>
  </si>
  <si>
    <t>disco copa</t>
  </si>
  <si>
    <t>removedor de pintura</t>
  </si>
  <si>
    <t>armellas</t>
  </si>
  <si>
    <t>ramplu y chip</t>
  </si>
  <si>
    <t>cinta asilante blanca</t>
  </si>
  <si>
    <t>desarmador</t>
  </si>
  <si>
    <t>alicate de puta largo</t>
  </si>
  <si>
    <t>llave de paso 1/23 dike</t>
  </si>
  <si>
    <t>codo conduit 1</t>
  </si>
  <si>
    <t>5kl</t>
  </si>
  <si>
    <t>electrodo grueso</t>
  </si>
  <si>
    <t>presinto 40cm</t>
  </si>
  <si>
    <t>presinto 20cm</t>
  </si>
  <si>
    <t>cemento cola porcelanato</t>
  </si>
  <si>
    <t>siliocna negra amenrican</t>
  </si>
  <si>
    <t>9doc</t>
  </si>
  <si>
    <t>remache 4.8x14</t>
  </si>
  <si>
    <t>alambre amarre</t>
  </si>
  <si>
    <t>6m</t>
  </si>
  <si>
    <t>perlon 8</t>
  </si>
  <si>
    <t xml:space="preserve">soquet </t>
  </si>
  <si>
    <t xml:space="preserve">cinta asilante </t>
  </si>
  <si>
    <t>casco blanco</t>
  </si>
  <si>
    <t>m estaño hilo</t>
  </si>
  <si>
    <t>pomada para soldar</t>
  </si>
  <si>
    <t>alicate pico d loro</t>
  </si>
  <si>
    <t>copla hm 1/2 ips</t>
  </si>
  <si>
    <t>varilla de estaño</t>
  </si>
  <si>
    <t>sal amoniaco</t>
  </si>
  <si>
    <t>foco 15w</t>
  </si>
  <si>
    <t>anticorrosiv l alumnio</t>
  </si>
  <si>
    <t>sistencia 100</t>
  </si>
  <si>
    <t>rodillo 5 cn</t>
  </si>
  <si>
    <t>l thinner</t>
  </si>
  <si>
    <t>tirafondis 1/4</t>
  </si>
  <si>
    <t xml:space="preserve">perno hexagona </t>
  </si>
  <si>
    <t>boquilla encendido electronico</t>
  </si>
  <si>
    <t>gas butano</t>
  </si>
  <si>
    <t>TALASDKO INALAMBRI TOTL</t>
  </si>
  <si>
    <t>BOLSA DE PRECINTOS</t>
  </si>
  <si>
    <t>TORNILLO Y RAMPLUS</t>
  </si>
  <si>
    <t>SILICONA AKFI</t>
  </si>
  <si>
    <t xml:space="preserve">CJA SHUCO </t>
  </si>
  <si>
    <t>CAJA SHUCO 10*10 DISTRIBUCION</t>
  </si>
  <si>
    <t>CINTA AISALNTE TRUPER</t>
  </si>
  <si>
    <t>CINA VULCANIZANTE FIEVE</t>
  </si>
  <si>
    <t xml:space="preserve">KL ALAMVBRE DE AMRRERE </t>
  </si>
  <si>
    <t xml:space="preserve">PARABON </t>
  </si>
  <si>
    <t>MARIPOSA  DE GAS</t>
  </si>
  <si>
    <t>CINA ASILANTE</t>
  </si>
  <si>
    <t>pisotla de silicona jadever</t>
  </si>
  <si>
    <t xml:space="preserve">siliocn sika </t>
  </si>
  <si>
    <t>8m</t>
  </si>
  <si>
    <t>hilo para podar</t>
  </si>
  <si>
    <t>cubre cable  10*15</t>
  </si>
  <si>
    <t>grampa tv cable uyustool</t>
  </si>
  <si>
    <t xml:space="preserve">m hule </t>
  </si>
  <si>
    <t>chip 4*60</t>
  </si>
  <si>
    <t>wd40</t>
  </si>
  <si>
    <t>tapon 3/4 pvc</t>
  </si>
  <si>
    <t>manguera con regularod</t>
  </si>
  <si>
    <t>abrazadera</t>
  </si>
  <si>
    <t>lubricante wd</t>
  </si>
  <si>
    <t>brocah 1</t>
  </si>
  <si>
    <t>reduccion 2 11/4</t>
  </si>
  <si>
    <t>adaptador 1 1/4</t>
  </si>
  <si>
    <t>2,5m</t>
  </si>
  <si>
    <t>manguera nivel 1/2</t>
  </si>
  <si>
    <t>disco conrreto 9</t>
  </si>
  <si>
    <t>alambre tgre 16</t>
  </si>
  <si>
    <t>chapa travex 205</t>
  </si>
  <si>
    <t>2.5m</t>
  </si>
  <si>
    <t>manguera 3/8</t>
  </si>
  <si>
    <t>3m</t>
  </si>
  <si>
    <t>lija 100</t>
  </si>
  <si>
    <t>termico sica trega</t>
  </si>
  <si>
    <t>llave crecen uyustool</t>
  </si>
  <si>
    <t>cinta doble coantacto five</t>
  </si>
  <si>
    <t>repuestko cucilla</t>
  </si>
  <si>
    <t>disco concreto 4</t>
  </si>
  <si>
    <t>pigmento azul</t>
  </si>
  <si>
    <t>llave combinas</t>
  </si>
  <si>
    <t>llave pipa</t>
  </si>
  <si>
    <t>masquin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</si>
</sst>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0" fontId="5" numFmtId="0" xfId="0" applyAlignment="1" applyBorder="1" applyFont="1">
      <alignment horizontal="center" shrinkToFit="0" vertical="center" wrapText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15.0</v>
      </c>
      <c r="E8" s="8">
        <v>46121.34184528935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43.0</v>
      </c>
      <c r="E9" s="8">
        <v>46121.347326030096</v>
      </c>
      <c r="F9" s="2"/>
      <c r="G9" s="9" t="s">
        <v>9</v>
      </c>
      <c r="H9" s="10">
        <v>148.0</v>
      </c>
      <c r="I9" s="2"/>
      <c r="J9" s="9" t="s">
        <v>10</v>
      </c>
      <c r="K9" s="10">
        <v>758.0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16.0</v>
      </c>
      <c r="E10" s="8">
        <v>46121.358518043984</v>
      </c>
      <c r="F10" s="2"/>
      <c r="G10" s="9" t="s">
        <v>12</v>
      </c>
      <c r="H10" s="10">
        <v>370.0</v>
      </c>
      <c r="I10" s="2"/>
      <c r="J10" s="9" t="s">
        <v>13</v>
      </c>
      <c r="K10" s="11">
        <f>SUM(PRINCIPAL[TOTAL])</f>
        <v>6118.7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78.0</v>
      </c>
      <c r="E11" s="8">
        <v>46121.359374328706</v>
      </c>
      <c r="F11" s="2"/>
      <c r="G11" s="9" t="s">
        <v>15</v>
      </c>
      <c r="H11" s="10">
        <v>2700.0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101.0</v>
      </c>
      <c r="E12" s="8">
        <v>46121.35951086806</v>
      </c>
      <c r="F12" s="2"/>
      <c r="G12" s="9" t="s">
        <v>18</v>
      </c>
      <c r="H12" s="12">
        <f>SUM(G24:H361)</f>
        <v>2980.5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2.0</v>
      </c>
      <c r="C13" s="7" t="s">
        <v>19</v>
      </c>
      <c r="D13" s="6">
        <v>88.0</v>
      </c>
      <c r="E13" s="8">
        <v>46121.36304292824</v>
      </c>
      <c r="F13" s="2"/>
      <c r="G13" s="9" t="s">
        <v>20</v>
      </c>
      <c r="H13" s="10">
        <v>692.7</v>
      </c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3.0</v>
      </c>
      <c r="C14" s="7" t="s">
        <v>21</v>
      </c>
      <c r="D14" s="6">
        <v>10.5</v>
      </c>
      <c r="E14" s="8">
        <v>46121.381898912034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13.0</v>
      </c>
      <c r="E15" s="1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2.0</v>
      </c>
      <c r="C16" s="7" t="s">
        <v>24</v>
      </c>
      <c r="D16" s="6">
        <v>7.0</v>
      </c>
      <c r="E16" s="8">
        <v>46121.39216967592</v>
      </c>
      <c r="F16" s="2"/>
      <c r="G16" s="16" t="s">
        <v>25</v>
      </c>
      <c r="H16" s="17">
        <f>SUM(H9:H14)</f>
        <v>6891.2</v>
      </c>
      <c r="I16" s="3"/>
      <c r="J16" s="16" t="s">
        <v>26</v>
      </c>
      <c r="K16" s="17">
        <f>SUM(K9:K11)</f>
        <v>6876.7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12.0</v>
      </c>
      <c r="C17" s="7" t="s">
        <v>27</v>
      </c>
      <c r="D17" s="6">
        <v>2.0</v>
      </c>
      <c r="E17" s="8">
        <v>46121.392396435185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2.0</v>
      </c>
      <c r="C18" s="7" t="s">
        <v>28</v>
      </c>
      <c r="D18" s="6">
        <v>20.0</v>
      </c>
      <c r="E18" s="8">
        <v>46121.392512743056</v>
      </c>
      <c r="F18" s="2"/>
      <c r="G18" s="18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14,50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8.0</v>
      </c>
      <c r="E19" s="8">
        <v>46121.417172037036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260.0</v>
      </c>
      <c r="E20" s="8">
        <v>46121.431084131946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2.0</v>
      </c>
      <c r="C21" s="7" t="s">
        <v>31</v>
      </c>
      <c r="D21" s="6">
        <v>5.0</v>
      </c>
      <c r="E21" s="8">
        <v>46121.43117494213</v>
      </c>
      <c r="F21" s="2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 t="s">
        <v>32</v>
      </c>
      <c r="C22" s="7" t="s">
        <v>33</v>
      </c>
      <c r="D22" s="6">
        <v>25.0</v>
      </c>
      <c r="E22" s="15"/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34</v>
      </c>
      <c r="D23" s="6">
        <v>12.0</v>
      </c>
      <c r="E23" s="8">
        <v>46121.44507972222</v>
      </c>
      <c r="F23" s="2"/>
      <c r="G23" s="20" t="s">
        <v>35</v>
      </c>
      <c r="H23" s="20" t="s">
        <v>36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 t="s">
        <v>37</v>
      </c>
      <c r="C24" s="7" t="s">
        <v>38</v>
      </c>
      <c r="D24" s="6">
        <v>27.0</v>
      </c>
      <c r="E24" s="15"/>
      <c r="F24" s="2"/>
      <c r="G24" s="21">
        <v>179.0</v>
      </c>
      <c r="H24" s="21">
        <v>517.0</v>
      </c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39</v>
      </c>
      <c r="D25" s="6">
        <v>72.0</v>
      </c>
      <c r="E25" s="15"/>
      <c r="F25" s="2"/>
      <c r="G25" s="21">
        <v>23.5</v>
      </c>
      <c r="H25" s="21">
        <v>878.0</v>
      </c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2.0</v>
      </c>
      <c r="C26" s="7" t="s">
        <v>40</v>
      </c>
      <c r="D26" s="6">
        <v>12.0</v>
      </c>
      <c r="E26" s="8">
        <v>46121.45058425926</v>
      </c>
      <c r="F26" s="2"/>
      <c r="G26" s="22">
        <v>25.0</v>
      </c>
      <c r="H26" s="23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41</v>
      </c>
      <c r="D27" s="6">
        <v>15.0</v>
      </c>
      <c r="E27" s="8">
        <v>46121.455685277775</v>
      </c>
      <c r="F27" s="2"/>
      <c r="G27" s="21">
        <v>12.0</v>
      </c>
      <c r="H27" s="23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42</v>
      </c>
      <c r="D28" s="6">
        <v>5.0</v>
      </c>
      <c r="E28" s="8">
        <v>46121.45573045139</v>
      </c>
      <c r="F28" s="2"/>
      <c r="G28" s="21">
        <v>12.0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2.0</v>
      </c>
      <c r="C29" s="7" t="s">
        <v>43</v>
      </c>
      <c r="D29" s="6">
        <v>38.0</v>
      </c>
      <c r="E29" s="8">
        <v>46121.46633822916</v>
      </c>
      <c r="F29" s="2"/>
      <c r="G29" s="21">
        <v>20.0</v>
      </c>
      <c r="H29" s="23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3.0</v>
      </c>
      <c r="C30" s="7" t="s">
        <v>44</v>
      </c>
      <c r="D30" s="6">
        <v>33.0</v>
      </c>
      <c r="E30" s="8">
        <v>46121.472738020835</v>
      </c>
      <c r="F30" s="2"/>
      <c r="G30" s="21">
        <v>33.0</v>
      </c>
      <c r="H30" s="23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4.0</v>
      </c>
      <c r="C31" s="7" t="s">
        <v>45</v>
      </c>
      <c r="D31" s="6">
        <v>44.0</v>
      </c>
      <c r="E31" s="8">
        <v>46121.47287337963</v>
      </c>
      <c r="F31" s="2"/>
      <c r="G31" s="21">
        <v>78.0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46</v>
      </c>
      <c r="D32" s="6">
        <v>35.0</v>
      </c>
      <c r="E32" s="8">
        <v>46121.478189490736</v>
      </c>
      <c r="F32" s="2"/>
      <c r="G32" s="21">
        <v>50.0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47</v>
      </c>
      <c r="D33" s="6">
        <v>48.0</v>
      </c>
      <c r="E33" s="8">
        <v>46121.478282627315</v>
      </c>
      <c r="F33" s="2"/>
      <c r="G33" s="21">
        <v>22.0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6.0</v>
      </c>
      <c r="C34" s="7" t="s">
        <v>48</v>
      </c>
      <c r="D34" s="6">
        <v>4.0</v>
      </c>
      <c r="E34" s="8">
        <v>46121.485709733795</v>
      </c>
      <c r="F34" s="2"/>
      <c r="G34" s="21">
        <v>24.0</v>
      </c>
      <c r="H34" s="23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18.0</v>
      </c>
      <c r="C35" s="7" t="s">
        <v>49</v>
      </c>
      <c r="D35" s="6">
        <v>5.0</v>
      </c>
      <c r="E35" s="8">
        <v>46121.485791134255</v>
      </c>
      <c r="F35" s="2"/>
      <c r="G35" s="21">
        <v>270.0</v>
      </c>
      <c r="H35" s="23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4.0</v>
      </c>
      <c r="C36" s="7" t="s">
        <v>24</v>
      </c>
      <c r="D36" s="6">
        <v>24.0</v>
      </c>
      <c r="E36" s="8">
        <v>46121.48600638889</v>
      </c>
      <c r="F36" s="2"/>
      <c r="G36" s="21">
        <v>730.0</v>
      </c>
      <c r="H36" s="23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2.0</v>
      </c>
      <c r="C37" s="7" t="s">
        <v>50</v>
      </c>
      <c r="D37" s="6">
        <v>18.0</v>
      </c>
      <c r="E37" s="8">
        <v>46121.48727033565</v>
      </c>
      <c r="F37" s="2"/>
      <c r="G37" s="21">
        <v>10.0</v>
      </c>
      <c r="H37" s="23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51</v>
      </c>
      <c r="D38" s="6">
        <v>24.0</v>
      </c>
      <c r="E38" s="8">
        <v>46121.48821005787</v>
      </c>
      <c r="F38" s="2"/>
      <c r="G38" s="21">
        <v>30.0</v>
      </c>
      <c r="H38" s="23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52</v>
      </c>
      <c r="D39" s="6">
        <v>50.0</v>
      </c>
      <c r="E39" s="8">
        <v>46121.488291851856</v>
      </c>
      <c r="F39" s="2"/>
      <c r="G39" s="21">
        <v>23.0</v>
      </c>
      <c r="H39" s="23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53</v>
      </c>
      <c r="D40" s="6">
        <v>22.0</v>
      </c>
      <c r="E40" s="8">
        <v>46121.4959253125</v>
      </c>
      <c r="F40" s="2"/>
      <c r="G40" s="21">
        <v>44.0</v>
      </c>
      <c r="H40" s="23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20.0</v>
      </c>
      <c r="C41" s="7" t="s">
        <v>54</v>
      </c>
      <c r="D41" s="6">
        <v>50.0</v>
      </c>
      <c r="E41" s="8">
        <v>46121.50332682871</v>
      </c>
      <c r="F41" s="2"/>
      <c r="G41" s="23"/>
      <c r="H41" s="23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 t="s">
        <v>55</v>
      </c>
      <c r="C42" s="7" t="s">
        <v>56</v>
      </c>
      <c r="D42" s="6">
        <v>280.0</v>
      </c>
      <c r="E42" s="8">
        <v>46121.503600578704</v>
      </c>
      <c r="F42" s="2"/>
      <c r="G42" s="23"/>
      <c r="H42" s="23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4.0</v>
      </c>
      <c r="C43" s="7" t="s">
        <v>57</v>
      </c>
      <c r="D43" s="6">
        <v>212.0</v>
      </c>
      <c r="E43" s="8">
        <v>46121.5037827662</v>
      </c>
      <c r="F43" s="2"/>
      <c r="G43" s="23"/>
      <c r="H43" s="23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58</v>
      </c>
      <c r="D44" s="6">
        <v>25.0</v>
      </c>
      <c r="E44" s="8">
        <v>46121.503893773144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18.0</v>
      </c>
      <c r="C45" s="7" t="s">
        <v>59</v>
      </c>
      <c r="D45" s="6">
        <v>738.0</v>
      </c>
      <c r="E45" s="8">
        <v>46121.50404648148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4.0</v>
      </c>
      <c r="C46" s="7" t="s">
        <v>60</v>
      </c>
      <c r="D46" s="6">
        <v>104.0</v>
      </c>
      <c r="E46" s="8">
        <v>46121.50416174768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 t="s">
        <v>61</v>
      </c>
      <c r="C47" s="7" t="s">
        <v>62</v>
      </c>
      <c r="D47" s="6">
        <v>36.0</v>
      </c>
      <c r="E47" s="8">
        <v>46121.50432719907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 t="s">
        <v>32</v>
      </c>
      <c r="C48" s="7" t="s">
        <v>63</v>
      </c>
      <c r="D48" s="6">
        <v>19.0</v>
      </c>
      <c r="E48" s="8">
        <v>46121.516271388886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 t="s">
        <v>64</v>
      </c>
      <c r="C49" s="7" t="s">
        <v>65</v>
      </c>
      <c r="D49" s="6">
        <v>24.0</v>
      </c>
      <c r="E49" s="8">
        <v>46121.52533533565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4.0</v>
      </c>
      <c r="C50" s="7" t="s">
        <v>66</v>
      </c>
      <c r="D50" s="6">
        <v>20.0</v>
      </c>
      <c r="E50" s="8">
        <v>46121.5271571875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67</v>
      </c>
      <c r="D51" s="6">
        <v>9.0</v>
      </c>
      <c r="E51" s="8">
        <v>46121.56437458334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68</v>
      </c>
      <c r="D52" s="6">
        <v>110.0</v>
      </c>
      <c r="E52" s="8">
        <v>46121.56442607639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69</v>
      </c>
      <c r="D53" s="6">
        <v>8.0</v>
      </c>
      <c r="E53" s="8">
        <v>46121.58975994213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70</v>
      </c>
      <c r="D54" s="6">
        <v>16.0</v>
      </c>
      <c r="E54" s="8">
        <v>46121.58985010417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71</v>
      </c>
      <c r="D55" s="6">
        <v>171.0</v>
      </c>
      <c r="E55" s="8">
        <v>46121.58994607639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72</v>
      </c>
      <c r="D56" s="6">
        <v>4.0</v>
      </c>
      <c r="E56" s="8">
        <v>46121.59009244213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2.0</v>
      </c>
      <c r="C57" s="7" t="s">
        <v>73</v>
      </c>
      <c r="D57" s="6">
        <v>50.0</v>
      </c>
      <c r="E57" s="8">
        <v>46121.59020630787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74</v>
      </c>
      <c r="D58" s="6">
        <v>45.0</v>
      </c>
      <c r="E58" s="8">
        <v>46121.590278020834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75</v>
      </c>
      <c r="D59" s="6">
        <v>19.5</v>
      </c>
      <c r="E59" s="8">
        <v>46121.599514155096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76</v>
      </c>
      <c r="D60" s="6">
        <v>75.0</v>
      </c>
      <c r="E60" s="8">
        <v>46121.60679636574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77</v>
      </c>
      <c r="D61" s="6">
        <v>11.0</v>
      </c>
      <c r="E61" s="8">
        <v>46121.60695553241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78</v>
      </c>
      <c r="D62" s="6">
        <v>12.0</v>
      </c>
      <c r="E62" s="8">
        <v>46121.6070915625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79</v>
      </c>
      <c r="D63" s="6">
        <v>36.0</v>
      </c>
      <c r="E63" s="8">
        <v>46121.60719277778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2.0</v>
      </c>
      <c r="C64" s="7" t="s">
        <v>80</v>
      </c>
      <c r="D64" s="6">
        <v>3.5</v>
      </c>
      <c r="E64" s="8">
        <v>46121.60730416667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4.0</v>
      </c>
      <c r="C65" s="7" t="s">
        <v>81</v>
      </c>
      <c r="D65" s="6">
        <v>4.0</v>
      </c>
      <c r="E65" s="8">
        <v>46121.607551574074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82</v>
      </c>
      <c r="D66" s="6">
        <v>175.0</v>
      </c>
      <c r="E66" s="8">
        <v>46121.6276059838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83</v>
      </c>
      <c r="D67" s="6">
        <v>47.0</v>
      </c>
      <c r="E67" s="8">
        <v>46121.627666030094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84</v>
      </c>
      <c r="D68" s="6">
        <v>730.0</v>
      </c>
      <c r="E68" s="8">
        <v>46121.64411877315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85</v>
      </c>
      <c r="D69" s="6">
        <v>25.0</v>
      </c>
      <c r="E69" s="8">
        <v>46121.644624189816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50.0</v>
      </c>
      <c r="C70" s="7" t="s">
        <v>86</v>
      </c>
      <c r="D70" s="6">
        <v>15.7</v>
      </c>
      <c r="E70" s="8">
        <v>46121.646086168985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3.0</v>
      </c>
      <c r="C71" s="7" t="s">
        <v>87</v>
      </c>
      <c r="D71" s="6">
        <v>102.0</v>
      </c>
      <c r="E71" s="8">
        <v>46121.64728719907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2.0</v>
      </c>
      <c r="C72" s="7" t="s">
        <v>88</v>
      </c>
      <c r="D72" s="6">
        <v>30.0</v>
      </c>
      <c r="E72" s="8">
        <v>46121.647442581016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6.0</v>
      </c>
      <c r="C73" s="7" t="s">
        <v>89</v>
      </c>
      <c r="D73" s="6">
        <v>150.0</v>
      </c>
      <c r="E73" s="8">
        <v>46121.64785972222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4.0</v>
      </c>
      <c r="C74" s="7" t="s">
        <v>90</v>
      </c>
      <c r="D74" s="6">
        <v>48.0</v>
      </c>
      <c r="E74" s="8">
        <v>46121.64852913194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91</v>
      </c>
      <c r="D75" s="6">
        <v>73.0</v>
      </c>
      <c r="E75" s="8">
        <v>46121.64870741898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2.0</v>
      </c>
      <c r="C76" s="7" t="s">
        <v>92</v>
      </c>
      <c r="D76" s="6">
        <v>38.0</v>
      </c>
      <c r="E76" s="8">
        <v>46121.64892572917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93</v>
      </c>
      <c r="D77" s="6">
        <v>178.0</v>
      </c>
      <c r="E77" s="8">
        <v>46121.64915332176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94</v>
      </c>
      <c r="D78" s="6">
        <v>10.0</v>
      </c>
      <c r="E78" s="8">
        <v>46121.64929526621</v>
      </c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95</v>
      </c>
      <c r="D79" s="6">
        <v>9.0</v>
      </c>
      <c r="E79" s="8">
        <v>46121.649424641204</v>
      </c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96</v>
      </c>
      <c r="D80" s="6">
        <v>17.0</v>
      </c>
      <c r="E80" s="8">
        <v>46121.65696548611</v>
      </c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97</v>
      </c>
      <c r="D81" s="6">
        <v>36.0</v>
      </c>
      <c r="E81" s="8">
        <v>46121.657023402775</v>
      </c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 t="s">
        <v>98</v>
      </c>
      <c r="C82" s="7" t="s">
        <v>99</v>
      </c>
      <c r="D82" s="6">
        <v>12.0</v>
      </c>
      <c r="E82" s="8">
        <v>46121.660294699075</v>
      </c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5.0</v>
      </c>
      <c r="C83" s="7" t="s">
        <v>100</v>
      </c>
      <c r="D83" s="6">
        <v>40.0</v>
      </c>
      <c r="E83" s="8">
        <v>46121.660974513885</v>
      </c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101</v>
      </c>
      <c r="D84" s="6">
        <v>10.0</v>
      </c>
      <c r="E84" s="8">
        <v>46121.661143923615</v>
      </c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5.0</v>
      </c>
      <c r="C85" s="7" t="s">
        <v>102</v>
      </c>
      <c r="D85" s="6">
        <v>20.0</v>
      </c>
      <c r="E85" s="8">
        <v>46121.66680827546</v>
      </c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24.0</v>
      </c>
      <c r="C86" s="7" t="s">
        <v>103</v>
      </c>
      <c r="D86" s="6">
        <v>7.0</v>
      </c>
      <c r="E86" s="8">
        <v>46121.66689900463</v>
      </c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104</v>
      </c>
      <c r="D87" s="6">
        <v>100.0</v>
      </c>
      <c r="E87" s="8">
        <v>46121.66737966435</v>
      </c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2.0</v>
      </c>
      <c r="C88" s="7" t="s">
        <v>105</v>
      </c>
      <c r="D88" s="6">
        <v>8.0</v>
      </c>
      <c r="E88" s="8">
        <v>46121.67164585648</v>
      </c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106</v>
      </c>
      <c r="D89" s="6">
        <v>70.0</v>
      </c>
      <c r="E89" s="8">
        <v>46121.67351142361</v>
      </c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107</v>
      </c>
      <c r="D90" s="6">
        <v>2.5</v>
      </c>
      <c r="E90" s="8">
        <v>46121.67357303241</v>
      </c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108</v>
      </c>
      <c r="D91" s="6">
        <v>98.0</v>
      </c>
      <c r="E91" s="8">
        <v>46121.67849924769</v>
      </c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109</v>
      </c>
      <c r="D92" s="6">
        <v>4.0</v>
      </c>
      <c r="E92" s="8">
        <v>46121.682538368055</v>
      </c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1.0</v>
      </c>
      <c r="C93" s="7" t="s">
        <v>110</v>
      </c>
      <c r="D93" s="6">
        <v>11.0</v>
      </c>
      <c r="E93" s="8">
        <v>46121.68885443287</v>
      </c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111</v>
      </c>
      <c r="D94" s="6">
        <v>10.0</v>
      </c>
      <c r="E94" s="8">
        <v>46121.688994745375</v>
      </c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1.0</v>
      </c>
      <c r="C95" s="7" t="s">
        <v>31</v>
      </c>
      <c r="D95" s="6">
        <v>2.5</v>
      </c>
      <c r="E95" s="8">
        <v>46121.68903837963</v>
      </c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 t="s">
        <v>112</v>
      </c>
      <c r="C96" s="7" t="s">
        <v>113</v>
      </c>
      <c r="D96" s="6">
        <v>20.0</v>
      </c>
      <c r="E96" s="8">
        <v>46121.6926608912</v>
      </c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2.0</v>
      </c>
      <c r="C97" s="7" t="s">
        <v>114</v>
      </c>
      <c r="D97" s="6">
        <v>244.0</v>
      </c>
      <c r="E97" s="8">
        <v>46121.69272679398</v>
      </c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2.5</v>
      </c>
      <c r="C98" s="7" t="s">
        <v>115</v>
      </c>
      <c r="D98" s="6">
        <v>11.0</v>
      </c>
      <c r="E98" s="8">
        <v>46121.6943834375</v>
      </c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1.0</v>
      </c>
      <c r="C99" s="7" t="s">
        <v>116</v>
      </c>
      <c r="D99" s="6">
        <v>205.0</v>
      </c>
      <c r="E99" s="8">
        <v>46121.70089571759</v>
      </c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6" t="s">
        <v>117</v>
      </c>
      <c r="C100" s="7" t="s">
        <v>118</v>
      </c>
      <c r="D100" s="6">
        <v>16.5</v>
      </c>
      <c r="E100" s="8">
        <v>46121.70103297454</v>
      </c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6" t="s">
        <v>119</v>
      </c>
      <c r="C101" s="7" t="s">
        <v>120</v>
      </c>
      <c r="D101" s="6">
        <v>30.0</v>
      </c>
      <c r="E101" s="8">
        <v>46121.7025921875</v>
      </c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6">
        <v>1.0</v>
      </c>
      <c r="C102" s="7" t="s">
        <v>121</v>
      </c>
      <c r="D102" s="6">
        <v>65.0</v>
      </c>
      <c r="E102" s="8">
        <v>46121.7051416551</v>
      </c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6">
        <v>1.0</v>
      </c>
      <c r="C103" s="7" t="s">
        <v>122</v>
      </c>
      <c r="D103" s="6">
        <v>42.0</v>
      </c>
      <c r="E103" s="8">
        <v>46121.70800047454</v>
      </c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6">
        <v>1.0</v>
      </c>
      <c r="C104" s="7" t="s">
        <v>123</v>
      </c>
      <c r="D104" s="6">
        <v>10.0</v>
      </c>
      <c r="E104" s="8">
        <v>46121.708837604165</v>
      </c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6">
        <v>1.0</v>
      </c>
      <c r="C105" s="7" t="s">
        <v>124</v>
      </c>
      <c r="D105" s="6">
        <v>16.0</v>
      </c>
      <c r="E105" s="8">
        <v>46121.71916731482</v>
      </c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6">
        <v>1.0</v>
      </c>
      <c r="C106" s="7" t="s">
        <v>125</v>
      </c>
      <c r="D106" s="6">
        <v>23.0</v>
      </c>
      <c r="E106" s="8">
        <v>46121.726300381946</v>
      </c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6">
        <v>1.0</v>
      </c>
      <c r="C107" s="7" t="s">
        <v>126</v>
      </c>
      <c r="D107" s="6">
        <v>10.0</v>
      </c>
      <c r="E107" s="8">
        <v>46121.73654113426</v>
      </c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6">
        <v>1.0</v>
      </c>
      <c r="C108" s="7" t="s">
        <v>127</v>
      </c>
      <c r="D108" s="6">
        <v>15.0</v>
      </c>
      <c r="E108" s="8">
        <v>46121.747602268515</v>
      </c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6">
        <v>1.0</v>
      </c>
      <c r="C109" s="7" t="s">
        <v>128</v>
      </c>
      <c r="D109" s="6">
        <v>27.0</v>
      </c>
      <c r="E109" s="8">
        <v>46121.74765150463</v>
      </c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6">
        <v>2.0</v>
      </c>
      <c r="C110" s="7" t="s">
        <v>129</v>
      </c>
      <c r="D110" s="6">
        <v>44.0</v>
      </c>
      <c r="E110" s="8">
        <v>46121.76853162037</v>
      </c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4"/>
      <c r="D111" s="25"/>
      <c r="E111" s="15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4"/>
      <c r="D112" s="25"/>
      <c r="E112" s="15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4"/>
      <c r="D113" s="25"/>
      <c r="E113" s="15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4"/>
      <c r="D114" s="25"/>
      <c r="E114" s="15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4"/>
      <c r="D115" s="25"/>
      <c r="E115" s="15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4"/>
      <c r="D116" s="25"/>
      <c r="E116" s="15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4"/>
      <c r="D117" s="25"/>
      <c r="E117" s="15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4"/>
      <c r="D118" s="25"/>
      <c r="E118" s="15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4"/>
      <c r="D119" s="25"/>
      <c r="E119" s="15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4"/>
      <c r="D120" s="25"/>
      <c r="E120" s="15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4"/>
      <c r="D121" s="25"/>
      <c r="E121" s="15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4"/>
      <c r="D122" s="25"/>
      <c r="E122" s="15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4"/>
      <c r="D123" s="25"/>
      <c r="E123" s="15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4"/>
      <c r="D124" s="25"/>
      <c r="E124" s="15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4"/>
      <c r="D125" s="25"/>
      <c r="E125" s="15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4"/>
      <c r="D126" s="25"/>
      <c r="E126" s="15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4"/>
      <c r="D127" s="25"/>
      <c r="E127" s="15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4"/>
      <c r="D128" s="25"/>
      <c r="E128" s="15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4"/>
      <c r="D129" s="25"/>
      <c r="E129" s="15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4"/>
      <c r="D130" s="25"/>
      <c r="E130" s="15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4"/>
      <c r="D131" s="25"/>
      <c r="E131" s="15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4"/>
      <c r="D132" s="25"/>
      <c r="E132" s="15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4"/>
      <c r="D133" s="25"/>
      <c r="E133" s="15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4"/>
      <c r="D134" s="25"/>
      <c r="E134" s="15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4"/>
      <c r="D135" s="25"/>
      <c r="E135" s="15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4"/>
      <c r="D136" s="25"/>
      <c r="E136" s="15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4"/>
      <c r="D137" s="25"/>
      <c r="E137" s="15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4"/>
      <c r="D138" s="25"/>
      <c r="E138" s="15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4"/>
      <c r="D139" s="25"/>
      <c r="E139" s="15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4"/>
      <c r="D140" s="25"/>
      <c r="E140" s="15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4"/>
      <c r="D141" s="25"/>
      <c r="E141" s="15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4"/>
      <c r="D142" s="25"/>
      <c r="E142" s="15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4"/>
      <c r="D143" s="25"/>
      <c r="E143" s="15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4"/>
      <c r="D144" s="25"/>
      <c r="E144" s="15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4"/>
      <c r="D145" s="25"/>
      <c r="E145" s="15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4"/>
      <c r="D146" s="25"/>
      <c r="E146" s="15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4"/>
      <c r="D147" s="25"/>
      <c r="E147" s="15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4"/>
      <c r="D148" s="25"/>
      <c r="E148" s="15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4"/>
      <c r="D149" s="25"/>
      <c r="E149" s="15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4"/>
      <c r="D150" s="25"/>
      <c r="E150" s="15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4"/>
      <c r="D151" s="25"/>
      <c r="E151" s="15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4"/>
      <c r="D152" s="25"/>
      <c r="E152" s="15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4"/>
      <c r="D153" s="25"/>
      <c r="E153" s="15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4"/>
      <c r="D154" s="25"/>
      <c r="E154" s="15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4"/>
      <c r="D155" s="25"/>
      <c r="E155" s="15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4"/>
      <c r="D156" s="25"/>
      <c r="E156" s="15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4"/>
      <c r="D157" s="25"/>
      <c r="E157" s="15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4"/>
      <c r="D158" s="25"/>
      <c r="E158" s="15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4"/>
      <c r="D159" s="25"/>
      <c r="E159" s="15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4"/>
      <c r="D160" s="25"/>
      <c r="E160" s="15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4"/>
      <c r="D161" s="25"/>
      <c r="E161" s="15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4"/>
      <c r="D162" s="25"/>
      <c r="E162" s="15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4"/>
      <c r="D163" s="25"/>
      <c r="E163" s="15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4"/>
      <c r="D164" s="25"/>
      <c r="E164" s="15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4"/>
      <c r="D165" s="25"/>
      <c r="E165" s="15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4"/>
      <c r="D166" s="25"/>
      <c r="E166" s="15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4"/>
      <c r="D167" s="25"/>
      <c r="E167" s="15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4"/>
      <c r="D168" s="25"/>
      <c r="E168" s="15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4"/>
      <c r="D169" s="25"/>
      <c r="E169" s="15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4"/>
      <c r="D170" s="25"/>
      <c r="E170" s="15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4"/>
      <c r="D171" s="25"/>
      <c r="E171" s="15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4"/>
      <c r="D172" s="25"/>
      <c r="E172" s="15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4"/>
      <c r="D173" s="25"/>
      <c r="E173" s="15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4"/>
      <c r="D174" s="25"/>
      <c r="E174" s="15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4"/>
      <c r="D175" s="25"/>
      <c r="E175" s="15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4"/>
      <c r="D176" s="25"/>
      <c r="E176" s="15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4"/>
      <c r="D177" s="25"/>
      <c r="E177" s="15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4"/>
      <c r="D178" s="25"/>
      <c r="E178" s="15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4"/>
      <c r="D179" s="25"/>
      <c r="E179" s="15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4"/>
      <c r="D180" s="25"/>
      <c r="E180" s="15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4"/>
      <c r="D181" s="25"/>
      <c r="E181" s="15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4"/>
      <c r="D182" s="25"/>
      <c r="E182" s="15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4"/>
      <c r="D183" s="25"/>
      <c r="E183" s="15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4"/>
      <c r="D184" s="25"/>
      <c r="E184" s="15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4"/>
      <c r="D185" s="25"/>
      <c r="E185" s="15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4"/>
      <c r="D186" s="25"/>
      <c r="E186" s="15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4"/>
      <c r="D187" s="25"/>
      <c r="E187" s="15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4"/>
      <c r="D188" s="25"/>
      <c r="E188" s="15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4"/>
      <c r="D189" s="25"/>
      <c r="E189" s="15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4"/>
      <c r="D190" s="25"/>
      <c r="E190" s="15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4"/>
      <c r="D191" s="25"/>
      <c r="E191" s="15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4"/>
      <c r="D192" s="25"/>
      <c r="E192" s="15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4"/>
      <c r="D193" s="25"/>
      <c r="E193" s="15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4"/>
      <c r="D194" s="25"/>
      <c r="E194" s="15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4"/>
      <c r="D195" s="25"/>
      <c r="E195" s="15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4"/>
      <c r="D196" s="25"/>
      <c r="E196" s="15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4"/>
      <c r="D197" s="25"/>
      <c r="E197" s="15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4"/>
      <c r="D198" s="25"/>
      <c r="E198" s="15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4"/>
      <c r="D199" s="25"/>
      <c r="E199" s="15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4"/>
      <c r="D200" s="25"/>
      <c r="E200" s="15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4"/>
      <c r="D201" s="25"/>
      <c r="E201" s="15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4"/>
      <c r="D202" s="25"/>
      <c r="E202" s="15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4"/>
      <c r="D203" s="25"/>
      <c r="E203" s="15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4"/>
      <c r="D204" s="25"/>
      <c r="E204" s="15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4"/>
      <c r="D205" s="25"/>
      <c r="E205" s="15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4"/>
      <c r="D206" s="25"/>
      <c r="E206" s="15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4"/>
      <c r="D207" s="25"/>
      <c r="E207" s="15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4"/>
      <c r="D208" s="25"/>
      <c r="E208" s="15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4"/>
      <c r="D209" s="25"/>
      <c r="E209" s="15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4"/>
      <c r="D210" s="25"/>
      <c r="E210" s="15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4"/>
      <c r="D211" s="25"/>
      <c r="E211" s="15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4"/>
      <c r="D212" s="25"/>
      <c r="E212" s="15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4"/>
      <c r="D213" s="25"/>
      <c r="E213" s="15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4"/>
      <c r="D214" s="25"/>
      <c r="E214" s="15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4"/>
      <c r="D215" s="25"/>
      <c r="E215" s="15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4"/>
      <c r="D216" s="25"/>
      <c r="E216" s="15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4"/>
      <c r="D217" s="25"/>
      <c r="E217" s="15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4"/>
      <c r="D218" s="25"/>
      <c r="E218" s="15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4"/>
      <c r="D219" s="25"/>
      <c r="E219" s="15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4"/>
      <c r="D220" s="25"/>
      <c r="E220" s="15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4"/>
      <c r="D221" s="25"/>
      <c r="E221" s="15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4"/>
      <c r="D222" s="25"/>
      <c r="E222" s="15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4"/>
      <c r="D223" s="25"/>
      <c r="E223" s="15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4"/>
      <c r="D224" s="25"/>
      <c r="E224" s="15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4"/>
      <c r="D225" s="25"/>
      <c r="E225" s="15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4"/>
      <c r="D226" s="25"/>
      <c r="E226" s="15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4"/>
      <c r="D227" s="25"/>
      <c r="E227" s="15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4"/>
      <c r="D228" s="25"/>
      <c r="E228" s="15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4"/>
      <c r="D229" s="25"/>
      <c r="E229" s="15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4"/>
      <c r="D230" s="25"/>
      <c r="E230" s="15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4"/>
      <c r="D231" s="25"/>
      <c r="E231" s="15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4"/>
      <c r="D232" s="25"/>
      <c r="E232" s="15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4"/>
      <c r="D233" s="25"/>
      <c r="E233" s="15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4"/>
      <c r="D234" s="25"/>
      <c r="E234" s="15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4"/>
      <c r="D235" s="25"/>
      <c r="E235" s="15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4"/>
      <c r="D236" s="25"/>
      <c r="E236" s="15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4"/>
      <c r="D237" s="25"/>
      <c r="E237" s="15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4"/>
      <c r="D238" s="25"/>
      <c r="E238" s="15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4"/>
      <c r="D239" s="25"/>
      <c r="E239" s="15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4"/>
      <c r="D240" s="25"/>
      <c r="E240" s="15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4"/>
      <c r="D241" s="25"/>
      <c r="E241" s="15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4"/>
      <c r="D242" s="25"/>
      <c r="E242" s="15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4"/>
      <c r="D243" s="25"/>
      <c r="E243" s="15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4"/>
      <c r="D244" s="25"/>
      <c r="E244" s="15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4"/>
      <c r="D245" s="25"/>
      <c r="E245" s="15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4"/>
      <c r="D246" s="25"/>
      <c r="E246" s="15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4"/>
      <c r="D247" s="25"/>
      <c r="E247" s="15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4"/>
      <c r="D248" s="25"/>
      <c r="E248" s="15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4"/>
      <c r="D249" s="25"/>
      <c r="E249" s="15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4"/>
      <c r="D250" s="25"/>
      <c r="E250" s="15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4"/>
      <c r="D251" s="25"/>
      <c r="E251" s="15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4"/>
      <c r="D252" s="25"/>
      <c r="E252" s="15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4"/>
      <c r="D253" s="25"/>
      <c r="E253" s="15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4"/>
      <c r="D254" s="25"/>
      <c r="E254" s="15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4"/>
      <c r="D255" s="25"/>
      <c r="E255" s="15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4"/>
      <c r="D256" s="25"/>
      <c r="E256" s="15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4"/>
      <c r="D257" s="25"/>
      <c r="E257" s="15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4"/>
      <c r="D258" s="25"/>
      <c r="E258" s="15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4"/>
      <c r="D259" s="25"/>
      <c r="E259" s="15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4"/>
      <c r="D260" s="25"/>
      <c r="E260" s="15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4"/>
      <c r="D261" s="25"/>
      <c r="E261" s="15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4"/>
      <c r="D262" s="25"/>
      <c r="E262" s="15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4"/>
      <c r="D263" s="25"/>
      <c r="E263" s="15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4"/>
      <c r="D264" s="25"/>
      <c r="E264" s="15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4"/>
      <c r="D265" s="25"/>
      <c r="E265" s="15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4"/>
      <c r="D266" s="25"/>
      <c r="E266" s="15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4"/>
      <c r="D267" s="25"/>
      <c r="E267" s="15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4"/>
      <c r="D268" s="25"/>
      <c r="E268" s="15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4"/>
      <c r="D269" s="25"/>
      <c r="E269" s="15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4"/>
      <c r="D270" s="25"/>
      <c r="E270" s="15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4"/>
      <c r="D271" s="25"/>
      <c r="E271" s="15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4"/>
      <c r="D272" s="25"/>
      <c r="E272" s="15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4"/>
      <c r="D273" s="25"/>
      <c r="E273" s="15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4"/>
      <c r="D274" s="25"/>
      <c r="E274" s="15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4"/>
      <c r="D275" s="25"/>
      <c r="E275" s="15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4"/>
      <c r="D276" s="25"/>
      <c r="E276" s="15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4"/>
      <c r="D277" s="25"/>
      <c r="E277" s="15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4"/>
      <c r="D278" s="25"/>
      <c r="E278" s="15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4"/>
      <c r="D279" s="25"/>
      <c r="E279" s="15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4"/>
      <c r="D280" s="25"/>
      <c r="E280" s="15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4"/>
      <c r="D281" s="25"/>
      <c r="E281" s="15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4"/>
      <c r="D282" s="25"/>
      <c r="E282" s="15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4"/>
      <c r="D283" s="25"/>
      <c r="E283" s="15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4"/>
      <c r="D284" s="25"/>
      <c r="E284" s="15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4"/>
      <c r="D285" s="25"/>
      <c r="E285" s="15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4"/>
      <c r="D286" s="25"/>
      <c r="E286" s="15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4"/>
      <c r="D287" s="25"/>
      <c r="E287" s="15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4"/>
      <c r="D288" s="25"/>
      <c r="E288" s="15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4"/>
      <c r="D289" s="25"/>
      <c r="E289" s="15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4"/>
      <c r="D290" s="25"/>
      <c r="E290" s="15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4"/>
      <c r="D291" s="25"/>
      <c r="E291" s="15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4"/>
      <c r="D292" s="25"/>
      <c r="E292" s="15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4"/>
      <c r="D293" s="25"/>
      <c r="E293" s="15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4"/>
      <c r="D294" s="25"/>
      <c r="E294" s="15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4"/>
      <c r="D295" s="25"/>
      <c r="E295" s="15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4"/>
      <c r="D296" s="25"/>
      <c r="E296" s="15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4"/>
      <c r="D297" s="25"/>
      <c r="E297" s="15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4"/>
      <c r="D298" s="25"/>
      <c r="E298" s="15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4"/>
      <c r="D299" s="25"/>
      <c r="E299" s="15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4"/>
      <c r="D300" s="25"/>
      <c r="E300" s="15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4"/>
      <c r="D301" s="25"/>
      <c r="E301" s="15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