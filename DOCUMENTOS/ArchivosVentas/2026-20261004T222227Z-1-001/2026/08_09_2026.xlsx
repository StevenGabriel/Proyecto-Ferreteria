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<sst xmlns="http://schemas.openxmlformats.org/spreadsheetml/2006/main" count="158" uniqueCount="151">
  <si>
    <t>HOJA DE CALCULO FERRETERIA</t>
  </si>
  <si>
    <t>CODIGO</t>
  </si>
  <si>
    <t>CANTIDAD</t>
  </si>
  <si>
    <t>DESCRIPCION</t>
  </si>
  <si>
    <t>TOTAL</t>
  </si>
  <si>
    <t>HORA</t>
  </si>
  <si>
    <t>CUADRAR</t>
  </si>
  <si>
    <t>LINETNA USB</t>
  </si>
  <si>
    <t>RESISTENCIA LOREZATE</t>
  </si>
  <si>
    <t>MONEDAS</t>
  </si>
  <si>
    <t>CAJA CHICA</t>
  </si>
  <si>
    <t>LLAVE COMBIANAGF 12</t>
  </si>
  <si>
    <t>BILLETES 10-20</t>
  </si>
  <si>
    <t>TOTAL VENTAS DIA</t>
  </si>
  <si>
    <t>LLAVE COMBINAS</t>
  </si>
  <si>
    <t>BILLETES 50-100-200</t>
  </si>
  <si>
    <t>AUMENTO DE DINERO</t>
  </si>
  <si>
    <t>AUTOPERFONTA</t>
  </si>
  <si>
    <t>INGRESOS YAPE</t>
  </si>
  <si>
    <t xml:space="preserve">BROCAS COBLATO </t>
  </si>
  <si>
    <t>INGRESOS TARJETA</t>
  </si>
  <si>
    <t>´PAÑOS DE MICROGIFABAS</t>
  </si>
  <si>
    <t>GASTOS VARIOS</t>
  </si>
  <si>
    <t>DISCO TWTER 5</t>
  </si>
  <si>
    <t>BROCHA 4</t>
  </si>
  <si>
    <t>DINERO GANADO HOY:</t>
  </si>
  <si>
    <t>CANTIDAD DINERO CAJA:</t>
  </si>
  <si>
    <t>NITROLAC</t>
  </si>
  <si>
    <t>CABLE BIPOLAR</t>
  </si>
  <si>
    <t>ABRAZADERA</t>
  </si>
  <si>
    <t>PISTOLA DE SILICONA</t>
  </si>
  <si>
    <t>ESPATULAS</t>
  </si>
  <si>
    <t>CANDODO DOBLE</t>
  </si>
  <si>
    <t>YAPE MAMÁ</t>
  </si>
  <si>
    <t>YAPE PAPÁ</t>
  </si>
  <si>
    <t>YAPE</t>
  </si>
  <si>
    <t>Monto Total YAPE (No tocar):</t>
  </si>
  <si>
    <t>M LIJA</t>
  </si>
  <si>
    <t>N HILO CORTA PASTO</t>
  </si>
  <si>
    <t>Monto Total Registrado en aplicacion</t>
  </si>
  <si>
    <t>LLAVE TOR T20</t>
  </si>
  <si>
    <t>BROCA PUNTA CERAMICA 1/4</t>
  </si>
  <si>
    <t>BROCA PUNTA CERAMICA 5MM</t>
  </si>
  <si>
    <t>RODILLERA</t>
  </si>
  <si>
    <t>PILAS AA</t>
  </si>
  <si>
    <t>DESARMADOR REVERSIBLE</t>
  </si>
  <si>
    <t>ALICATE PICO DE LORO</t>
  </si>
  <si>
    <t>LLAVERO</t>
  </si>
  <si>
    <t>PAGOS YAPE</t>
  </si>
  <si>
    <t>DESCRIPCION PAGO</t>
  </si>
  <si>
    <t>ESCUADRA</t>
  </si>
  <si>
    <t>PRENSA</t>
  </si>
  <si>
    <t>M LIJA 60</t>
  </si>
  <si>
    <t>LIJAS</t>
  </si>
  <si>
    <t>SIERRA CLADORA</t>
  </si>
  <si>
    <t>RESISTENCIACORONA</t>
  </si>
  <si>
    <t>SOPORTES</t>
  </si>
  <si>
    <t>TUBO TR</t>
  </si>
  <si>
    <t>CHIP</t>
  </si>
  <si>
    <t>RAMPLU 8</t>
  </si>
  <si>
    <t>BROCA TOSLEN</t>
  </si>
  <si>
    <t>PEGAMENTO PVC</t>
  </si>
  <si>
    <t>NIVEL DE MANO</t>
  </si>
  <si>
    <t>DISCO GALLETA 7 NORTON</t>
  </si>
  <si>
    <t>DISCO GALLETA 4 NORTON</t>
  </si>
  <si>
    <t>ADAPTADOR 3/4</t>
  </si>
  <si>
    <t>LLAVE DE PASO 3/4</t>
  </si>
  <si>
    <t>PARABON 1/8</t>
  </si>
  <si>
    <t>TEFLON</t>
  </si>
  <si>
    <t>1M</t>
  </si>
  <si>
    <t>CAÑERIA 3/4</t>
  </si>
  <si>
    <t>TUBO CONDUIR 3/4</t>
  </si>
  <si>
    <t>25M</t>
  </si>
  <si>
    <t>ALAMBRE 12 TIGRE</t>
  </si>
  <si>
    <t>SERRUCHO TR</t>
  </si>
  <si>
    <t>DISCOCONCRETO 7</t>
  </si>
  <si>
    <t>BOTON CENTRA DOBLE ASTRA</t>
  </si>
  <si>
    <t>10M</t>
  </si>
  <si>
    <t>CABLE 12</t>
  </si>
  <si>
    <t>BROCA MADERA 10</t>
  </si>
  <si>
    <t>GRAMPAS PARA CABLE</t>
  </si>
  <si>
    <t>50M</t>
  </si>
  <si>
    <t>PERLON 4</t>
  </si>
  <si>
    <t>5DOC</t>
  </si>
  <si>
    <t>AUTOPERFORANTE 10X11/2</t>
  </si>
  <si>
    <t>SILICONA TRANSPARENTE</t>
  </si>
  <si>
    <t>CODO NEGRO</t>
  </si>
  <si>
    <t>GRIFO FV</t>
  </si>
  <si>
    <t>TELON</t>
  </si>
  <si>
    <t>CHICOTILO 40CM HH</t>
  </si>
  <si>
    <t>DADO 8 TALADRO</t>
  </si>
  <si>
    <t>AUTOPERFORANTE</t>
  </si>
  <si>
    <t>DIABLITO</t>
  </si>
  <si>
    <t>REGLETA 3</t>
  </si>
  <si>
    <t>3M</t>
  </si>
  <si>
    <t>BIPOLAR 12</t>
  </si>
  <si>
    <t>CLAVIJA</t>
  </si>
  <si>
    <t>PASTINA ARENA</t>
  </si>
  <si>
    <t>LLAV COMBINADA 8</t>
  </si>
  <si>
    <t>TOPER DE GOMA</t>
  </si>
  <si>
    <t>RAMPLU 6</t>
  </si>
  <si>
    <t>BROCA FIERRO DEBOR 10</t>
  </si>
  <si>
    <t>SILICONA TRNAS</t>
  </si>
  <si>
    <t>ESCAMOCITA 1KL</t>
  </si>
  <si>
    <t>CHICHARRA UYUSTTOL</t>
  </si>
  <si>
    <t>BROCA TR</t>
  </si>
  <si>
    <t>BROCA TOLS</t>
  </si>
  <si>
    <t>RASTRILLO</t>
  </si>
  <si>
    <t>ESCARDILLO</t>
  </si>
  <si>
    <t>ESTENCION TALADRO</t>
  </si>
  <si>
    <t>SENSOR DE MOVIMIENTO</t>
  </si>
  <si>
    <t>JUEGO DE RIEGO 3/4</t>
  </si>
  <si>
    <t>AEROSOL PLAEADO</t>
  </si>
  <si>
    <t>ESCAMOCITA 1/2KL</t>
  </si>
  <si>
    <t>CINCEL TOLSNE</t>
  </si>
  <si>
    <t>LAVADORA GRIFO</t>
  </si>
  <si>
    <t>TEDLON</t>
  </si>
  <si>
    <t>40m</t>
  </si>
  <si>
    <t>perlon 8</t>
  </si>
  <si>
    <t>2kl</t>
  </si>
  <si>
    <t>alambre de amarre</t>
  </si>
  <si>
    <t>6kl</t>
  </si>
  <si>
    <t>alamvre gal 12</t>
  </si>
  <si>
    <t>grampas 1/4</t>
  </si>
  <si>
    <t>2m</t>
  </si>
  <si>
    <t>manguera nive 3/4</t>
  </si>
  <si>
    <t>mini alicate de corte tr</t>
  </si>
  <si>
    <t>mini alicate de corte tolsen</t>
  </si>
  <si>
    <t>presinto 30cm</t>
  </si>
  <si>
    <t>estillete tr</t>
  </si>
  <si>
    <t>wd40</t>
  </si>
  <si>
    <t>REGULADOR DE GAS</t>
  </si>
  <si>
    <t>JUEGOD E TIJERAS</t>
  </si>
  <si>
    <t>BROCA ENCASTRE</t>
  </si>
  <si>
    <t>BROCA</t>
  </si>
  <si>
    <t>PALA</t>
  </si>
  <si>
    <t>JUAEGOD E PINTAS</t>
  </si>
  <si>
    <t xml:space="preserve">HILO DE PESCAR </t>
  </si>
  <si>
    <t>PRESN RESORTE</t>
  </si>
  <si>
    <t>JUEGOD E GUBIAS</t>
  </si>
  <si>
    <t>CORREA TOLSEN</t>
  </si>
  <si>
    <t>CUBRE CABLE 10*20</t>
  </si>
  <si>
    <t>SILICON RTV</t>
  </si>
  <si>
    <t>CARBON 123</t>
  </si>
  <si>
    <t>PRENSAS</t>
  </si>
  <si>
    <t>JGO DE LLIJAS</t>
  </si>
  <si>
    <t>RODAPIE</t>
  </si>
  <si>
    <t>DISCO DE PULIR</t>
  </si>
  <si>
    <t xml:space="preserve">SILICONA AMERICAN </t>
  </si>
  <si>
    <t>RAMPLU</t>
  </si>
  <si>
    <t>PIE DE AMIGO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</si>
</sst>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B45F06"/>
        <bgColor rgb="FFB45F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85.0</v>
      </c>
      <c r="E8" s="8">
        <v>46273.34987798611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30.0</v>
      </c>
      <c r="E9" s="8">
        <v>46273.35016298611</v>
      </c>
      <c r="F9" s="2"/>
      <c r="G9" s="9" t="s">
        <v>9</v>
      </c>
      <c r="H9" s="10">
        <v>78.5</v>
      </c>
      <c r="I9" s="2"/>
      <c r="J9" s="9" t="s">
        <v>10</v>
      </c>
      <c r="K9" s="10">
        <v>452.0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10.0</v>
      </c>
      <c r="E10" s="8">
        <v>46273.35031471065</v>
      </c>
      <c r="F10" s="2"/>
      <c r="G10" s="9" t="s">
        <v>12</v>
      </c>
      <c r="H10" s="10">
        <v>450.0</v>
      </c>
      <c r="I10" s="2"/>
      <c r="J10" s="9" t="s">
        <v>13</v>
      </c>
      <c r="K10" s="11">
        <f>SUM(PRINCIPAL[TOTAL])</f>
        <v>7677.5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12.0</v>
      </c>
      <c r="E11" s="8">
        <v>46273.35439537037</v>
      </c>
      <c r="F11" s="2"/>
      <c r="G11" s="9" t="s">
        <v>15</v>
      </c>
      <c r="H11" s="10">
        <v>3650.0</v>
      </c>
      <c r="I11" s="2"/>
      <c r="J11" s="9" t="s">
        <v>16</v>
      </c>
      <c r="K11" s="10">
        <v>380.0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36.0</v>
      </c>
      <c r="C12" s="7" t="s">
        <v>17</v>
      </c>
      <c r="D12" s="6">
        <v>19.5</v>
      </c>
      <c r="E12" s="8">
        <v>46273.35796836806</v>
      </c>
      <c r="F12" s="2"/>
      <c r="G12" s="9" t="s">
        <v>18</v>
      </c>
      <c r="H12" s="12">
        <f>SUM(G24:H361)</f>
        <v>4360.5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5.0</v>
      </c>
      <c r="C13" s="7" t="s">
        <v>19</v>
      </c>
      <c r="D13" s="6">
        <v>490.0</v>
      </c>
      <c r="E13" s="8">
        <v>46273.363854375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24.0</v>
      </c>
      <c r="C14" s="7" t="s">
        <v>21</v>
      </c>
      <c r="D14" s="6">
        <v>288.0</v>
      </c>
      <c r="E14" s="8">
        <v>46273.36396657408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6.0</v>
      </c>
      <c r="C15" s="7" t="s">
        <v>23</v>
      </c>
      <c r="D15" s="6">
        <v>222.0</v>
      </c>
      <c r="E15" s="8">
        <v>46273.3641071875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24.0</v>
      </c>
      <c r="C16" s="7" t="s">
        <v>24</v>
      </c>
      <c r="D16" s="6">
        <v>432.0</v>
      </c>
      <c r="E16" s="8">
        <v>46273.36416833333</v>
      </c>
      <c r="F16" s="2"/>
      <c r="G16" s="15" t="s">
        <v>25</v>
      </c>
      <c r="H16" s="16">
        <f>SUM(H9:H14)</f>
        <v>8539</v>
      </c>
      <c r="I16" s="3"/>
      <c r="J16" s="15" t="s">
        <v>26</v>
      </c>
      <c r="K16" s="16">
        <f>SUM(K9:K11)</f>
        <v>8509.5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18.0</v>
      </c>
      <c r="E17" s="8">
        <v>46273.365747476855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5.0</v>
      </c>
      <c r="C18" s="7" t="s">
        <v>28</v>
      </c>
      <c r="D18" s="6">
        <v>120.0</v>
      </c>
      <c r="E18" s="8">
        <v>46273.38216959491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29,50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5.0</v>
      </c>
      <c r="C19" s="7" t="s">
        <v>29</v>
      </c>
      <c r="D19" s="6">
        <v>15.0</v>
      </c>
      <c r="E19" s="8">
        <v>46273.3841209838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5.0</v>
      </c>
      <c r="C20" s="7" t="s">
        <v>29</v>
      </c>
      <c r="D20" s="6">
        <v>17.5</v>
      </c>
      <c r="E20" s="8">
        <v>46273.38416230324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117.0</v>
      </c>
      <c r="E21" s="8">
        <v>46273.38946320602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31</v>
      </c>
      <c r="D22" s="6">
        <v>70.0</v>
      </c>
      <c r="E22" s="8">
        <v>46273.394409456014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99.0</v>
      </c>
      <c r="E23" s="8">
        <v>46273.394480393516</v>
      </c>
      <c r="F23" s="2"/>
      <c r="G23" s="19" t="s">
        <v>33</v>
      </c>
      <c r="H23" s="19" t="s">
        <v>34</v>
      </c>
      <c r="I23" s="2"/>
      <c r="J23" s="20" t="s">
        <v>35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3.0</v>
      </c>
      <c r="C24" s="7" t="s">
        <v>31</v>
      </c>
      <c r="D24" s="6">
        <v>66.0</v>
      </c>
      <c r="E24" s="8">
        <v>46273.41281432871</v>
      </c>
      <c r="F24" s="2"/>
      <c r="G24" s="22">
        <v>85.0</v>
      </c>
      <c r="H24" s="22">
        <v>1432.0</v>
      </c>
      <c r="I24" s="2"/>
      <c r="J24" s="23" t="s">
        <v>36</v>
      </c>
      <c r="K24" s="24">
        <f>SUM(INGRESOS_YAPE[])</f>
        <v>4360.5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37</v>
      </c>
      <c r="D25" s="6">
        <v>20.0</v>
      </c>
      <c r="E25" s="8">
        <v>46273.41284902778</v>
      </c>
      <c r="F25" s="2"/>
      <c r="G25" s="22">
        <v>18.0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7.0</v>
      </c>
      <c r="C26" s="7" t="s">
        <v>38</v>
      </c>
      <c r="D26" s="6">
        <v>10.5</v>
      </c>
      <c r="E26" s="8">
        <v>46273.41299660879</v>
      </c>
      <c r="F26" s="2"/>
      <c r="G26" s="26">
        <v>117.0</v>
      </c>
      <c r="H26" s="25"/>
      <c r="I26" s="2"/>
      <c r="J26" s="27" t="s">
        <v>39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29">
        <v>20.0</v>
      </c>
      <c r="E27" s="8">
        <v>46273.41324171296</v>
      </c>
      <c r="F27" s="2"/>
      <c r="G27" s="22">
        <v>234.0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3.0</v>
      </c>
      <c r="C28" s="7" t="s">
        <v>41</v>
      </c>
      <c r="D28" s="6">
        <v>102.0</v>
      </c>
      <c r="E28" s="8">
        <v>46273.41382570602</v>
      </c>
      <c r="F28" s="2"/>
      <c r="G28" s="22">
        <v>31.0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3.0</v>
      </c>
      <c r="C29" s="7" t="s">
        <v>42</v>
      </c>
      <c r="D29" s="6">
        <v>82.5</v>
      </c>
      <c r="E29" s="8">
        <v>46273.41402023148</v>
      </c>
      <c r="F29" s="2"/>
      <c r="G29" s="22">
        <v>4.0</v>
      </c>
      <c r="H29" s="25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4360,50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215.0</v>
      </c>
      <c r="E30" s="8">
        <v>46273.4142730787</v>
      </c>
      <c r="F30" s="2"/>
      <c r="G30" s="22">
        <v>204.0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10.0</v>
      </c>
      <c r="C31" s="7" t="s">
        <v>44</v>
      </c>
      <c r="D31" s="6">
        <v>200.0</v>
      </c>
      <c r="E31" s="8">
        <v>46273.414373125</v>
      </c>
      <c r="F31" s="2"/>
      <c r="G31" s="22">
        <v>16.0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4.0</v>
      </c>
      <c r="C32" s="7" t="s">
        <v>45</v>
      </c>
      <c r="D32" s="6">
        <v>28.0</v>
      </c>
      <c r="E32" s="8">
        <v>46273.414575613424</v>
      </c>
      <c r="F32" s="2"/>
      <c r="G32" s="22">
        <v>5.0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121.0</v>
      </c>
      <c r="E33" s="8">
        <v>46273.414705358795</v>
      </c>
      <c r="F33" s="2"/>
      <c r="G33" s="22">
        <v>88.0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29">
        <v>22.0</v>
      </c>
      <c r="E34" s="8">
        <v>46273.41521016204</v>
      </c>
      <c r="F34" s="2"/>
      <c r="G34" s="22">
        <v>240.0</v>
      </c>
      <c r="H34" s="25"/>
      <c r="I34" s="2"/>
      <c r="J34" s="31" t="s">
        <v>48</v>
      </c>
      <c r="K34" s="31" t="s">
        <v>49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50</v>
      </c>
      <c r="D35" s="6">
        <v>33.0</v>
      </c>
      <c r="E35" s="8">
        <v>46273.42221989583</v>
      </c>
      <c r="F35" s="2"/>
      <c r="G35" s="22">
        <v>55.0</v>
      </c>
      <c r="H35" s="25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51</v>
      </c>
      <c r="D36" s="6">
        <v>53.0</v>
      </c>
      <c r="E36" s="8">
        <v>46273.42174666667</v>
      </c>
      <c r="F36" s="2"/>
      <c r="G36" s="22">
        <v>97.0</v>
      </c>
      <c r="H36" s="25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40.0</v>
      </c>
      <c r="E37" s="8">
        <v>46273.42177826389</v>
      </c>
      <c r="F37" s="2"/>
      <c r="G37" s="22">
        <v>42.0</v>
      </c>
      <c r="H37" s="25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3.0</v>
      </c>
      <c r="C38" s="7" t="s">
        <v>52</v>
      </c>
      <c r="D38" s="6">
        <v>36.0</v>
      </c>
      <c r="E38" s="8">
        <v>46273.42227084491</v>
      </c>
      <c r="F38" s="2"/>
      <c r="G38" s="22">
        <v>110.0</v>
      </c>
      <c r="H38" s="25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5.0</v>
      </c>
      <c r="C39" s="7" t="s">
        <v>53</v>
      </c>
      <c r="D39" s="6">
        <v>25.0</v>
      </c>
      <c r="E39" s="8">
        <v>46273.42185305555</v>
      </c>
      <c r="F39" s="2"/>
      <c r="G39" s="22">
        <v>28.0</v>
      </c>
      <c r="H39" s="25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47.0</v>
      </c>
      <c r="E40" s="8">
        <v>46273.42192527778</v>
      </c>
      <c r="F40" s="2"/>
      <c r="G40" s="22">
        <v>196.0</v>
      </c>
      <c r="H40" s="25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33.0</v>
      </c>
      <c r="E41" s="8">
        <v>46273.423403622684</v>
      </c>
      <c r="F41" s="2"/>
      <c r="G41" s="22">
        <v>40.0</v>
      </c>
      <c r="H41" s="25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56</v>
      </c>
      <c r="D42" s="6">
        <v>12.0</v>
      </c>
      <c r="E42" s="8">
        <v>46273.42578798611</v>
      </c>
      <c r="F42" s="2"/>
      <c r="G42" s="22">
        <v>25.0</v>
      </c>
      <c r="H42" s="25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124.0</v>
      </c>
      <c r="E43" s="8">
        <v>46273.42575618056</v>
      </c>
      <c r="F43" s="2"/>
      <c r="G43" s="22">
        <v>28.0</v>
      </c>
      <c r="H43" s="25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6.0</v>
      </c>
      <c r="C44" s="7" t="s">
        <v>58</v>
      </c>
      <c r="D44" s="6">
        <v>2.5</v>
      </c>
      <c r="E44" s="8">
        <v>46273.42571556713</v>
      </c>
      <c r="F44" s="2"/>
      <c r="G44" s="22">
        <v>80.0</v>
      </c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6.0</v>
      </c>
      <c r="C45" s="7" t="s">
        <v>59</v>
      </c>
      <c r="D45" s="6">
        <v>0.5</v>
      </c>
      <c r="E45" s="8">
        <v>46273.425679733795</v>
      </c>
      <c r="F45" s="2"/>
      <c r="G45" s="22">
        <v>10.0</v>
      </c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37.0</v>
      </c>
      <c r="E46" s="8">
        <v>46273.431358657406</v>
      </c>
      <c r="F46" s="2"/>
      <c r="G46" s="22">
        <v>40.0</v>
      </c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31.0</v>
      </c>
      <c r="E47" s="8">
        <v>46273.43510055555</v>
      </c>
      <c r="F47" s="2"/>
      <c r="G47" s="22">
        <v>40.0</v>
      </c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12.0</v>
      </c>
      <c r="E48" s="34"/>
      <c r="F48" s="2"/>
      <c r="G48" s="22">
        <v>20.0</v>
      </c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63</v>
      </c>
      <c r="D49" s="6">
        <v>22.0</v>
      </c>
      <c r="E49" s="8">
        <v>46273.46397545139</v>
      </c>
      <c r="F49" s="2"/>
      <c r="G49" s="22">
        <v>594.0</v>
      </c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64</v>
      </c>
      <c r="D50" s="6">
        <v>44.0</v>
      </c>
      <c r="E50" s="8">
        <v>46273.464157407405</v>
      </c>
      <c r="F50" s="2"/>
      <c r="G50" s="22">
        <v>44.0</v>
      </c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12.0</v>
      </c>
      <c r="E51" s="8">
        <v>46273.46460099537</v>
      </c>
      <c r="F51" s="2"/>
      <c r="G51" s="22">
        <v>18.0</v>
      </c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102.0</v>
      </c>
      <c r="E52" s="8">
        <v>46273.46486011574</v>
      </c>
      <c r="F52" s="2"/>
      <c r="G52" s="22">
        <v>270.0</v>
      </c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72.0</v>
      </c>
      <c r="E53" s="8">
        <v>46273.464966875</v>
      </c>
      <c r="F53" s="2"/>
      <c r="G53" s="22">
        <v>89.0</v>
      </c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68</v>
      </c>
      <c r="D54" s="6">
        <v>6.0</v>
      </c>
      <c r="E54" s="8">
        <v>46273.465075127315</v>
      </c>
      <c r="F54" s="2"/>
      <c r="G54" s="22">
        <v>26.0</v>
      </c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69</v>
      </c>
      <c r="C55" s="7" t="s">
        <v>70</v>
      </c>
      <c r="D55" s="6">
        <v>12.0</v>
      </c>
      <c r="E55" s="8">
        <v>46273.46522702546</v>
      </c>
      <c r="F55" s="2"/>
      <c r="G55" s="22">
        <v>34.5</v>
      </c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4.0</v>
      </c>
      <c r="C56" s="7" t="s">
        <v>71</v>
      </c>
      <c r="D56" s="6">
        <v>40.0</v>
      </c>
      <c r="E56" s="8">
        <v>46273.46558842593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 t="s">
        <v>72</v>
      </c>
      <c r="C57" s="7" t="s">
        <v>73</v>
      </c>
      <c r="D57" s="6">
        <v>300.0</v>
      </c>
      <c r="E57" s="8">
        <v>46273.46576914351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126.0</v>
      </c>
      <c r="E58" s="8">
        <v>46273.4871621875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60.0</v>
      </c>
      <c r="E59" s="8">
        <v>46273.487279699075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50.0</v>
      </c>
      <c r="E60" s="8">
        <v>46273.495496724536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 t="s">
        <v>77</v>
      </c>
      <c r="C61" s="7" t="s">
        <v>78</v>
      </c>
      <c r="D61" s="6">
        <v>35.0</v>
      </c>
      <c r="E61" s="8">
        <v>46273.51593569445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13.0</v>
      </c>
      <c r="E62" s="34"/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80</v>
      </c>
      <c r="D63" s="6">
        <v>10.0</v>
      </c>
      <c r="E63" s="8">
        <v>46273.516163576394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81</v>
      </c>
      <c r="C64" s="7" t="s">
        <v>82</v>
      </c>
      <c r="D64" s="6">
        <v>125.0</v>
      </c>
      <c r="E64" s="8">
        <v>46273.51630150463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 t="s">
        <v>83</v>
      </c>
      <c r="C65" s="7" t="s">
        <v>84</v>
      </c>
      <c r="D65" s="6">
        <v>32.5</v>
      </c>
      <c r="E65" s="8">
        <v>46273.5164984838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26.0</v>
      </c>
      <c r="E66" s="8">
        <v>46273.51670097222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7.0</v>
      </c>
      <c r="E67" s="8">
        <v>46273.51685585648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178.0</v>
      </c>
      <c r="E68" s="8">
        <v>46273.51695123843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3.0</v>
      </c>
      <c r="E69" s="8">
        <v>46273.5169870949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59.0</v>
      </c>
      <c r="E70" s="8">
        <v>46273.51709361111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90</v>
      </c>
      <c r="D71" s="6">
        <v>8.0</v>
      </c>
      <c r="E71" s="8">
        <v>46273.56412435185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6.0</v>
      </c>
      <c r="C72" s="7" t="s">
        <v>91</v>
      </c>
      <c r="D72" s="6">
        <v>8.0</v>
      </c>
      <c r="E72" s="8">
        <v>46273.564317870376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92</v>
      </c>
      <c r="D73" s="6">
        <v>13.0</v>
      </c>
      <c r="E73" s="8">
        <v>46273.56442996528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93</v>
      </c>
      <c r="D74" s="6">
        <v>8.0</v>
      </c>
      <c r="E74" s="8">
        <v>46273.564690625004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94</v>
      </c>
      <c r="C75" s="7" t="s">
        <v>95</v>
      </c>
      <c r="D75" s="6">
        <v>12.0</v>
      </c>
      <c r="E75" s="8">
        <v>46273.56460601852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96</v>
      </c>
      <c r="D76" s="6">
        <v>6.0</v>
      </c>
      <c r="E76" s="8">
        <v>46273.56453988426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97</v>
      </c>
      <c r="D77" s="6">
        <v>23.0</v>
      </c>
      <c r="E77" s="8">
        <v>46273.57855006945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98</v>
      </c>
      <c r="D78" s="6">
        <v>16.0</v>
      </c>
      <c r="E78" s="8">
        <v>46273.59389125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99</v>
      </c>
      <c r="D79" s="6">
        <v>6.0</v>
      </c>
      <c r="E79" s="8">
        <v>46273.59396283564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12.0</v>
      </c>
      <c r="C80" s="7" t="s">
        <v>100</v>
      </c>
      <c r="D80" s="6">
        <v>1.5</v>
      </c>
      <c r="E80" s="8">
        <v>46273.59412833334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101</v>
      </c>
      <c r="D81" s="6">
        <v>65.0</v>
      </c>
      <c r="E81" s="8">
        <v>46273.59722892361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102</v>
      </c>
      <c r="D82" s="6">
        <v>32.0</v>
      </c>
      <c r="E82" s="8">
        <v>46273.597908634256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103</v>
      </c>
      <c r="D83" s="6">
        <v>42.0</v>
      </c>
      <c r="E83" s="8">
        <v>46273.5993200463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104</v>
      </c>
      <c r="D84" s="6">
        <v>110.0</v>
      </c>
      <c r="E84" s="8">
        <v>46273.603466319444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105</v>
      </c>
      <c r="D85" s="6">
        <v>98.0</v>
      </c>
      <c r="E85" s="8">
        <v>46273.613161851856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106</v>
      </c>
      <c r="D86" s="6">
        <v>24.0</v>
      </c>
      <c r="E86" s="8">
        <v>46273.613331458335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106</v>
      </c>
      <c r="D87" s="6">
        <v>74.0</v>
      </c>
      <c r="E87" s="8">
        <v>46273.61351354167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107</v>
      </c>
      <c r="D88" s="6">
        <v>22.5</v>
      </c>
      <c r="E88" s="8">
        <v>46273.62430822916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108</v>
      </c>
      <c r="D89" s="6">
        <v>17.0</v>
      </c>
      <c r="E89" s="8">
        <v>46273.62440825232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109</v>
      </c>
      <c r="D90" s="29">
        <v>28.0</v>
      </c>
      <c r="E90" s="8">
        <v>46273.6301224537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110</v>
      </c>
      <c r="D91" s="6">
        <v>148.0</v>
      </c>
      <c r="E91" s="8">
        <v>46273.630230219904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111</v>
      </c>
      <c r="D92" s="6">
        <v>40.0</v>
      </c>
      <c r="E92" s="8">
        <v>46273.63469375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112</v>
      </c>
      <c r="D93" s="6">
        <v>20.0</v>
      </c>
      <c r="E93" s="8">
        <v>46273.63480310186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113</v>
      </c>
      <c r="D94" s="6">
        <v>25.0</v>
      </c>
      <c r="E94" s="8">
        <v>46273.63820028935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114</v>
      </c>
      <c r="D95" s="6">
        <v>28.0</v>
      </c>
      <c r="E95" s="8">
        <v>46273.64967211806</v>
      </c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115</v>
      </c>
      <c r="D96" s="6">
        <v>119.0</v>
      </c>
      <c r="E96" s="8">
        <v>46273.65291024305</v>
      </c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116</v>
      </c>
      <c r="D97" s="6">
        <v>3.0</v>
      </c>
      <c r="E97" s="8">
        <v>46273.65298423611</v>
      </c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92</v>
      </c>
      <c r="D98" s="6">
        <v>10.0</v>
      </c>
      <c r="E98" s="8">
        <v>46273.65489967592</v>
      </c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 t="s">
        <v>117</v>
      </c>
      <c r="C99" s="7" t="s">
        <v>118</v>
      </c>
      <c r="D99" s="6">
        <v>160.0</v>
      </c>
      <c r="E99" s="8">
        <v>46273.6571649074</v>
      </c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 t="s">
        <v>119</v>
      </c>
      <c r="C100" s="7" t="s">
        <v>120</v>
      </c>
      <c r="D100" s="6">
        <v>40.0</v>
      </c>
      <c r="E100" s="8">
        <v>46273.657909918984</v>
      </c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 t="s">
        <v>121</v>
      </c>
      <c r="C101" s="7" t="s">
        <v>122</v>
      </c>
      <c r="D101" s="6">
        <v>180.0</v>
      </c>
      <c r="E101" s="8">
        <v>46273.657963923615</v>
      </c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10.0</v>
      </c>
      <c r="C102" s="7" t="s">
        <v>123</v>
      </c>
      <c r="D102" s="6">
        <v>110.0</v>
      </c>
      <c r="E102" s="8">
        <v>46273.658181412036</v>
      </c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 t="s">
        <v>124</v>
      </c>
      <c r="C103" s="7" t="s">
        <v>125</v>
      </c>
      <c r="D103" s="6">
        <v>40.0</v>
      </c>
      <c r="E103" s="8">
        <v>46273.677351122686</v>
      </c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126</v>
      </c>
      <c r="D104" s="6">
        <v>58.0</v>
      </c>
      <c r="E104" s="8">
        <v>46273.67904653936</v>
      </c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127</v>
      </c>
      <c r="D105" s="6">
        <v>30.5</v>
      </c>
      <c r="E105" s="8">
        <v>46273.679136226856</v>
      </c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128</v>
      </c>
      <c r="D106" s="6">
        <v>40.0</v>
      </c>
      <c r="E106" s="8">
        <v>46273.69308777778</v>
      </c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129</v>
      </c>
      <c r="D107" s="29">
        <v>20.0</v>
      </c>
      <c r="E107" s="8">
        <v>46273.693161874995</v>
      </c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130</v>
      </c>
      <c r="D108" s="6">
        <v>90.0</v>
      </c>
      <c r="E108" s="8">
        <v>46273.697061886574</v>
      </c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131</v>
      </c>
      <c r="D109" s="6">
        <v>44.0</v>
      </c>
      <c r="E109" s="8">
        <v>46273.72120046296</v>
      </c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132</v>
      </c>
      <c r="D110" s="6">
        <v>165.0</v>
      </c>
      <c r="E110" s="8">
        <v>46273.72348748843</v>
      </c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2.0</v>
      </c>
      <c r="C111" s="7" t="s">
        <v>133</v>
      </c>
      <c r="D111" s="6">
        <v>42.0</v>
      </c>
      <c r="E111" s="8">
        <v>46273.72353642361</v>
      </c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134</v>
      </c>
      <c r="D112" s="6">
        <v>31.0</v>
      </c>
      <c r="E112" s="8">
        <v>46273.72470103009</v>
      </c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135</v>
      </c>
      <c r="D113" s="6">
        <v>55.0</v>
      </c>
      <c r="E113" s="8">
        <v>46273.72471711806</v>
      </c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136</v>
      </c>
      <c r="D114" s="6">
        <v>46.0</v>
      </c>
      <c r="E114" s="8">
        <v>46273.724837256945</v>
      </c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1.0</v>
      </c>
      <c r="C115" s="7" t="s">
        <v>137</v>
      </c>
      <c r="D115" s="6">
        <v>34.0</v>
      </c>
      <c r="E115" s="8">
        <v>46273.723896192125</v>
      </c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137</v>
      </c>
      <c r="D116" s="6">
        <v>26.0</v>
      </c>
      <c r="E116" s="8">
        <v>46273.724890983794</v>
      </c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11.0</v>
      </c>
      <c r="C117" s="7" t="s">
        <v>138</v>
      </c>
      <c r="D117" s="6">
        <v>99.0</v>
      </c>
      <c r="E117" s="8">
        <v>46273.724970324074</v>
      </c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1.0</v>
      </c>
      <c r="C118" s="7" t="s">
        <v>139</v>
      </c>
      <c r="D118" s="6">
        <v>54.0</v>
      </c>
      <c r="E118" s="8">
        <v>46273.725124178236</v>
      </c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140</v>
      </c>
      <c r="D119" s="6">
        <v>42.0</v>
      </c>
      <c r="E119" s="8">
        <v>46273.725239293984</v>
      </c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2.0</v>
      </c>
      <c r="C120" s="7" t="s">
        <v>141</v>
      </c>
      <c r="D120" s="6">
        <v>18.0</v>
      </c>
      <c r="E120" s="8">
        <v>46273.72709814815</v>
      </c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1.0</v>
      </c>
      <c r="C121" s="7" t="s">
        <v>142</v>
      </c>
      <c r="D121" s="6">
        <v>18.0</v>
      </c>
      <c r="E121" s="8">
        <v>46273.73582418982</v>
      </c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>
        <v>1.0</v>
      </c>
      <c r="C122" s="7" t="s">
        <v>143</v>
      </c>
      <c r="D122" s="35">
        <v>28.0</v>
      </c>
      <c r="E122" s="8">
        <v>46273.736057511574</v>
      </c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6">
        <v>2.0</v>
      </c>
      <c r="C123" s="7" t="s">
        <v>144</v>
      </c>
      <c r="D123" s="6">
        <v>260.0</v>
      </c>
      <c r="E123" s="8">
        <v>46273.74918143518</v>
      </c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6">
        <v>1.0</v>
      </c>
      <c r="C124" s="7" t="s">
        <v>145</v>
      </c>
      <c r="D124" s="6">
        <v>10.0</v>
      </c>
      <c r="E124" s="8">
        <v>46273.74941538194</v>
      </c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6">
        <v>4.0</v>
      </c>
      <c r="C125" s="7" t="s">
        <v>146</v>
      </c>
      <c r="D125" s="6">
        <v>28.0</v>
      </c>
      <c r="E125" s="8">
        <v>46273.75780202546</v>
      </c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6">
        <v>1.0</v>
      </c>
      <c r="C126" s="7" t="s">
        <v>147</v>
      </c>
      <c r="D126" s="6">
        <v>89.0</v>
      </c>
      <c r="E126" s="8">
        <v>46273.75811372686</v>
      </c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6">
        <v>1.0</v>
      </c>
      <c r="C127" s="7" t="s">
        <v>148</v>
      </c>
      <c r="D127" s="6">
        <v>26.0</v>
      </c>
      <c r="E127" s="8">
        <v>46273.76917613426</v>
      </c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6">
        <v>6.0</v>
      </c>
      <c r="C128" s="7" t="s">
        <v>149</v>
      </c>
      <c r="D128" s="6">
        <v>1.5</v>
      </c>
      <c r="E128" s="8">
        <v>46273.77674769676</v>
      </c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6">
        <v>2.0</v>
      </c>
      <c r="C129" s="7" t="s">
        <v>150</v>
      </c>
      <c r="D129" s="6">
        <v>12.0</v>
      </c>
      <c r="E129" s="8">
        <v>46273.77696902778</v>
      </c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6">
        <v>1.0</v>
      </c>
      <c r="C130" s="7" t="s">
        <v>134</v>
      </c>
      <c r="D130" s="6">
        <v>21.0</v>
      </c>
      <c r="E130" s="8">
        <v>46273.77713927084</v>
      </c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34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34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34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4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4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4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4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4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4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4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4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4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4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4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4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4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4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4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4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4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4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4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4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4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4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4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4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4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4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4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4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4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4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4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4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4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4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4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4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4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4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4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4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4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4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4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4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4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4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4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4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4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4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4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4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4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4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4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4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4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4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4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4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4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4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4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4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4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4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4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4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4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4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4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4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4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4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4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4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4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4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4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4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4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4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4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4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4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4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4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4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4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4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4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4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4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4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4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4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4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4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4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4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4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4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4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4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4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4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4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4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4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4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4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4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4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4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4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4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4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4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4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4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4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4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4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4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4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4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4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4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4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4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4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4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4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4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4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4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4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4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4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4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4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4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4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4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4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4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4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4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4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4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4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4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4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4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4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4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4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4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4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4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4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4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4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4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4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4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4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4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