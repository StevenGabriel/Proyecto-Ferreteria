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<sst xmlns="http://schemas.openxmlformats.org/spreadsheetml/2006/main" count="123" uniqueCount="121">
  <si>
    <t>HOJA DE CALCULO FERRETERIA</t>
  </si>
  <si>
    <t>CODIGO</t>
  </si>
  <si>
    <t>CANTIDAD</t>
  </si>
  <si>
    <t>DESCRIPCION</t>
  </si>
  <si>
    <t>TOTAL</t>
  </si>
  <si>
    <t>HORA</t>
  </si>
  <si>
    <t>CUADRAR</t>
  </si>
  <si>
    <t>cautin 200</t>
  </si>
  <si>
    <t>varras destaño</t>
  </si>
  <si>
    <t>MONEDAS</t>
  </si>
  <si>
    <t>CAJA CHICA</t>
  </si>
  <si>
    <t>parabpm 20 p</t>
  </si>
  <si>
    <t>BILLETES 10-20</t>
  </si>
  <si>
    <t>TOTAL VENTAS DIA</t>
  </si>
  <si>
    <t>chapa travex</t>
  </si>
  <si>
    <t>BILLETES 50-100-200</t>
  </si>
  <si>
    <t>AUMENTO DE DINERO</t>
  </si>
  <si>
    <t>adaptador</t>
  </si>
  <si>
    <t>INGRESOS YAPE</t>
  </si>
  <si>
    <t>chicharra tolse</t>
  </si>
  <si>
    <t>INGRESOS TARJETA</t>
  </si>
  <si>
    <t>tubo led</t>
  </si>
  <si>
    <t>GASTOS VARIOS</t>
  </si>
  <si>
    <t>adaptador  1/2*3/8</t>
  </si>
  <si>
    <t>candados</t>
  </si>
  <si>
    <t>DINERO GANADO HOY:</t>
  </si>
  <si>
    <t>CANTIDAD DINERO CAJA:</t>
  </si>
  <si>
    <t>ALDAVAS</t>
  </si>
  <si>
    <t>RENOVEDOR PASTOSO *********</t>
  </si>
  <si>
    <t>M LJJA 100</t>
  </si>
  <si>
    <t>WINCHA TRUPER</t>
  </si>
  <si>
    <t>JGO DE PUNTAS DESAR</t>
  </si>
  <si>
    <t>LINTERNA</t>
  </si>
  <si>
    <t>JUEGO DE ACOPLES TOLSE</t>
  </si>
  <si>
    <t>YAPE MAMÁ</t>
  </si>
  <si>
    <t>YAPE PAPÁ</t>
  </si>
  <si>
    <t>YAPE</t>
  </si>
  <si>
    <t>CONECTOR RAPIDO</t>
  </si>
  <si>
    <t>Monto Total YAPE (No tocar):</t>
  </si>
  <si>
    <t xml:space="preserve">M MANGUEA NIVEL </t>
  </si>
  <si>
    <t>ADAPTADO</t>
  </si>
  <si>
    <t>Monto Total Registrado en aplicacion</t>
  </si>
  <si>
    <t>TEKNOCOLA</t>
  </si>
  <si>
    <t>SIKA 1</t>
  </si>
  <si>
    <t>CINCEL TRPER</t>
  </si>
  <si>
    <t>TUBO CONDUIT</t>
  </si>
  <si>
    <t>placa simple tv cable</t>
  </si>
  <si>
    <t>juego de herramiendas de jardineria</t>
  </si>
  <si>
    <t>bota 26 tr</t>
  </si>
  <si>
    <t>disco galleta</t>
  </si>
  <si>
    <t>PAGOS YAPE</t>
  </si>
  <si>
    <t>DESCRIPCION PAGO</t>
  </si>
  <si>
    <t>dsicio esmeril turper</t>
  </si>
  <si>
    <t>foco tramonia</t>
  </si>
  <si>
    <t>m hule 1,50</t>
  </si>
  <si>
    <t>broca router truper</t>
  </si>
  <si>
    <t>chip 3.5x35</t>
  </si>
  <si>
    <t>ramplu 6</t>
  </si>
  <si>
    <t>broca madera 3</t>
  </si>
  <si>
    <t>ESPIGA</t>
  </si>
  <si>
    <t>REDUCTOR 1-3/4</t>
  </si>
  <si>
    <t>BOTIN 43</t>
  </si>
  <si>
    <t>ASPERSOR TRAMON</t>
  </si>
  <si>
    <t>DESTAPACAÑOS</t>
  </si>
  <si>
    <t>CAJA DE HERRAMINTAS</t>
  </si>
  <si>
    <t>CAUTIN 80W</t>
  </si>
  <si>
    <t>POMADA PARA SOLDAR</t>
  </si>
  <si>
    <t>LENTES DE SEGURIDAD</t>
  </si>
  <si>
    <t>JUEGO ALICATEMINI PRESION</t>
  </si>
  <si>
    <t>PICO DE LORO</t>
  </si>
  <si>
    <t>ALICATE PICO DE LORO TR</t>
  </si>
  <si>
    <t>GRIF URINARIO</t>
  </si>
  <si>
    <t>GRIFO LAVAPLATOS</t>
  </si>
  <si>
    <t>JUEGO DE MINI ALICATES</t>
  </si>
  <si>
    <t>BROCA ENCASTRE 5</t>
  </si>
  <si>
    <t>DECRUST B</t>
  </si>
  <si>
    <t>GUATE GOMA</t>
  </si>
  <si>
    <t>CANDADO HR</t>
  </si>
  <si>
    <t>6M</t>
  </si>
  <si>
    <t>PERLO 4</t>
  </si>
  <si>
    <t>PRECINTO 20CM</t>
  </si>
  <si>
    <t>HIDROPISTOLA TR</t>
  </si>
  <si>
    <t>PICO</t>
  </si>
  <si>
    <t>ADAPTADOR 1/2</t>
  </si>
  <si>
    <t>ADAPTADOR ULYTA</t>
  </si>
  <si>
    <t>CINTA EMBALAJE</t>
  </si>
  <si>
    <t>POXIPOL TRANSPARENTE</t>
  </si>
  <si>
    <t>NIPLE 3/4</t>
  </si>
  <si>
    <t>LJA 1000</t>
  </si>
  <si>
    <t>PAS BISAGRA HR</t>
  </si>
  <si>
    <t xml:space="preserve">GUANTE </t>
  </si>
  <si>
    <t>RIEL</t>
  </si>
  <si>
    <t>ESCALERA MULTI FORTE</t>
  </si>
  <si>
    <t>GRAAPS</t>
  </si>
  <si>
    <t>RASTRILLO</t>
  </si>
  <si>
    <t>RIEL 50CM DELGADA</t>
  </si>
  <si>
    <t>ABRAZADERA 3/4</t>
  </si>
  <si>
    <t>PACA TRIPLE GRAFITO</t>
  </si>
  <si>
    <t>CUELLO CERA</t>
  </si>
  <si>
    <t>BROCA CONRETO 10</t>
  </si>
  <si>
    <t>riel de disyunt</t>
  </si>
  <si>
    <t>membrana bomba</t>
  </si>
  <si>
    <t>regleta 2 slidas</t>
  </si>
  <si>
    <t>clavija</t>
  </si>
  <si>
    <t>1m</t>
  </si>
  <si>
    <t>desague 4 plamat</t>
  </si>
  <si>
    <t xml:space="preserve">soquet </t>
  </si>
  <si>
    <t xml:space="preserve">tekocola </t>
  </si>
  <si>
    <t>juego ed puntas tr</t>
  </si>
  <si>
    <t>clefa 100</t>
  </si>
  <si>
    <t>disco corete uyus cncreto</t>
  </si>
  <si>
    <t>candado hermex</t>
  </si>
  <si>
    <t>manguera lavad 3</t>
  </si>
  <si>
    <t>perloon 8 mm</t>
  </si>
  <si>
    <t xml:space="preserve">corta setos </t>
  </si>
  <si>
    <t>enrrolaldoa tramon</t>
  </si>
  <si>
    <t>cina embalaje</t>
  </si>
  <si>
    <t>serrucho tosle</t>
  </si>
  <si>
    <t>JUEGO DE BROAS PAR MADERA</t>
  </si>
  <si>
    <t>CHIP 3,5*25</t>
  </si>
  <si>
    <t xml:space="preserve">SILICONA AKFI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</si>
</sst>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6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100.0</v>
      </c>
      <c r="E8" s="8">
        <v>46187.40349258102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50.0</v>
      </c>
      <c r="E9" s="8">
        <v>46187.40361408565</v>
      </c>
      <c r="F9" s="2"/>
      <c r="G9" s="9" t="s">
        <v>9</v>
      </c>
      <c r="H9" s="10">
        <v>361.0</v>
      </c>
      <c r="I9" s="2"/>
      <c r="J9" s="9" t="s">
        <v>10</v>
      </c>
      <c r="K9" s="10">
        <v>289.0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78.0</v>
      </c>
      <c r="E10" s="8">
        <v>46187.40471333334</v>
      </c>
      <c r="F10" s="2"/>
      <c r="G10" s="9" t="s">
        <v>12</v>
      </c>
      <c r="H10" s="10">
        <v>290.0</v>
      </c>
      <c r="I10" s="2"/>
      <c r="J10" s="9" t="s">
        <v>13</v>
      </c>
      <c r="K10" s="11">
        <f>SUM(PRINCIPAL[TOTAL])</f>
        <v>7826.5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190.0</v>
      </c>
      <c r="E11" s="8">
        <v>46187.40783865741</v>
      </c>
      <c r="F11" s="2"/>
      <c r="G11" s="9" t="s">
        <v>15</v>
      </c>
      <c r="H11" s="10">
        <v>3550.0</v>
      </c>
      <c r="I11" s="2"/>
      <c r="J11" s="9" t="s">
        <v>16</v>
      </c>
      <c r="K11" s="10">
        <v>200.0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5.0</v>
      </c>
      <c r="E12" s="8">
        <v>46187.416776631944</v>
      </c>
      <c r="F12" s="2"/>
      <c r="G12" s="9" t="s">
        <v>18</v>
      </c>
      <c r="H12" s="12">
        <f>SUM(G24:H361)</f>
        <v>4210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40.0</v>
      </c>
      <c r="E13" s="8">
        <v>46187.433079386574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24.0</v>
      </c>
      <c r="E14" s="8">
        <v>46187.43315739583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30.0</v>
      </c>
      <c r="E15" s="8">
        <v>46187.43328001157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138.0</v>
      </c>
      <c r="E16" s="8">
        <v>46187.45391490741</v>
      </c>
      <c r="F16" s="2"/>
      <c r="G16" s="15" t="s">
        <v>25</v>
      </c>
      <c r="H16" s="16">
        <f>SUM(H9:H14)</f>
        <v>8411</v>
      </c>
      <c r="I16" s="3"/>
      <c r="J16" s="15" t="s">
        <v>26</v>
      </c>
      <c r="K16" s="16">
        <f>SUM(K9:K11)</f>
        <v>8315.5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3.0</v>
      </c>
      <c r="C17" s="7" t="s">
        <v>27</v>
      </c>
      <c r="D17" s="6">
        <v>37.5</v>
      </c>
      <c r="E17" s="8">
        <v>46187.46101290509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30.0</v>
      </c>
      <c r="E18" s="8">
        <v>46187.464352337964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95,50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20.0</v>
      </c>
      <c r="E19" s="8">
        <v>46187.46190403935</v>
      </c>
      <c r="F19" s="2"/>
      <c r="L19" s="2"/>
      <c r="M19" s="2"/>
      <c r="N19" s="2"/>
      <c r="O19" s="2"/>
      <c r="P19" s="2"/>
      <c r="Q19" s="2"/>
    </row>
    <row r="20" ht="22.5" customHeight="1">
      <c r="A20" s="6">
        <v>1.0</v>
      </c>
      <c r="B20" s="6">
        <v>1.0</v>
      </c>
      <c r="C20" s="7" t="s">
        <v>30</v>
      </c>
      <c r="D20" s="6">
        <v>173.0</v>
      </c>
      <c r="E20" s="8">
        <v>46187.46228929398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55.0</v>
      </c>
      <c r="E21" s="8">
        <v>46187.47178921296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55.0</v>
      </c>
      <c r="E22" s="8">
        <v>46187.4720117824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22.0</v>
      </c>
      <c r="E23" s="8">
        <v>46187.48512490741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16.0</v>
      </c>
      <c r="E24" s="8">
        <v>46187.48521196759</v>
      </c>
      <c r="F24" s="2"/>
      <c r="G24" s="22">
        <v>50.0</v>
      </c>
      <c r="H24" s="23"/>
      <c r="I24" s="2"/>
      <c r="J24" s="24" t="s">
        <v>38</v>
      </c>
      <c r="K24" s="25">
        <f>SUM(INGRESOS_YAPE[])</f>
        <v>4210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6.5</v>
      </c>
      <c r="E25" s="8">
        <v>46187.49460619213</v>
      </c>
      <c r="F25" s="2"/>
      <c r="G25" s="22">
        <v>173.0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5.0</v>
      </c>
      <c r="E26" s="8">
        <v>46187.502276631945</v>
      </c>
      <c r="F26" s="2"/>
      <c r="G26" s="26">
        <v>140.0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31.0</v>
      </c>
      <c r="E27" s="8">
        <v>46187.519286863426</v>
      </c>
      <c r="F27" s="2"/>
      <c r="G27" s="22">
        <v>24.0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43</v>
      </c>
      <c r="D28" s="6">
        <v>50.0</v>
      </c>
      <c r="E28" s="8">
        <v>46187.52347111111</v>
      </c>
      <c r="F28" s="2"/>
      <c r="G28" s="22">
        <v>39.0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40.0</v>
      </c>
      <c r="E29" s="8">
        <v>46187.52353045139</v>
      </c>
      <c r="F29" s="2"/>
      <c r="G29" s="22">
        <v>161.0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4210,00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20.0</v>
      </c>
      <c r="C30" s="7" t="s">
        <v>45</v>
      </c>
      <c r="D30" s="6">
        <v>140.0</v>
      </c>
      <c r="E30" s="8">
        <v>46187.52452302084</v>
      </c>
      <c r="F30" s="2"/>
      <c r="G30" s="22">
        <v>94.0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24.0</v>
      </c>
      <c r="E31" s="8">
        <v>46188.37337732639</v>
      </c>
      <c r="F31" s="2"/>
      <c r="G31" s="22">
        <v>63.0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39.0</v>
      </c>
      <c r="E32" s="8">
        <v>46188.37728035879</v>
      </c>
      <c r="F32" s="2"/>
      <c r="G32" s="22">
        <v>12.0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161.0</v>
      </c>
      <c r="E33" s="8">
        <v>46188.387639884255</v>
      </c>
      <c r="F33" s="2"/>
      <c r="G33" s="22">
        <v>165.0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49</v>
      </c>
      <c r="D34" s="6">
        <v>10.0</v>
      </c>
      <c r="E34" s="8">
        <v>46188.39310267361</v>
      </c>
      <c r="F34" s="2"/>
      <c r="G34" s="22">
        <v>24.0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100.0</v>
      </c>
      <c r="E35" s="8">
        <v>46188.4099796875</v>
      </c>
      <c r="F35" s="2"/>
      <c r="G35" s="22">
        <v>1678.0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3.0</v>
      </c>
      <c r="C36" s="7" t="s">
        <v>53</v>
      </c>
      <c r="D36" s="6">
        <v>54.0</v>
      </c>
      <c r="E36" s="8">
        <v>46188.41759211806</v>
      </c>
      <c r="F36" s="2"/>
      <c r="G36" s="22">
        <v>72.0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5.0</v>
      </c>
      <c r="C37" s="7" t="s">
        <v>54</v>
      </c>
      <c r="D37" s="6">
        <v>40.0</v>
      </c>
      <c r="E37" s="8">
        <v>46188.417676157405</v>
      </c>
      <c r="F37" s="2"/>
      <c r="G37" s="22">
        <v>36.0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65.0</v>
      </c>
      <c r="E38" s="8">
        <v>46188.42339403935</v>
      </c>
      <c r="F38" s="2"/>
      <c r="G38" s="22">
        <v>1100.0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24.0</v>
      </c>
      <c r="C39" s="7" t="s">
        <v>56</v>
      </c>
      <c r="D39" s="6">
        <v>4.0</v>
      </c>
      <c r="E39" s="8">
        <v>46188.42596392361</v>
      </c>
      <c r="F39" s="2"/>
      <c r="G39" s="22">
        <v>95.0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12.0</v>
      </c>
      <c r="C40" s="7" t="s">
        <v>57</v>
      </c>
      <c r="D40" s="6">
        <v>1.0</v>
      </c>
      <c r="E40" s="8">
        <v>46188.42608878472</v>
      </c>
      <c r="F40" s="2"/>
      <c r="G40" s="22">
        <v>64.0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6.0</v>
      </c>
      <c r="E41" s="8">
        <v>46188.426150520834</v>
      </c>
      <c r="F41" s="2"/>
      <c r="G41" s="22">
        <v>220.0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6.0</v>
      </c>
      <c r="E42" s="8">
        <v>46188.4607369213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4.0</v>
      </c>
      <c r="E43" s="8">
        <v>46188.4610056713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250.0</v>
      </c>
      <c r="E44" s="8">
        <v>46188.461174027776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69.0</v>
      </c>
      <c r="E45" s="8">
        <v>46188.46206446759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75.0</v>
      </c>
      <c r="E46" s="8">
        <v>46188.46239446759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4.0</v>
      </c>
      <c r="C47" s="7" t="s">
        <v>64</v>
      </c>
      <c r="D47" s="6">
        <v>272.0</v>
      </c>
      <c r="E47" s="8">
        <v>46188.46281697917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4.0</v>
      </c>
      <c r="C48" s="7" t="s">
        <v>65</v>
      </c>
      <c r="D48" s="6">
        <v>124.0</v>
      </c>
      <c r="E48" s="8">
        <v>46188.46290459491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4.0</v>
      </c>
      <c r="C49" s="7" t="s">
        <v>66</v>
      </c>
      <c r="D49" s="6">
        <v>64.0</v>
      </c>
      <c r="E49" s="8">
        <v>46188.4634116088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67</v>
      </c>
      <c r="D50" s="6">
        <v>52.0</v>
      </c>
      <c r="E50" s="8">
        <v>46188.46353586805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68.0</v>
      </c>
      <c r="E51" s="8">
        <v>46188.46377615741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60.0</v>
      </c>
      <c r="E52" s="8">
        <v>46188.46393221065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68.0</v>
      </c>
      <c r="E53" s="8">
        <v>46188.46407886574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71</v>
      </c>
      <c r="D54" s="6">
        <v>336.0</v>
      </c>
      <c r="E54" s="8">
        <v>46188.464345810185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245.0</v>
      </c>
      <c r="E55" s="8">
        <v>46188.4649441088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60.0</v>
      </c>
      <c r="E56" s="8">
        <v>46188.465044386576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3.0</v>
      </c>
      <c r="C57" s="7" t="s">
        <v>74</v>
      </c>
      <c r="D57" s="6">
        <v>42.0</v>
      </c>
      <c r="E57" s="8">
        <v>46188.468189340274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65.0</v>
      </c>
      <c r="E58" s="8">
        <v>46188.470684224536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76</v>
      </c>
      <c r="D59" s="6">
        <v>22.0</v>
      </c>
      <c r="E59" s="8">
        <v>46188.47265325232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63.0</v>
      </c>
      <c r="E60" s="8">
        <v>46188.47270278935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 t="s">
        <v>78</v>
      </c>
      <c r="C61" s="7" t="s">
        <v>79</v>
      </c>
      <c r="D61" s="6">
        <v>12.0</v>
      </c>
      <c r="E61" s="8">
        <v>46188.48406001157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24.0</v>
      </c>
      <c r="E62" s="8">
        <v>46188.48414472222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76.0</v>
      </c>
      <c r="E63" s="8">
        <v>46188.486587384265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6.0</v>
      </c>
      <c r="E64" s="8">
        <v>46188.48667219907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7.0</v>
      </c>
      <c r="E65" s="8">
        <v>46188.48683365741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4.0</v>
      </c>
      <c r="C66" s="7" t="s">
        <v>84</v>
      </c>
      <c r="D66" s="6">
        <v>20.0</v>
      </c>
      <c r="E66" s="8">
        <v>46188.487003055554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85</v>
      </c>
      <c r="D67" s="6">
        <v>20.0</v>
      </c>
      <c r="E67" s="8">
        <v>46188.48710319445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36.0</v>
      </c>
      <c r="E68" s="8">
        <v>46188.48733953704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3.0</v>
      </c>
      <c r="E69" s="8">
        <v>46188.48843871528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8.0</v>
      </c>
      <c r="E70" s="8">
        <v>46188.497168773145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16.0</v>
      </c>
      <c r="E71" s="8">
        <v>46188.50012099537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10.0</v>
      </c>
      <c r="E72" s="8">
        <v>46188.519825613424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24.0</v>
      </c>
      <c r="E73" s="8">
        <v>46188.530234328704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1550.0</v>
      </c>
      <c r="E74" s="8">
        <v>46188.53879716435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15.0</v>
      </c>
      <c r="E75" s="8">
        <v>46188.538823877316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13.0</v>
      </c>
      <c r="E76" s="8">
        <v>46188.53893899306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95</v>
      </c>
      <c r="D77" s="6">
        <v>50.0</v>
      </c>
      <c r="E77" s="8">
        <v>46188.54185214121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81</v>
      </c>
      <c r="D78" s="6">
        <v>119.0</v>
      </c>
      <c r="E78" s="8">
        <v>46188.542784942125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3.0</v>
      </c>
      <c r="E79" s="8">
        <v>46188.5490184838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38.0</v>
      </c>
      <c r="E80" s="8">
        <v>46188.581321412035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24.0</v>
      </c>
      <c r="E81" s="8">
        <v>46188.597088229166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28.0</v>
      </c>
      <c r="E82" s="8">
        <v>46188.604424687495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5.0</v>
      </c>
      <c r="E83" s="8">
        <v>46188.61562709491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72.0</v>
      </c>
      <c r="E84" s="8">
        <v>46188.62124349537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15.0</v>
      </c>
      <c r="E85" s="8">
        <v>46188.624048136575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5.0</v>
      </c>
      <c r="E86" s="8">
        <v>46188.624103055554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 t="s">
        <v>104</v>
      </c>
      <c r="C87" s="7" t="s">
        <v>105</v>
      </c>
      <c r="D87" s="6">
        <v>26.0</v>
      </c>
      <c r="E87" s="8">
        <v>46188.63643295139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106</v>
      </c>
      <c r="D88" s="6">
        <v>10.0</v>
      </c>
      <c r="E88" s="8">
        <v>46188.63661962963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33" t="s">
        <v>107</v>
      </c>
      <c r="D89" s="33">
        <v>31.0</v>
      </c>
      <c r="E89" s="8">
        <v>46188.65977013889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108</v>
      </c>
      <c r="D90" s="6">
        <v>43.0</v>
      </c>
      <c r="E90" s="8">
        <v>46188.68030076389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109</v>
      </c>
      <c r="D91" s="6">
        <v>16.0</v>
      </c>
      <c r="E91" s="8">
        <v>46188.682278078704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110</v>
      </c>
      <c r="D92" s="6">
        <v>50.0</v>
      </c>
      <c r="E92" s="8">
        <v>46188.69522245371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111</v>
      </c>
      <c r="D93" s="6">
        <v>16.0</v>
      </c>
      <c r="E93" s="8">
        <v>46188.716232569444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112</v>
      </c>
      <c r="D94" s="6">
        <v>110.0</v>
      </c>
      <c r="E94" s="8">
        <v>46188.7147044213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6.0</v>
      </c>
      <c r="C95" s="7" t="s">
        <v>113</v>
      </c>
      <c r="D95" s="6">
        <v>27.0</v>
      </c>
      <c r="E95" s="8">
        <v>46188.73561820602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114</v>
      </c>
      <c r="D96" s="6">
        <v>1100.0</v>
      </c>
      <c r="E96" s="8">
        <v>46188.75983461806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115</v>
      </c>
      <c r="D97" s="6">
        <v>220.0</v>
      </c>
      <c r="E97" s="8">
        <v>46188.76612425926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4.0</v>
      </c>
      <c r="C98" s="7" t="s">
        <v>54</v>
      </c>
      <c r="D98" s="6">
        <v>24.0</v>
      </c>
      <c r="E98" s="8">
        <v>46188.76629802083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116</v>
      </c>
      <c r="D99" s="6">
        <v>10.0</v>
      </c>
      <c r="E99" s="8">
        <v>46188.76635425926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117</v>
      </c>
      <c r="D100" s="6">
        <v>55.0</v>
      </c>
      <c r="E100" s="8">
        <v>46188.76678614583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118</v>
      </c>
      <c r="D101" s="6">
        <v>39.0</v>
      </c>
      <c r="E101" s="8">
        <v>46188.7699505787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12.0</v>
      </c>
      <c r="C102" s="7" t="s">
        <v>119</v>
      </c>
      <c r="D102" s="6">
        <v>1.5</v>
      </c>
      <c r="E102" s="8">
        <v>46188.77002098379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2.0</v>
      </c>
      <c r="C103" s="7" t="s">
        <v>120</v>
      </c>
      <c r="D103" s="6">
        <v>64.0</v>
      </c>
      <c r="E103" s="8">
        <v>46188.77183269676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