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<sst xmlns="http://schemas.openxmlformats.org/spreadsheetml/2006/main" count="124" uniqueCount="119">
  <si>
    <t>HOJA DE CALCULO FERRETERIA</t>
  </si>
  <si>
    <t>CODIGO</t>
  </si>
  <si>
    <t>CANTIDAD</t>
  </si>
  <si>
    <t>DESCRIPCION</t>
  </si>
  <si>
    <t>TOTAL</t>
  </si>
  <si>
    <t>HORA</t>
  </si>
  <si>
    <t>CUADRAR</t>
  </si>
  <si>
    <t>BROCAA DEBOR</t>
  </si>
  <si>
    <t>BROCQA IRWIN</t>
  </si>
  <si>
    <t>MONEDAS</t>
  </si>
  <si>
    <t>CAJA CHICA</t>
  </si>
  <si>
    <t>ALICATE TOLSEN</t>
  </si>
  <si>
    <t>BILLETES 10-20</t>
  </si>
  <si>
    <t>TOTAL VENTAS DIA</t>
  </si>
  <si>
    <t>CORTA TUBO TOLSE</t>
  </si>
  <si>
    <t>BILLETES 50-100-200</t>
  </si>
  <si>
    <t>AUMENTO DE DINERO</t>
  </si>
  <si>
    <t>FLEXO TRUPE</t>
  </si>
  <si>
    <t>INGRESOS YAPE</t>
  </si>
  <si>
    <t>RAMPLUS 6</t>
  </si>
  <si>
    <t>INGRESOS TARJETA</t>
  </si>
  <si>
    <t>CHIO 4,5*50</t>
  </si>
  <si>
    <t>GASTOS VARIOS</t>
  </si>
  <si>
    <t>PIE DE AMIGO</t>
  </si>
  <si>
    <t>TARRAJA 1/2</t>
  </si>
  <si>
    <t>DINERO GANADO HOY:</t>
  </si>
  <si>
    <t>CANTIDAD DINERO CAJA:</t>
  </si>
  <si>
    <t>HILO CORTA PASTO</t>
  </si>
  <si>
    <t>ESLINGA 5M DOBLE TR</t>
  </si>
  <si>
    <t>CEPILLO DE ACERO</t>
  </si>
  <si>
    <t>SACABOCADO CERAMIC T</t>
  </si>
  <si>
    <t>COD 1/2 TIHRE</t>
  </si>
  <si>
    <t>TEE 1/2 TIGRE</t>
  </si>
  <si>
    <t>TEON</t>
  </si>
  <si>
    <t>YAPE MAMÁ</t>
  </si>
  <si>
    <t>YAPE PAPÁ</t>
  </si>
  <si>
    <t>YAPE</t>
  </si>
  <si>
    <t>3M</t>
  </si>
  <si>
    <t>CAÑERIA 1/2</t>
  </si>
  <si>
    <t>Monto Total YAPE (No tocar):</t>
  </si>
  <si>
    <t>REPUESTO DE CRTA AZULEJO</t>
  </si>
  <si>
    <t>TAPA DE INODORO</t>
  </si>
  <si>
    <t>Monto Total Registrado en aplicacion</t>
  </si>
  <si>
    <t>CBLE DE TELEFONO</t>
  </si>
  <si>
    <t>FOCO 15</t>
  </si>
  <si>
    <t>FOCO 5</t>
  </si>
  <si>
    <t xml:space="preserve">BROCA </t>
  </si>
  <si>
    <t>TUERCA</t>
  </si>
  <si>
    <t>BROCA CONCRETO 6</t>
  </si>
  <si>
    <t>DISPENSADOR DE JABOB</t>
  </si>
  <si>
    <t>GRIFO 1/2</t>
  </si>
  <si>
    <t>PAGOS YAPE</t>
  </si>
  <si>
    <t>DESCRIPCION PAGO</t>
  </si>
  <si>
    <t>LLAVE DE PASO 1/2</t>
  </si>
  <si>
    <t>TEFLON</t>
  </si>
  <si>
    <t>SUMIDERO FV</t>
  </si>
  <si>
    <t xml:space="preserve">1M </t>
  </si>
  <si>
    <t>CORRUGDO 1/2</t>
  </si>
  <si>
    <t>1M</t>
  </si>
  <si>
    <t>CORRUGADO 3/4</t>
  </si>
  <si>
    <t>PISTOLA DE REGAR</t>
  </si>
  <si>
    <t>CANDADO PEQUEÑO</t>
  </si>
  <si>
    <t>PICO</t>
  </si>
  <si>
    <t>ADAPTADR</t>
  </si>
  <si>
    <t>DOBLE CONTACTO SPUMA</t>
  </si>
  <si>
    <t>1,5 MT</t>
  </si>
  <si>
    <t>PERLON</t>
  </si>
  <si>
    <t>20M</t>
  </si>
  <si>
    <t>MANGUERA 1/2 FORTE</t>
  </si>
  <si>
    <t>PICO METALICCO 1/2</t>
  </si>
  <si>
    <t>MEDIDOR DE PRECION</t>
  </si>
  <si>
    <t>5M</t>
  </si>
  <si>
    <t>ALAMBRE 12 1H</t>
  </si>
  <si>
    <t>BATERIA BOTON CENTRAL</t>
  </si>
  <si>
    <t>HACHA TOLSEN</t>
  </si>
  <si>
    <t>BANDOLA</t>
  </si>
  <si>
    <t>SINTETICA ROBLE 1L</t>
  </si>
  <si>
    <t>300ML</t>
  </si>
  <si>
    <t xml:space="preserve">MASILLA PARA AMDERA </t>
  </si>
  <si>
    <t>BROCHA 3</t>
  </si>
  <si>
    <t>2M</t>
  </si>
  <si>
    <t>LIJA 39</t>
  </si>
  <si>
    <t>UION PATENTE 1/2</t>
  </si>
  <si>
    <t>EXACTO</t>
  </si>
  <si>
    <t>PIEDRA PARA FILO</t>
  </si>
  <si>
    <t>TIJERA TR</t>
  </si>
  <si>
    <t>GUANTE TR</t>
  </si>
  <si>
    <t>AEROSOL GRIS EDIO</t>
  </si>
  <si>
    <t>4M</t>
  </si>
  <si>
    <t>ALUBAN 15CM</t>
  </si>
  <si>
    <t>CAJA RECTANGULAR</t>
  </si>
  <si>
    <t>YESO</t>
  </si>
  <si>
    <t>SEMICODO 3</t>
  </si>
  <si>
    <t>GAS BUTANO</t>
  </si>
  <si>
    <t>sierra raman</t>
  </si>
  <si>
    <t>mt cablr</t>
  </si>
  <si>
    <t>jgo cepillos</t>
  </si>
  <si>
    <t>m manguera nivel 1/2</t>
  </si>
  <si>
    <t>tornillos</t>
  </si>
  <si>
    <t>1kl</t>
  </si>
  <si>
    <t>escamosita</t>
  </si>
  <si>
    <t>DISCO DESBASTE 4</t>
  </si>
  <si>
    <t>DISCO GALLETA</t>
  </si>
  <si>
    <t>CLAVIJA 20 TRAMONTINA</t>
  </si>
  <si>
    <t>TUBO PARA TOALLERI</t>
  </si>
  <si>
    <t>tijera para podar tr</t>
  </si>
  <si>
    <t>bolsa escombro</t>
  </si>
  <si>
    <t>3 mt</t>
  </si>
  <si>
    <t>codo 1/2 tig</t>
  </si>
  <si>
    <t>5 mt</t>
  </si>
  <si>
    <t>cañeria 1/2</t>
  </si>
  <si>
    <t>m anguera 1</t>
  </si>
  <si>
    <t>ada´dpr</t>
  </si>
  <si>
    <t>conecor</t>
  </si>
  <si>
    <t>abrazadera</t>
  </si>
  <si>
    <t xml:space="preserve">disco despintar </t>
  </si>
  <si>
    <t>comta dbpñe cpmta</t>
  </si>
  <si>
    <t>nivel tramonta</t>
  </si>
  <si>
    <t>tapa inodoro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</si>
</sst>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20.0</v>
      </c>
      <c r="E8" s="8">
        <v>46185.35931976852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13.0</v>
      </c>
      <c r="E9" s="8">
        <v>46185.35948384259</v>
      </c>
      <c r="F9" s="2"/>
      <c r="G9" s="9" t="s">
        <v>9</v>
      </c>
      <c r="H9" s="10">
        <v>106.0</v>
      </c>
      <c r="I9" s="2"/>
      <c r="J9" s="9" t="s">
        <v>10</v>
      </c>
      <c r="K9" s="10">
        <v>586.5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59.0</v>
      </c>
      <c r="E10" s="8">
        <v>46185.36015777777</v>
      </c>
      <c r="F10" s="2"/>
      <c r="G10" s="9" t="s">
        <v>12</v>
      </c>
      <c r="H10" s="10">
        <v>240.0</v>
      </c>
      <c r="I10" s="2"/>
      <c r="J10" s="9" t="s">
        <v>13</v>
      </c>
      <c r="K10" s="11">
        <f>SUM(PRINCIPAL[TOTAL])</f>
        <v>3734.5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139.0</v>
      </c>
      <c r="E11" s="8">
        <v>46185.360220208335</v>
      </c>
      <c r="F11" s="2"/>
      <c r="G11" s="9" t="s">
        <v>15</v>
      </c>
      <c r="H11" s="10">
        <v>1550.0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48.0</v>
      </c>
      <c r="E12" s="8">
        <v>46185.36075896991</v>
      </c>
      <c r="F12" s="2"/>
      <c r="G12" s="9" t="s">
        <v>18</v>
      </c>
      <c r="H12" s="12">
        <f>SUM(G24:H361)</f>
        <v>2335.5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12.0</v>
      </c>
      <c r="C13" s="7" t="s">
        <v>19</v>
      </c>
      <c r="D13" s="6">
        <v>1.0</v>
      </c>
      <c r="E13" s="8">
        <v>46185.3608112963</v>
      </c>
      <c r="F13" s="2"/>
      <c r="G13" s="9" t="s">
        <v>20</v>
      </c>
      <c r="H13" s="10">
        <v>118.0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21</v>
      </c>
      <c r="D14" s="6">
        <v>4.0</v>
      </c>
      <c r="E14" s="8">
        <v>46185.36087822917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23</v>
      </c>
      <c r="D15" s="6">
        <v>32.0</v>
      </c>
      <c r="E15" s="8">
        <v>46185.3609216551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51.0</v>
      </c>
      <c r="E16" s="8">
        <v>46185.36096586805</v>
      </c>
      <c r="F16" s="2"/>
      <c r="G16" s="15" t="s">
        <v>25</v>
      </c>
      <c r="H16" s="16">
        <f>SUM(H9:H14)</f>
        <v>4349.5</v>
      </c>
      <c r="I16" s="3"/>
      <c r="J16" s="15" t="s">
        <v>26</v>
      </c>
      <c r="K16" s="16">
        <f>SUM(K9:K11)</f>
        <v>4321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30.0</v>
      </c>
      <c r="C17" s="7" t="s">
        <v>27</v>
      </c>
      <c r="D17" s="6">
        <v>45.0</v>
      </c>
      <c r="E17" s="8">
        <v>46185.38335351852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200.0</v>
      </c>
      <c r="E18" s="8">
        <v>46185.40398930556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8.0</v>
      </c>
      <c r="E19" s="8">
        <v>46185.41023197917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157.0</v>
      </c>
      <c r="E20" s="8">
        <v>46185.410405601855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5.0</v>
      </c>
      <c r="C21" s="7" t="s">
        <v>31</v>
      </c>
      <c r="D21" s="6">
        <v>20.0</v>
      </c>
      <c r="E21" s="8">
        <v>46185.43786168982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5.5</v>
      </c>
      <c r="E22" s="8">
        <v>46185.4379234375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2.5</v>
      </c>
      <c r="E23" s="8">
        <v>46185.437957766204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 t="s">
        <v>37</v>
      </c>
      <c r="C24" s="7" t="s">
        <v>38</v>
      </c>
      <c r="D24" s="6">
        <v>2.0</v>
      </c>
      <c r="E24" s="8">
        <v>46185.438061064815</v>
      </c>
      <c r="F24" s="2"/>
      <c r="G24" s="22">
        <v>136.0</v>
      </c>
      <c r="H24" s="23"/>
      <c r="I24" s="2"/>
      <c r="J24" s="24" t="s">
        <v>39</v>
      </c>
      <c r="K24" s="25">
        <f>SUM(INGRESOS_YAPE[])</f>
        <v>2335.5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149.0</v>
      </c>
      <c r="E25" s="8">
        <v>46185.4502524537</v>
      </c>
      <c r="F25" s="2"/>
      <c r="G25" s="22">
        <v>74.0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60.0</v>
      </c>
      <c r="E26" s="8">
        <v>46185.456199872686</v>
      </c>
      <c r="F26" s="2"/>
      <c r="G26" s="26">
        <v>200.0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 t="s">
        <v>37</v>
      </c>
      <c r="C27" s="7" t="s">
        <v>43</v>
      </c>
      <c r="D27" s="6">
        <v>87.5</v>
      </c>
      <c r="E27" s="8">
        <v>46185.46511068287</v>
      </c>
      <c r="F27" s="2"/>
      <c r="G27" s="22">
        <v>157.0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14.0</v>
      </c>
      <c r="C28" s="7" t="s">
        <v>44</v>
      </c>
      <c r="D28" s="6">
        <v>273.0</v>
      </c>
      <c r="E28" s="8">
        <v>46185.46518159722</v>
      </c>
      <c r="F28" s="2"/>
      <c r="G28" s="22">
        <v>55.0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5.0</v>
      </c>
      <c r="C29" s="7" t="s">
        <v>45</v>
      </c>
      <c r="D29" s="6">
        <v>40.0</v>
      </c>
      <c r="E29" s="8">
        <v>46185.46525101852</v>
      </c>
      <c r="F29" s="2"/>
      <c r="G29" s="22">
        <v>149.0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2335,50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19.0</v>
      </c>
      <c r="E30" s="8">
        <v>46185.47145282407</v>
      </c>
      <c r="F30" s="2"/>
      <c r="G30" s="22">
        <v>60.0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1.0</v>
      </c>
      <c r="E31" s="8">
        <v>46185.48428939815</v>
      </c>
      <c r="F31" s="2"/>
      <c r="G31" s="22">
        <v>400.5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16.0</v>
      </c>
      <c r="E32" s="8">
        <v>46185.49647564815</v>
      </c>
      <c r="F32" s="2"/>
      <c r="G32" s="22">
        <v>149.5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42.0</v>
      </c>
      <c r="E33" s="8">
        <v>46185.49663302083</v>
      </c>
      <c r="F33" s="2"/>
      <c r="G33" s="22">
        <v>70.0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86.0</v>
      </c>
      <c r="E34" s="8">
        <v>46185.50283817129</v>
      </c>
      <c r="F34" s="2"/>
      <c r="G34" s="22">
        <v>98.0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61.0</v>
      </c>
      <c r="E35" s="8">
        <v>46185.50348636574</v>
      </c>
      <c r="F35" s="2"/>
      <c r="G35" s="22">
        <v>264.5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2.5</v>
      </c>
      <c r="E36" s="8">
        <v>46185.50351866898</v>
      </c>
      <c r="F36" s="2"/>
      <c r="G36" s="22">
        <v>26.0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70.0</v>
      </c>
      <c r="E37" s="8">
        <v>46185.50550344907</v>
      </c>
      <c r="F37" s="2"/>
      <c r="G37" s="22">
        <v>20.0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 t="s">
        <v>56</v>
      </c>
      <c r="C38" s="7" t="s">
        <v>57</v>
      </c>
      <c r="D38" s="6">
        <v>3.5</v>
      </c>
      <c r="E38" s="8">
        <v>46185.50882299768</v>
      </c>
      <c r="F38" s="2"/>
      <c r="G38" s="22">
        <v>119.0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 t="s">
        <v>58</v>
      </c>
      <c r="C39" s="7" t="s">
        <v>59</v>
      </c>
      <c r="D39" s="6">
        <v>4.5</v>
      </c>
      <c r="E39" s="8">
        <v>46185.50877011574</v>
      </c>
      <c r="F39" s="2"/>
      <c r="G39" s="22">
        <v>33.0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74.0</v>
      </c>
      <c r="E40" s="8">
        <v>46185.509100497686</v>
      </c>
      <c r="F40" s="2"/>
      <c r="G40" s="22">
        <v>36.0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16.0</v>
      </c>
      <c r="E41" s="8">
        <v>46185.50927409722</v>
      </c>
      <c r="F41" s="2"/>
      <c r="G41" s="22">
        <v>64.0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6.0</v>
      </c>
      <c r="E42" s="8">
        <v>46185.50931616898</v>
      </c>
      <c r="F42" s="2"/>
      <c r="G42" s="22">
        <v>117.0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7.0</v>
      </c>
      <c r="E43" s="8">
        <v>46185.50936200231</v>
      </c>
      <c r="F43" s="2"/>
      <c r="G43" s="22">
        <v>107.0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36.0</v>
      </c>
      <c r="E44" s="8">
        <v>46185.510912025464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65</v>
      </c>
      <c r="C45" s="7" t="s">
        <v>66</v>
      </c>
      <c r="D45" s="6">
        <v>3.0</v>
      </c>
      <c r="E45" s="8">
        <v>46185.52859046296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67</v>
      </c>
      <c r="C46" s="7" t="s">
        <v>68</v>
      </c>
      <c r="D46" s="6">
        <v>140.0</v>
      </c>
      <c r="E46" s="8">
        <v>46185.53494266204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69</v>
      </c>
      <c r="D47" s="6">
        <v>26.0</v>
      </c>
      <c r="E47" s="8">
        <v>46185.53512351852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70</v>
      </c>
      <c r="D48" s="6">
        <v>98.0</v>
      </c>
      <c r="E48" s="8">
        <v>46185.53527457176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71</v>
      </c>
      <c r="C49" s="7" t="s">
        <v>72</v>
      </c>
      <c r="D49" s="6">
        <v>52.5</v>
      </c>
      <c r="E49" s="8">
        <v>46185.56918358796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73</v>
      </c>
      <c r="D50" s="6">
        <v>101.0</v>
      </c>
      <c r="E50" s="8">
        <v>46185.56943166666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74</v>
      </c>
      <c r="D51" s="6">
        <v>106.0</v>
      </c>
      <c r="E51" s="8">
        <v>46185.569560868054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75</v>
      </c>
      <c r="D52" s="6">
        <v>5.0</v>
      </c>
      <c r="E52" s="8">
        <v>46185.5696246875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76</v>
      </c>
      <c r="D53" s="6">
        <v>61.0</v>
      </c>
      <c r="E53" s="8">
        <v>46185.60146831018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77</v>
      </c>
      <c r="C54" s="7" t="s">
        <v>78</v>
      </c>
      <c r="D54" s="6">
        <v>22.0</v>
      </c>
      <c r="E54" s="8">
        <v>46185.6015630787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79</v>
      </c>
      <c r="D55" s="6">
        <v>12.0</v>
      </c>
      <c r="E55" s="8">
        <v>46185.60182140046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80</v>
      </c>
      <c r="C56" s="7" t="s">
        <v>38</v>
      </c>
      <c r="D56" s="6">
        <v>17.0</v>
      </c>
      <c r="E56" s="8">
        <v>46185.602517638894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81</v>
      </c>
      <c r="D57" s="6">
        <v>10.0</v>
      </c>
      <c r="E57" s="8">
        <v>46185.60312396991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82</v>
      </c>
      <c r="D58" s="6">
        <v>9.0</v>
      </c>
      <c r="E58" s="8">
        <v>46185.60374013889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83</v>
      </c>
      <c r="D59" s="6">
        <v>30.0</v>
      </c>
      <c r="E59" s="8">
        <v>46185.6090602662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84</v>
      </c>
      <c r="D60" s="6">
        <v>13.0</v>
      </c>
      <c r="E60" s="8">
        <v>46185.60918246528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85</v>
      </c>
      <c r="D61" s="6">
        <v>180.0</v>
      </c>
      <c r="E61" s="8">
        <v>46185.60924329861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86</v>
      </c>
      <c r="D62" s="6">
        <v>19.0</v>
      </c>
      <c r="E62" s="8">
        <v>46185.61688489583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87</v>
      </c>
      <c r="D63" s="6">
        <v>20.0</v>
      </c>
      <c r="E63" s="8">
        <v>46185.625673877315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88</v>
      </c>
      <c r="C64" s="7" t="s">
        <v>89</v>
      </c>
      <c r="D64" s="6">
        <v>80.0</v>
      </c>
      <c r="E64" s="8">
        <v>46185.62581412037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6.0</v>
      </c>
      <c r="C65" s="7" t="s">
        <v>90</v>
      </c>
      <c r="D65" s="6">
        <v>21.0</v>
      </c>
      <c r="E65" s="8">
        <v>46185.6259504051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91</v>
      </c>
      <c r="D66" s="6">
        <v>16.0</v>
      </c>
      <c r="E66" s="8">
        <v>46185.626069942125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92</v>
      </c>
      <c r="D67" s="6">
        <v>19.0</v>
      </c>
      <c r="E67" s="8">
        <v>46185.64793357639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93</v>
      </c>
      <c r="D68" s="6">
        <v>55.0</v>
      </c>
      <c r="E68" s="8">
        <v>46185.64815606481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94</v>
      </c>
      <c r="D69" s="6">
        <v>108.0</v>
      </c>
      <c r="E69" s="8">
        <v>46185.66020103009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1.5</v>
      </c>
      <c r="C70" s="7" t="s">
        <v>95</v>
      </c>
      <c r="D70" s="6">
        <v>4.5</v>
      </c>
      <c r="E70" s="8">
        <v>46185.660480763894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96</v>
      </c>
      <c r="D71" s="6">
        <v>11.0</v>
      </c>
      <c r="E71" s="8">
        <v>46185.66076184028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33">
        <v>46143.0</v>
      </c>
      <c r="C72" s="7" t="s">
        <v>97</v>
      </c>
      <c r="D72" s="6">
        <v>12.0</v>
      </c>
      <c r="E72" s="8">
        <v>46185.663994918985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98</v>
      </c>
      <c r="D73" s="6">
        <v>2.0</v>
      </c>
      <c r="E73" s="8">
        <v>46185.665423831015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99</v>
      </c>
      <c r="C74" s="7" t="s">
        <v>100</v>
      </c>
      <c r="D74" s="6">
        <v>33.0</v>
      </c>
      <c r="E74" s="8">
        <v>46185.67303096065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101</v>
      </c>
      <c r="D75" s="6">
        <v>26.0</v>
      </c>
      <c r="E75" s="8">
        <v>46185.67914486111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102</v>
      </c>
      <c r="D76" s="6">
        <v>10.0</v>
      </c>
      <c r="E76" s="8">
        <v>46185.67922605324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103</v>
      </c>
      <c r="D77" s="6">
        <v>15.0</v>
      </c>
      <c r="E77" s="8">
        <v>46185.679355960645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104</v>
      </c>
      <c r="D78" s="6">
        <v>15.0</v>
      </c>
      <c r="E78" s="8">
        <v>46185.6859740162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105</v>
      </c>
      <c r="D79" s="6">
        <v>64.0</v>
      </c>
      <c r="E79" s="8">
        <v>46185.69483637731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106</v>
      </c>
      <c r="D80" s="6">
        <v>5.0</v>
      </c>
      <c r="E80" s="8">
        <v>46185.69766071759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 t="s">
        <v>107</v>
      </c>
      <c r="C81" s="7" t="s">
        <v>68</v>
      </c>
      <c r="D81" s="6">
        <v>24.0</v>
      </c>
      <c r="E81" s="8">
        <v>46185.710514074075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32</v>
      </c>
      <c r="D82" s="6">
        <v>8.0</v>
      </c>
      <c r="E82" s="8">
        <v>46185.716993877315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3.0</v>
      </c>
      <c r="C83" s="7" t="s">
        <v>108</v>
      </c>
      <c r="D83" s="6">
        <v>12.0</v>
      </c>
      <c r="E83" s="8">
        <v>46185.71714609954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 t="s">
        <v>109</v>
      </c>
      <c r="C84" s="7" t="s">
        <v>110</v>
      </c>
      <c r="D84" s="6">
        <v>42.5</v>
      </c>
      <c r="E84" s="8">
        <v>46185.717327199076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111</v>
      </c>
      <c r="D85" s="6">
        <v>40.0</v>
      </c>
      <c r="E85" s="8">
        <v>46185.72509590277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6.0</v>
      </c>
      <c r="C86" s="7" t="s">
        <v>68</v>
      </c>
      <c r="D86" s="6">
        <v>45.0</v>
      </c>
      <c r="E86" s="8">
        <v>46185.72517604167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112</v>
      </c>
      <c r="D87" s="6">
        <v>8.0</v>
      </c>
      <c r="E87" s="8">
        <v>46185.725412430555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113</v>
      </c>
      <c r="D88" s="6">
        <v>7.0</v>
      </c>
      <c r="E88" s="8">
        <v>46185.72545694445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114</v>
      </c>
      <c r="D89" s="6">
        <v>4.0</v>
      </c>
      <c r="E89" s="8">
        <v>46185.72551019676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115</v>
      </c>
      <c r="D90" s="6">
        <v>80.0</v>
      </c>
      <c r="E90" s="8">
        <v>46185.736129212964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116</v>
      </c>
      <c r="D91" s="6">
        <v>15.0</v>
      </c>
      <c r="E91" s="8">
        <v>46185.73621116898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117</v>
      </c>
      <c r="D92" s="6">
        <v>107.0</v>
      </c>
      <c r="E92" s="8">
        <v>46185.73626655093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118</v>
      </c>
      <c r="D93" s="6">
        <v>60.0</v>
      </c>
      <c r="E93" s="8">
        <v>46185.74456626158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