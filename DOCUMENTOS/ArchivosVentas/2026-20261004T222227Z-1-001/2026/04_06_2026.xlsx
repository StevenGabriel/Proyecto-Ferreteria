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<sst xmlns="http://schemas.openxmlformats.org/spreadsheetml/2006/main" count="154" uniqueCount="153">
  <si>
    <t>HOJA DE CALCULO FERRETERIA</t>
  </si>
  <si>
    <t>CODIGO</t>
  </si>
  <si>
    <t>CANTIDAD</t>
  </si>
  <si>
    <t>DESCRIPCION</t>
  </si>
  <si>
    <t>TOTAL</t>
  </si>
  <si>
    <t>HORA</t>
  </si>
  <si>
    <t>CUADRAR</t>
  </si>
  <si>
    <t>broca madera 12 mm</t>
  </si>
  <si>
    <t>piedra esmeril truper</t>
  </si>
  <si>
    <t>MONEDAS</t>
  </si>
  <si>
    <t>CAJA CHICA</t>
  </si>
  <si>
    <t>desarmador tramontina</t>
  </si>
  <si>
    <t>BILLETES 10-20</t>
  </si>
  <si>
    <t>TOTAL VENTAS DIA</t>
  </si>
  <si>
    <t>eslinga</t>
  </si>
  <si>
    <t>BILLETES 50-100-200</t>
  </si>
  <si>
    <t>AUMENTO DE DINERO</t>
  </si>
  <si>
    <t>broca tr enc</t>
  </si>
  <si>
    <t>INGRESOS YAPE</t>
  </si>
  <si>
    <t>broca irwin</t>
  </si>
  <si>
    <t>INGRESOS TARJETA</t>
  </si>
  <si>
    <t>mascaea de soldar</t>
  </si>
  <si>
    <t>GASTOS VARIOS</t>
  </si>
  <si>
    <t>juego de cepillo uyustol</t>
  </si>
  <si>
    <t>juego de cepillo tipo dientes</t>
  </si>
  <si>
    <t>DINERO GANADO HOY:</t>
  </si>
  <si>
    <t>CANTIDAD DINERO CAJA:</t>
  </si>
  <si>
    <t xml:space="preserve">grifo lacamanos </t>
  </si>
  <si>
    <t>broca fierro debor 2,5</t>
  </si>
  <si>
    <t xml:space="preserve">jaladores </t>
  </si>
  <si>
    <t>autometico de bomba</t>
  </si>
  <si>
    <t>tee 1</t>
  </si>
  <si>
    <t>tapon maco 1</t>
  </si>
  <si>
    <t>codo 1</t>
  </si>
  <si>
    <t>YAPE MAMÁ</t>
  </si>
  <si>
    <t>YAPE PAPÁ</t>
  </si>
  <si>
    <t>YAPE</t>
  </si>
  <si>
    <t>union panet</t>
  </si>
  <si>
    <t>Monto Total YAPE (No tocar):</t>
  </si>
  <si>
    <t xml:space="preserve">teasmcio </t>
  </si>
  <si>
    <t>m alambe tigre 14</t>
  </si>
  <si>
    <t>Monto Total Registrado en aplicacion</t>
  </si>
  <si>
    <t>BARILLA DE  BRONCE</t>
  </si>
  <si>
    <t>JUEGO DE CEPILLO</t>
  </si>
  <si>
    <t>DISCO CORTE UYUSTOL</t>
  </si>
  <si>
    <t>TAPA DE INODOROA</t>
  </si>
  <si>
    <t>CLAVO DE CLAVADORA</t>
  </si>
  <si>
    <t>PASTINA NEOMI</t>
  </si>
  <si>
    <t>SIERRA CALADORA</t>
  </si>
  <si>
    <t>ESTILETE TRUPER</t>
  </si>
  <si>
    <t>PAGOS YAPE</t>
  </si>
  <si>
    <t>DESCRIPCION PAGO</t>
  </si>
  <si>
    <t>REPUESTO DE CUCHILLA</t>
  </si>
  <si>
    <t>AMOLADORA TRUPE 9</t>
  </si>
  <si>
    <t>ELECTRODO DELGADO</t>
  </si>
  <si>
    <t>BROCHA 1</t>
  </si>
  <si>
    <t>BROCHA 2</t>
  </si>
  <si>
    <t>RODILLO 15</t>
  </si>
  <si>
    <t>ELECTRODO DELGADO CONARCO</t>
  </si>
  <si>
    <t xml:space="preserve">LINERNAS </t>
  </si>
  <si>
    <t>LINETRNA</t>
  </si>
  <si>
    <t>CHUIP 6*80</t>
  </si>
  <si>
    <t>RAMPLUS 6</t>
  </si>
  <si>
    <t>CARBURO</t>
  </si>
  <si>
    <t>CADENA</t>
  </si>
  <si>
    <t>BANDOLA</t>
  </si>
  <si>
    <t>CANDAO HEMEX</t>
  </si>
  <si>
    <t>ESLIANDA TOLSE</t>
  </si>
  <si>
    <t>CEPILLO</t>
  </si>
  <si>
    <t>diablito</t>
  </si>
  <si>
    <t>alargdor uyustol</t>
  </si>
  <si>
    <t xml:space="preserve">chip </t>
  </si>
  <si>
    <t>flexo 5 m truper</t>
  </si>
  <si>
    <t>PIE DE AMIGO</t>
  </si>
  <si>
    <t>JADLADOR</t>
  </si>
  <si>
    <t xml:space="preserve">PIGMENTO </t>
  </si>
  <si>
    <t xml:space="preserve">REGULADORA </t>
  </si>
  <si>
    <t>MANGUERA GAS</t>
  </si>
  <si>
    <t xml:space="preserve">ABRZADERA </t>
  </si>
  <si>
    <t>DESARMADROA RECERCIS</t>
  </si>
  <si>
    <t>TIJERA DEK PODAR</t>
  </si>
  <si>
    <t>TIH¿JERA DE PODA TRUPER</t>
  </si>
  <si>
    <t>BROCHA ATAS</t>
  </si>
  <si>
    <t>SELLADOR L</t>
  </si>
  <si>
    <t>RODILLO ATLAS 5 CM</t>
  </si>
  <si>
    <t>LIJA</t>
  </si>
  <si>
    <t>POXIPOL</t>
  </si>
  <si>
    <t>GIFO 1/2</t>
  </si>
  <si>
    <t>TEE1/2</t>
  </si>
  <si>
    <t>NIPLE 1/2</t>
  </si>
  <si>
    <t>CODO DESAGUE 2</t>
  </si>
  <si>
    <t>TEE DESGUE 2</t>
  </si>
  <si>
    <t>AEROSOL BLANCO</t>
  </si>
  <si>
    <t>MACHETE JADEVER</t>
  </si>
  <si>
    <t>LIJAS</t>
  </si>
  <si>
    <t>picaporte</t>
  </si>
  <si>
    <t>broca flecha</t>
  </si>
  <si>
    <t>chip 4,5*80</t>
  </si>
  <si>
    <t>calibrfador trper</t>
  </si>
  <si>
    <t>cubre cables</t>
  </si>
  <si>
    <t>wd 40</t>
  </si>
  <si>
    <t xml:space="preserve">bandolas </t>
  </si>
  <si>
    <t>brocha rojas</t>
  </si>
  <si>
    <t>l thiner</t>
  </si>
  <si>
    <t>rodapie 2/2  confreno</t>
  </si>
  <si>
    <t>rodapies 21/2 sin freko</t>
  </si>
  <si>
    <t>rodapie 2 con freno</t>
  </si>
  <si>
    <t>espatulas 2 plast</t>
  </si>
  <si>
    <t>espatulatrue</t>
  </si>
  <si>
    <t>fleoxo jadever 8</t>
  </si>
  <si>
    <t>flexi trueor</t>
  </si>
  <si>
    <t>llave combianada8</t>
  </si>
  <si>
    <t>llave combian 9</t>
  </si>
  <si>
    <t>tirafondo 1/4*11/52</t>
  </si>
  <si>
    <t>soquet</t>
  </si>
  <si>
    <t>m hilo cortapasto</t>
  </si>
  <si>
    <t>corta vidrio</t>
  </si>
  <si>
    <t>m  enchaquetdo</t>
  </si>
  <si>
    <t>clefa 220</t>
  </si>
  <si>
    <t>tapon hembra 1/2</t>
  </si>
  <si>
    <t>placa doble interrupr y toma maricio</t>
  </si>
  <si>
    <t>regleta uystol</t>
  </si>
  <si>
    <t>adaptdor ultra</t>
  </si>
  <si>
    <t>SIFON LAVAPLATOS DOBL</t>
  </si>
  <si>
    <t>TEFLON</t>
  </si>
  <si>
    <t xml:space="preserve">REDUCCION </t>
  </si>
  <si>
    <t>CORTADORA DE RAMS ALTAS</t>
  </si>
  <si>
    <t>DESAMADOR REERSIC</t>
  </si>
  <si>
    <t>KLCARBURO</t>
  </si>
  <si>
    <t>LLAVE STEILSA</t>
  </si>
  <si>
    <t>SELLA ROSAC</t>
  </si>
  <si>
    <t>UNION PATENTE 3/4</t>
  </si>
  <si>
    <t>ABRAZASRA 3/4</t>
  </si>
  <si>
    <t>RAMPLU S 6</t>
  </si>
  <si>
    <t>concector rapod</t>
  </si>
  <si>
    <t>guanes asates</t>
  </si>
  <si>
    <t>placa doble toma</t>
  </si>
  <si>
    <t>pisdtola de solplear</t>
  </si>
  <si>
    <t>escobilla uyus</t>
  </si>
  <si>
    <t>m alambre 12</t>
  </si>
  <si>
    <t>m manguera 1/</t>
  </si>
  <si>
    <t>teflon</t>
  </si>
  <si>
    <t>splier</t>
  </si>
  <si>
    <t>broca fierro 8</t>
  </si>
  <si>
    <t>broca fresa trueper</t>
  </si>
  <si>
    <t>TUBOX</t>
  </si>
  <si>
    <t>ABRAZADEA</t>
  </si>
  <si>
    <t>BROCADEBOR LARGA</t>
  </si>
  <si>
    <t>sistetica 3,5</t>
  </si>
  <si>
    <t>l thener</t>
  </si>
  <si>
    <t xml:space="preserve">broca madra </t>
  </si>
  <si>
    <t>serucho</t>
  </si>
  <si>
    <t>BROCA TRUPER COPA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</si>
</sst>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22.5</v>
      </c>
      <c r="E8" s="8">
        <v>46177.37563326389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100.0</v>
      </c>
      <c r="E9" s="8">
        <v>46177.37639266204</v>
      </c>
      <c r="F9" s="2"/>
      <c r="G9" s="9" t="s">
        <v>9</v>
      </c>
      <c r="H9" s="10">
        <v>45.5</v>
      </c>
      <c r="I9" s="2"/>
      <c r="J9" s="9" t="s">
        <v>10</v>
      </c>
      <c r="K9" s="10">
        <v>538.0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6">
        <v>30.0</v>
      </c>
      <c r="E10" s="8">
        <v>46177.37650438657</v>
      </c>
      <c r="F10" s="2"/>
      <c r="G10" s="9" t="s">
        <v>12</v>
      </c>
      <c r="H10" s="10">
        <v>140.0</v>
      </c>
      <c r="I10" s="2"/>
      <c r="J10" s="9" t="s">
        <v>13</v>
      </c>
      <c r="K10" s="11">
        <f>SUM(PRINCIPAL[TOTAL])</f>
        <v>11223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228.0</v>
      </c>
      <c r="E11" s="8">
        <v>46177.39490280092</v>
      </c>
      <c r="F11" s="2"/>
      <c r="G11" s="9" t="s">
        <v>15</v>
      </c>
      <c r="H11" s="10">
        <v>3950.0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25.0</v>
      </c>
      <c r="E12" s="8">
        <v>46177.39507241898</v>
      </c>
      <c r="F12" s="2"/>
      <c r="G12" s="9" t="s">
        <v>18</v>
      </c>
      <c r="H12" s="12">
        <f>SUM(G24:H361)</f>
        <v>7408.46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30.0</v>
      </c>
      <c r="E13" s="8">
        <v>46177.395262164355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50.0</v>
      </c>
      <c r="E14" s="8">
        <v>46177.40435534722</v>
      </c>
      <c r="F14" s="2"/>
      <c r="G14" s="9" t="s">
        <v>22</v>
      </c>
      <c r="H14" s="10">
        <v>250.0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30.0</v>
      </c>
      <c r="E15" s="8">
        <v>46177.410726064816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15.0</v>
      </c>
      <c r="E16" s="8">
        <v>46177.41084601852</v>
      </c>
      <c r="F16" s="2"/>
      <c r="G16" s="15" t="s">
        <v>25</v>
      </c>
      <c r="H16" s="16">
        <f>SUM(H9:H14)</f>
        <v>11793.96</v>
      </c>
      <c r="I16" s="3"/>
      <c r="J16" s="15" t="s">
        <v>26</v>
      </c>
      <c r="K16" s="16">
        <f>SUM(K9:K11)</f>
        <v>11761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120.0</v>
      </c>
      <c r="E17" s="8">
        <v>46177.41125415509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10.0</v>
      </c>
      <c r="E18" s="8">
        <v>46177.41141230324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32,96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29</v>
      </c>
      <c r="D19" s="6">
        <v>30.0</v>
      </c>
      <c r="E19" s="8">
        <v>46177.41145798611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300.0</v>
      </c>
      <c r="E20" s="8">
        <v>46177.41286527777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39.0</v>
      </c>
      <c r="E21" s="8">
        <v>46177.41302552083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18.0</v>
      </c>
      <c r="E22" s="8">
        <v>46177.413080115744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33</v>
      </c>
      <c r="D23" s="6">
        <v>56.0</v>
      </c>
      <c r="E23" s="8">
        <v>46177.41317023148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64.0</v>
      </c>
      <c r="E24" s="8">
        <v>46177.41324193287</v>
      </c>
      <c r="F24" s="2"/>
      <c r="G24" s="22">
        <v>2000.0</v>
      </c>
      <c r="H24" s="23"/>
      <c r="I24" s="2"/>
      <c r="J24" s="24" t="s">
        <v>38</v>
      </c>
      <c r="K24" s="25">
        <f>SUM(INGRESOS_YAPE[])</f>
        <v>7408.46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55.0</v>
      </c>
      <c r="E25" s="8">
        <v>46177.41350609953</v>
      </c>
      <c r="F25" s="2"/>
      <c r="G25" s="22">
        <v>22.5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7.5</v>
      </c>
      <c r="E26" s="8">
        <v>46177.41358429399</v>
      </c>
      <c r="F26" s="2"/>
      <c r="G26" s="26">
        <v>50.0</v>
      </c>
      <c r="H26" s="23"/>
      <c r="I26" s="2"/>
      <c r="J26" s="27" t="s">
        <v>41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20.0</v>
      </c>
      <c r="E27" s="8">
        <v>46177.41575321759</v>
      </c>
      <c r="F27" s="2"/>
      <c r="G27" s="22">
        <v>45.0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10.0</v>
      </c>
      <c r="E28" s="8">
        <v>46177.416145358795</v>
      </c>
      <c r="F28" s="2"/>
      <c r="G28" s="22">
        <v>35.0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5.0</v>
      </c>
      <c r="E29" s="8">
        <v>46177.416214641205</v>
      </c>
      <c r="F29" s="2"/>
      <c r="G29" s="22">
        <v>1680.0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7408,46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60.0</v>
      </c>
      <c r="E30" s="8">
        <v>46177.42600709491</v>
      </c>
      <c r="F30" s="2"/>
      <c r="G30" s="22">
        <v>1474.0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60.0</v>
      </c>
      <c r="E31" s="8">
        <v>46177.42616765047</v>
      </c>
      <c r="F31" s="2"/>
      <c r="G31" s="22">
        <v>58.0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47</v>
      </c>
      <c r="D32" s="6">
        <v>42.0</v>
      </c>
      <c r="E32" s="8">
        <v>46177.437228738425</v>
      </c>
      <c r="F32" s="2"/>
      <c r="G32" s="22">
        <v>20.0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50.0</v>
      </c>
      <c r="E33" s="8">
        <v>46177.44069585648</v>
      </c>
      <c r="F33" s="2"/>
      <c r="G33" s="22">
        <v>317.0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80.0</v>
      </c>
      <c r="E34" s="8">
        <v>46177.440775625</v>
      </c>
      <c r="F34" s="2"/>
      <c r="G34" s="22">
        <v>25.0</v>
      </c>
      <c r="H34" s="23"/>
      <c r="I34" s="2"/>
      <c r="J34" s="30" t="s">
        <v>50</v>
      </c>
      <c r="K34" s="30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12.0</v>
      </c>
      <c r="E35" s="8">
        <v>46177.44087986111</v>
      </c>
      <c r="F35" s="2"/>
      <c r="G35" s="22">
        <v>79.0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53</v>
      </c>
      <c r="D36" s="6">
        <v>1680.0</v>
      </c>
      <c r="E36" s="8">
        <v>46177.44216203704</v>
      </c>
      <c r="F36" s="2"/>
      <c r="G36" s="22">
        <v>55.0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0.5</v>
      </c>
      <c r="C37" s="7" t="s">
        <v>54</v>
      </c>
      <c r="D37" s="6">
        <v>29.0</v>
      </c>
      <c r="E37" s="8">
        <v>46177.44582332176</v>
      </c>
      <c r="F37" s="2"/>
      <c r="G37" s="22">
        <v>10.0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55</v>
      </c>
      <c r="D38" s="6">
        <v>4.0</v>
      </c>
      <c r="E38" s="8">
        <v>46177.45627248843</v>
      </c>
      <c r="F38" s="2"/>
      <c r="G38" s="22">
        <v>32.0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6.0</v>
      </c>
      <c r="E39" s="8">
        <v>46177.456465868054</v>
      </c>
      <c r="F39" s="2"/>
      <c r="G39" s="22">
        <v>57.0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57</v>
      </c>
      <c r="D40" s="6">
        <v>17.0</v>
      </c>
      <c r="E40" s="8">
        <v>46177.45662453704</v>
      </c>
      <c r="F40" s="2"/>
      <c r="G40" s="22">
        <v>32.0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58</v>
      </c>
      <c r="D41" s="6">
        <v>58.0</v>
      </c>
      <c r="E41" s="8">
        <v>46177.46579905093</v>
      </c>
      <c r="F41" s="2"/>
      <c r="G41" s="22">
        <v>70.0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6.0</v>
      </c>
      <c r="C42" s="7" t="s">
        <v>59</v>
      </c>
      <c r="D42" s="6">
        <v>1650.0</v>
      </c>
      <c r="E42" s="8">
        <v>46177.46601613426</v>
      </c>
      <c r="F42" s="2"/>
      <c r="G42" s="22">
        <v>123.0</v>
      </c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6.0</v>
      </c>
      <c r="C43" s="7" t="s">
        <v>60</v>
      </c>
      <c r="D43" s="6">
        <v>1824.0</v>
      </c>
      <c r="E43" s="8">
        <v>46177.46605299768</v>
      </c>
      <c r="F43" s="2"/>
      <c r="G43" s="22">
        <v>265.0</v>
      </c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/>
      <c r="C44" s="7"/>
      <c r="D44" s="6"/>
      <c r="E44" s="8">
        <v>46177.46760063658</v>
      </c>
      <c r="F44" s="2"/>
      <c r="G44" s="22">
        <v>20.0</v>
      </c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24.0</v>
      </c>
      <c r="C45" s="7" t="s">
        <v>61</v>
      </c>
      <c r="D45" s="6">
        <v>18.0</v>
      </c>
      <c r="E45" s="8">
        <v>46177.4724694676</v>
      </c>
      <c r="F45" s="2"/>
      <c r="G45" s="22">
        <v>55.0</v>
      </c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24.0</v>
      </c>
      <c r="C46" s="7" t="s">
        <v>62</v>
      </c>
      <c r="D46" s="6">
        <v>2.0</v>
      </c>
      <c r="E46" s="8">
        <v>46177.47251795139</v>
      </c>
      <c r="F46" s="2"/>
      <c r="G46" s="22">
        <v>28.0</v>
      </c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0.5</v>
      </c>
      <c r="C47" s="7" t="s">
        <v>63</v>
      </c>
      <c r="D47" s="6">
        <v>12.5</v>
      </c>
      <c r="E47" s="8">
        <v>46177.474142499996</v>
      </c>
      <c r="F47" s="2"/>
      <c r="G47" s="22">
        <v>76.0</v>
      </c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64</v>
      </c>
      <c r="D48" s="6">
        <v>45.0</v>
      </c>
      <c r="E48" s="8">
        <v>46177.47667631945</v>
      </c>
      <c r="F48" s="2"/>
      <c r="G48" s="22">
        <v>385.0</v>
      </c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65</v>
      </c>
      <c r="D49" s="6">
        <v>6.0</v>
      </c>
      <c r="E49" s="8">
        <v>46177.476737881945</v>
      </c>
      <c r="F49" s="2"/>
      <c r="G49" s="22">
        <v>12.96</v>
      </c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66</v>
      </c>
      <c r="D50" s="6">
        <v>46.0</v>
      </c>
      <c r="E50" s="8">
        <v>46177.476825729165</v>
      </c>
      <c r="F50" s="2"/>
      <c r="G50" s="22">
        <v>30.0</v>
      </c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67</v>
      </c>
      <c r="D51" s="6">
        <v>220.0</v>
      </c>
      <c r="E51" s="8">
        <v>46177.477032650466</v>
      </c>
      <c r="F51" s="2"/>
      <c r="G51" s="22">
        <v>184.0</v>
      </c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68</v>
      </c>
      <c r="D52" s="6">
        <v>25.0</v>
      </c>
      <c r="E52" s="8">
        <v>46177.48284347222</v>
      </c>
      <c r="F52" s="2"/>
      <c r="G52" s="22">
        <v>98.0</v>
      </c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69</v>
      </c>
      <c r="D53" s="6">
        <v>13.0</v>
      </c>
      <c r="E53" s="8">
        <v>46177.498788530094</v>
      </c>
      <c r="F53" s="2"/>
      <c r="G53" s="22">
        <v>13.0</v>
      </c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70</v>
      </c>
      <c r="D54" s="6">
        <v>66.0</v>
      </c>
      <c r="E54" s="8">
        <v>46177.4989015162</v>
      </c>
      <c r="F54" s="2"/>
      <c r="G54" s="22">
        <v>44.0</v>
      </c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36.0</v>
      </c>
      <c r="C55" s="7" t="s">
        <v>71</v>
      </c>
      <c r="D55" s="6">
        <v>5.0</v>
      </c>
      <c r="E55" s="8">
        <v>46177.50444633102</v>
      </c>
      <c r="F55" s="2"/>
      <c r="G55" s="22">
        <v>13.0</v>
      </c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72</v>
      </c>
      <c r="D56" s="6">
        <v>50.0</v>
      </c>
      <c r="E56" s="8">
        <v>46177.504516099536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4.0</v>
      </c>
      <c r="C57" s="7" t="s">
        <v>73</v>
      </c>
      <c r="D57" s="6">
        <v>10.0</v>
      </c>
      <c r="E57" s="8">
        <v>46177.52317912037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4.0</v>
      </c>
      <c r="C58" s="7" t="s">
        <v>74</v>
      </c>
      <c r="D58" s="6">
        <v>32.0</v>
      </c>
      <c r="E58" s="8">
        <v>46177.52322030092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75</v>
      </c>
      <c r="D59" s="6">
        <v>10.0</v>
      </c>
      <c r="E59" s="8">
        <v>46177.53204384259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76</v>
      </c>
      <c r="D60" s="6">
        <v>40.0</v>
      </c>
      <c r="E60" s="8">
        <v>46177.54485903935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1.5</v>
      </c>
      <c r="C61" s="7" t="s">
        <v>77</v>
      </c>
      <c r="D61" s="6">
        <v>18.0</v>
      </c>
      <c r="E61" s="8">
        <v>46177.54493635417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78</v>
      </c>
      <c r="D62" s="6">
        <v>5.0</v>
      </c>
      <c r="E62" s="8">
        <v>46177.54515967592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79</v>
      </c>
      <c r="D63" s="6">
        <v>10.0</v>
      </c>
      <c r="E63" s="8">
        <v>46177.54526570602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80</v>
      </c>
      <c r="D64" s="6">
        <v>80.0</v>
      </c>
      <c r="E64" s="8">
        <v>46177.546135868055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81</v>
      </c>
      <c r="D65" s="6">
        <v>124.0</v>
      </c>
      <c r="E65" s="8">
        <v>46177.546224606485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82</v>
      </c>
      <c r="D66" s="6">
        <v>11.0</v>
      </c>
      <c r="E66" s="8">
        <v>46177.547917696764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83</v>
      </c>
      <c r="D67" s="6">
        <v>29.0</v>
      </c>
      <c r="E67" s="8">
        <v>46177.54801946759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84</v>
      </c>
      <c r="D68" s="6">
        <v>12.0</v>
      </c>
      <c r="E68" s="8">
        <v>46177.54813270833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85</v>
      </c>
      <c r="D69" s="6">
        <v>5.0</v>
      </c>
      <c r="E69" s="8">
        <v>46177.54818892361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86</v>
      </c>
      <c r="D70" s="6">
        <v>35.0</v>
      </c>
      <c r="E70" s="8">
        <v>46177.5639591088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87</v>
      </c>
      <c r="D71" s="6">
        <v>60.0</v>
      </c>
      <c r="E71" s="8">
        <v>46177.58078462963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88</v>
      </c>
      <c r="D72" s="6">
        <v>5.0</v>
      </c>
      <c r="E72" s="8">
        <v>46177.58087348379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89</v>
      </c>
      <c r="D73" s="6">
        <v>2.0</v>
      </c>
      <c r="E73" s="8">
        <v>46177.58093127314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90</v>
      </c>
      <c r="D74" s="6">
        <v>6.0</v>
      </c>
      <c r="E74" s="8">
        <v>46177.58099152778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91</v>
      </c>
      <c r="D75" s="6">
        <v>4.0</v>
      </c>
      <c r="E75" s="8">
        <v>46177.58104667824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92</v>
      </c>
      <c r="D76" s="6">
        <v>20.0</v>
      </c>
      <c r="E76" s="8">
        <v>46177.58252012731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93</v>
      </c>
      <c r="D77" s="6">
        <v>32.0</v>
      </c>
      <c r="E77" s="8">
        <v>46177.584391701384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3.0</v>
      </c>
      <c r="C78" s="7" t="s">
        <v>94</v>
      </c>
      <c r="D78" s="6">
        <v>15.0</v>
      </c>
      <c r="E78" s="8">
        <v>46177.584430104165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95</v>
      </c>
      <c r="D79" s="6">
        <v>12.0</v>
      </c>
      <c r="E79" s="8">
        <v>46177.58948841435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96</v>
      </c>
      <c r="D80" s="6">
        <v>29.0</v>
      </c>
      <c r="E80" s="8">
        <v>46177.60830204861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12.0</v>
      </c>
      <c r="C81" s="7" t="s">
        <v>97</v>
      </c>
      <c r="D81" s="6">
        <v>6.0</v>
      </c>
      <c r="E81" s="8">
        <v>46177.608363287036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98</v>
      </c>
      <c r="D82" s="6">
        <v>420.0</v>
      </c>
      <c r="E82" s="8">
        <v>46177.626356967594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4.0</v>
      </c>
      <c r="C83" s="7" t="s">
        <v>99</v>
      </c>
      <c r="D83" s="6">
        <v>28.0</v>
      </c>
      <c r="E83" s="8">
        <v>46177.62971385417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100</v>
      </c>
      <c r="D84" s="6">
        <v>95.0</v>
      </c>
      <c r="E84" s="8">
        <v>46177.62992883102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5.0</v>
      </c>
      <c r="C85" s="7" t="s">
        <v>101</v>
      </c>
      <c r="D85" s="6">
        <v>50.0</v>
      </c>
      <c r="E85" s="8">
        <v>46177.63691263889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102</v>
      </c>
      <c r="D86" s="6">
        <v>12.0</v>
      </c>
      <c r="E86" s="8">
        <v>46177.63698732639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2.0</v>
      </c>
      <c r="C87" s="7" t="s">
        <v>103</v>
      </c>
      <c r="D87" s="6">
        <v>80.0</v>
      </c>
      <c r="E87" s="8">
        <v>46177.63704568287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2.0</v>
      </c>
      <c r="C88" s="7" t="s">
        <v>104</v>
      </c>
      <c r="D88" s="6">
        <v>86.0</v>
      </c>
      <c r="E88" s="8">
        <v>46177.64861824074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2.0</v>
      </c>
      <c r="C89" s="7" t="s">
        <v>105</v>
      </c>
      <c r="D89" s="6">
        <v>68.0</v>
      </c>
      <c r="E89" s="8">
        <v>46177.648719861114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4.0</v>
      </c>
      <c r="C90" s="7" t="s">
        <v>106</v>
      </c>
      <c r="D90" s="6">
        <v>84.0</v>
      </c>
      <c r="E90" s="8">
        <v>46177.648835625005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3.0</v>
      </c>
      <c r="C91" s="7" t="s">
        <v>107</v>
      </c>
      <c r="D91" s="6">
        <v>18.0</v>
      </c>
      <c r="E91" s="8">
        <v>46177.648941956024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108</v>
      </c>
      <c r="D92" s="6">
        <v>21.0</v>
      </c>
      <c r="E92" s="8">
        <v>46177.679512118055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109</v>
      </c>
      <c r="D93" s="6">
        <v>30.0</v>
      </c>
      <c r="E93" s="8">
        <v>46177.67934494213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110</v>
      </c>
      <c r="D94" s="6">
        <v>130.0</v>
      </c>
      <c r="E94" s="8">
        <v>46177.67945002315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111</v>
      </c>
      <c r="D95" s="6">
        <v>15.0</v>
      </c>
      <c r="E95" s="8">
        <v>46177.682051111115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112</v>
      </c>
      <c r="D96" s="6">
        <v>17.0</v>
      </c>
      <c r="E96" s="8">
        <v>46177.68198355324</v>
      </c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6.0</v>
      </c>
      <c r="C97" s="7" t="s">
        <v>113</v>
      </c>
      <c r="D97" s="6">
        <v>3.0</v>
      </c>
      <c r="E97" s="8">
        <v>46178.38400847222</v>
      </c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114</v>
      </c>
      <c r="D98" s="6">
        <v>5.0</v>
      </c>
      <c r="E98" s="8">
        <v>46178.38402011574</v>
      </c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6.0</v>
      </c>
      <c r="C99" s="7" t="s">
        <v>115</v>
      </c>
      <c r="D99" s="6">
        <v>9.0</v>
      </c>
      <c r="E99" s="8">
        <v>46178.40728255787</v>
      </c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1.0</v>
      </c>
      <c r="C100" s="7" t="s">
        <v>116</v>
      </c>
      <c r="D100" s="6">
        <v>55.0</v>
      </c>
      <c r="E100" s="8">
        <v>46178.41172125</v>
      </c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1.0</v>
      </c>
      <c r="C101" s="7" t="s">
        <v>117</v>
      </c>
      <c r="D101" s="6">
        <v>8.0</v>
      </c>
      <c r="E101" s="8">
        <v>46178.42002675926</v>
      </c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118</v>
      </c>
      <c r="D102" s="6">
        <v>28.0</v>
      </c>
      <c r="E102" s="8">
        <v>46178.424369050925</v>
      </c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119</v>
      </c>
      <c r="D103" s="6">
        <v>2.5</v>
      </c>
      <c r="E103" s="8">
        <v>46178.43507555556</v>
      </c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120</v>
      </c>
      <c r="D104" s="6">
        <v>30.0</v>
      </c>
      <c r="E104" s="8">
        <v>46178.43518771991</v>
      </c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121</v>
      </c>
      <c r="D105" s="6">
        <v>66.0</v>
      </c>
      <c r="E105" s="8">
        <v>46178.43995552084</v>
      </c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2.0</v>
      </c>
      <c r="C106" s="7" t="s">
        <v>122</v>
      </c>
      <c r="D106" s="6">
        <v>10.0</v>
      </c>
      <c r="E106" s="8">
        <v>46178.44002174769</v>
      </c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123</v>
      </c>
      <c r="D107" s="6">
        <v>65.0</v>
      </c>
      <c r="E107" s="8">
        <v>46178.45234605324</v>
      </c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2.0</v>
      </c>
      <c r="C108" s="7" t="s">
        <v>124</v>
      </c>
      <c r="D108" s="6">
        <v>6.0</v>
      </c>
      <c r="E108" s="8">
        <v>46178.45264159722</v>
      </c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2.0</v>
      </c>
      <c r="C109" s="7" t="s">
        <v>125</v>
      </c>
      <c r="D109" s="6">
        <v>8.0</v>
      </c>
      <c r="E109" s="8">
        <v>46178.45339766204</v>
      </c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1.0</v>
      </c>
      <c r="C110" s="7" t="s">
        <v>126</v>
      </c>
      <c r="D110" s="6">
        <v>385.0</v>
      </c>
      <c r="E110" s="8">
        <v>46178.45418990741</v>
      </c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1.0</v>
      </c>
      <c r="C111" s="7" t="s">
        <v>127</v>
      </c>
      <c r="D111" s="6">
        <v>10.0</v>
      </c>
      <c r="E111" s="8">
        <v>46178.45838902778</v>
      </c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0.5</v>
      </c>
      <c r="C112" s="7" t="s">
        <v>128</v>
      </c>
      <c r="D112" s="6">
        <v>13.0</v>
      </c>
      <c r="E112" s="8">
        <v>46178.46304672454</v>
      </c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1.0</v>
      </c>
      <c r="C113" s="7" t="s">
        <v>129</v>
      </c>
      <c r="D113" s="6">
        <v>56.0</v>
      </c>
      <c r="E113" s="8">
        <v>46178.473959421295</v>
      </c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>
        <v>1.0</v>
      </c>
      <c r="C114" s="7" t="s">
        <v>130</v>
      </c>
      <c r="D114" s="6">
        <v>21.0</v>
      </c>
      <c r="E114" s="8">
        <v>46178.47400731481</v>
      </c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6">
        <v>1.0</v>
      </c>
      <c r="C115" s="7" t="s">
        <v>131</v>
      </c>
      <c r="D115" s="6">
        <v>14.0</v>
      </c>
      <c r="E115" s="8">
        <v>46178.47406688657</v>
      </c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6">
        <v>6.0</v>
      </c>
      <c r="C116" s="7" t="s">
        <v>132</v>
      </c>
      <c r="D116" s="6">
        <v>4.0</v>
      </c>
      <c r="E116" s="8">
        <v>46178.47418619213</v>
      </c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6">
        <v>42.0</v>
      </c>
      <c r="C117" s="7" t="s">
        <v>133</v>
      </c>
      <c r="D117" s="6">
        <v>9.0</v>
      </c>
      <c r="E117" s="8">
        <v>46178.47438501158</v>
      </c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6">
        <v>1.0</v>
      </c>
      <c r="C118" s="7" t="s">
        <v>134</v>
      </c>
      <c r="D118" s="6">
        <v>9.0</v>
      </c>
      <c r="E118" s="8">
        <v>46178.489490810185</v>
      </c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6">
        <v>12.0</v>
      </c>
      <c r="C119" s="7" t="s">
        <v>135</v>
      </c>
      <c r="D119" s="6">
        <v>144.0</v>
      </c>
      <c r="E119" s="8">
        <v>46178.49906107639</v>
      </c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6">
        <v>1.0</v>
      </c>
      <c r="C120" s="7" t="s">
        <v>136</v>
      </c>
      <c r="D120" s="6">
        <v>30.0</v>
      </c>
      <c r="E120" s="8">
        <v>46178.49956457176</v>
      </c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6">
        <v>1.0</v>
      </c>
      <c r="C121" s="7" t="s">
        <v>137</v>
      </c>
      <c r="D121" s="6">
        <v>158.0</v>
      </c>
      <c r="E121" s="8">
        <v>46178.53281820602</v>
      </c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6">
        <v>1.0</v>
      </c>
      <c r="C122" s="7" t="s">
        <v>138</v>
      </c>
      <c r="D122" s="6">
        <v>26.0</v>
      </c>
      <c r="E122" s="8">
        <v>46178.525812974534</v>
      </c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6">
        <v>1.0</v>
      </c>
      <c r="C123" s="7" t="s">
        <v>139</v>
      </c>
      <c r="D123" s="6">
        <v>10.0</v>
      </c>
      <c r="E123" s="8">
        <v>46178.525739687495</v>
      </c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6">
        <v>10.0</v>
      </c>
      <c r="C124" s="7" t="s">
        <v>140</v>
      </c>
      <c r="D124" s="6">
        <v>80.0</v>
      </c>
      <c r="E124" s="8">
        <v>46178.53287319445</v>
      </c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6">
        <v>1.0</v>
      </c>
      <c r="C125" s="7" t="s">
        <v>141</v>
      </c>
      <c r="D125" s="6">
        <v>5.0</v>
      </c>
      <c r="E125" s="8">
        <v>46178.5329565625</v>
      </c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6">
        <v>1.0</v>
      </c>
      <c r="C126" s="7" t="s">
        <v>142</v>
      </c>
      <c r="D126" s="6">
        <v>13.0</v>
      </c>
      <c r="E126" s="8">
        <v>46178.54740362268</v>
      </c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6">
        <v>1.0</v>
      </c>
      <c r="C127" s="7" t="s">
        <v>143</v>
      </c>
      <c r="D127" s="6">
        <v>46.0</v>
      </c>
      <c r="E127" s="8">
        <v>46178.57175142361</v>
      </c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6">
        <v>10.0</v>
      </c>
      <c r="C128" s="7" t="s">
        <v>115</v>
      </c>
      <c r="D128" s="6">
        <v>15.0</v>
      </c>
      <c r="E128" s="8">
        <v>46178.58184815972</v>
      </c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6">
        <v>2.0</v>
      </c>
      <c r="C129" s="7" t="s">
        <v>144</v>
      </c>
      <c r="D129" s="6">
        <v>98.0</v>
      </c>
      <c r="E129" s="8">
        <v>46178.581980393516</v>
      </c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6">
        <v>1.0</v>
      </c>
      <c r="C130" s="7" t="s">
        <v>145</v>
      </c>
      <c r="D130" s="6">
        <v>16.0</v>
      </c>
      <c r="E130" s="8">
        <v>46178.604130775464</v>
      </c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6">
        <v>1.0</v>
      </c>
      <c r="C131" s="7" t="s">
        <v>146</v>
      </c>
      <c r="D131" s="6">
        <v>4.0</v>
      </c>
      <c r="E131" s="8">
        <v>46178.60421388889</v>
      </c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6">
        <v>1.0</v>
      </c>
      <c r="C132" s="7" t="s">
        <v>147</v>
      </c>
      <c r="D132" s="6">
        <v>42.0</v>
      </c>
      <c r="E132" s="8">
        <v>46178.61250513889</v>
      </c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6">
        <v>2.0</v>
      </c>
      <c r="C133" s="7" t="s">
        <v>148</v>
      </c>
      <c r="D133" s="6">
        <v>370.0</v>
      </c>
      <c r="E133" s="8">
        <v>46178.641170821764</v>
      </c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6">
        <v>2.0</v>
      </c>
      <c r="C134" s="7" t="s">
        <v>149</v>
      </c>
      <c r="D134" s="6">
        <v>64.0</v>
      </c>
      <c r="E134" s="8">
        <v>46178.641239432865</v>
      </c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6">
        <v>1.0</v>
      </c>
      <c r="C135" s="7" t="s">
        <v>150</v>
      </c>
      <c r="D135" s="6">
        <v>13.0</v>
      </c>
      <c r="E135" s="8">
        <v>46178.64104844908</v>
      </c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6">
        <v>1.0</v>
      </c>
      <c r="C136" s="7" t="s">
        <v>151</v>
      </c>
      <c r="D136" s="6">
        <v>117.0</v>
      </c>
      <c r="E136" s="8">
        <v>46178.641091365746</v>
      </c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6">
        <v>1.0</v>
      </c>
      <c r="C137" s="7" t="s">
        <v>152</v>
      </c>
      <c r="D137" s="6">
        <v>44.0</v>
      </c>
      <c r="E137" s="8">
        <v>46178.643173668985</v>
      </c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