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<sst xmlns="http://schemas.openxmlformats.org/spreadsheetml/2006/main" count="97" uniqueCount="96">
  <si>
    <t>HOJA DE CALCULO FERRETERIA</t>
  </si>
  <si>
    <t>CODIGO</t>
  </si>
  <si>
    <t>CANTIDAD</t>
  </si>
  <si>
    <t>DESCRIPCION</t>
  </si>
  <si>
    <t>TOTAL</t>
  </si>
  <si>
    <t>HORA</t>
  </si>
  <si>
    <t>CUADRAR</t>
  </si>
  <si>
    <t>silicona bronce</t>
  </si>
  <si>
    <t>gomitas</t>
  </si>
  <si>
    <t>MONEDAS</t>
  </si>
  <si>
    <t>CAJA CHICA</t>
  </si>
  <si>
    <t>llave combinada 10</t>
  </si>
  <si>
    <t>BILLETES 10-20</t>
  </si>
  <si>
    <t>TOTAL VENTAS DIA</t>
  </si>
  <si>
    <t>punta phili</t>
  </si>
  <si>
    <t>BILLETES 50-100-200</t>
  </si>
  <si>
    <t>AUMENTO DE DINERO</t>
  </si>
  <si>
    <t>cepillo acero</t>
  </si>
  <si>
    <t>INGRESOS YAPE</t>
  </si>
  <si>
    <t>1kl</t>
  </si>
  <si>
    <t>carburo</t>
  </si>
  <si>
    <t>INGRESOS TARJETA</t>
  </si>
  <si>
    <t>ramplu lh 6</t>
  </si>
  <si>
    <t>GASTOS VARIOS</t>
  </si>
  <si>
    <t>broca metal tr 3</t>
  </si>
  <si>
    <t>broca metal tr 3,5</t>
  </si>
  <si>
    <t>DINERO GANADO HOY:</t>
  </si>
  <si>
    <t>CANTIDAD DINERO CAJA:</t>
  </si>
  <si>
    <t>cinta antideslizante tr</t>
  </si>
  <si>
    <t>tee desague 3</t>
  </si>
  <si>
    <t>niple 1/2</t>
  </si>
  <si>
    <t>carbon</t>
  </si>
  <si>
    <t>alrgador 3m uyus</t>
  </si>
  <si>
    <t>adaptador corriente</t>
  </si>
  <si>
    <t>gotita</t>
  </si>
  <si>
    <t>YAPE MAMÁ</t>
  </si>
  <si>
    <t>YAPE PAPÁ</t>
  </si>
  <si>
    <t>kg carburo</t>
  </si>
  <si>
    <t>lija 600</t>
  </si>
  <si>
    <t>lijas 2000</t>
  </si>
  <si>
    <t>cubre cabl 20x10</t>
  </si>
  <si>
    <t>tubo conduit 5/8</t>
  </si>
  <si>
    <t>25m</t>
  </si>
  <si>
    <t>cable enchaquetado 1.5</t>
  </si>
  <si>
    <t>calvija shuco</t>
  </si>
  <si>
    <t>chip 6 x 70</t>
  </si>
  <si>
    <t>ramplu 8</t>
  </si>
  <si>
    <t>ramplu 8 lh</t>
  </si>
  <si>
    <t>escamosita 1/2kl</t>
  </si>
  <si>
    <t>varilla de bromce</t>
  </si>
  <si>
    <t>clavija shuco</t>
  </si>
  <si>
    <t>regleta 2 entradas ultra</t>
  </si>
  <si>
    <t>clavija 20a tramon</t>
  </si>
  <si>
    <t>disco galleta uys 4</t>
  </si>
  <si>
    <t>diso galleta uyus 7</t>
  </si>
  <si>
    <t>disco galleta tr 7</t>
  </si>
  <si>
    <t>clefa 100nl</t>
  </si>
  <si>
    <t>interruptor sobreponer tramon</t>
  </si>
  <si>
    <t>pas bisagra 2</t>
  </si>
  <si>
    <t>pernos 8x1/2</t>
  </si>
  <si>
    <t>silicona parabrisas</t>
  </si>
  <si>
    <t>broca cobalto 4.5</t>
  </si>
  <si>
    <t>pomada para soldar</t>
  </si>
  <si>
    <t>cinta asilante</t>
  </si>
  <si>
    <t xml:space="preserve">oscaria </t>
  </si>
  <si>
    <t>m cable enchaq2uetado 1,5</t>
  </si>
  <si>
    <t>clavija</t>
  </si>
  <si>
    <t>lja 380</t>
  </si>
  <si>
    <t>broca concreto 6</t>
  </si>
  <si>
    <t xml:space="preserve">m amnguera gas </t>
  </si>
  <si>
    <t>abrazaderas</t>
  </si>
  <si>
    <t>tornillos</t>
  </si>
  <si>
    <t>gotia</t>
  </si>
  <si>
    <t>poxiina</t>
  </si>
  <si>
    <t>silicona americans</t>
  </si>
  <si>
    <t>juego llave allem</t>
  </si>
  <si>
    <t>juego llaves tork</t>
  </si>
  <si>
    <t>candado hr</t>
  </si>
  <si>
    <t>broca truepr 6 mm</t>
  </si>
  <si>
    <t>cinta aislanes</t>
  </si>
  <si>
    <t>sintetica negra 1l</t>
  </si>
  <si>
    <t>brocha 3</t>
  </si>
  <si>
    <t>2l</t>
  </si>
  <si>
    <t>thinner duko</t>
  </si>
  <si>
    <t>aerosol negro brillo</t>
  </si>
  <si>
    <t>broca encastre 3/4 tr</t>
  </si>
  <si>
    <t>pegmento akfix</t>
  </si>
  <si>
    <t>arrancador para panel 18w</t>
  </si>
  <si>
    <t>tirafon 1/4 x 2</t>
  </si>
  <si>
    <t>silicona american transas</t>
  </si>
  <si>
    <t xml:space="preserve">cinta dkoble contad </t>
  </si>
  <si>
    <t>repuesto de cuchillas</t>
  </si>
  <si>
    <t xml:space="preserve">silicoan america </t>
  </si>
  <si>
    <t>juefo de irrigacion tramonia</t>
  </si>
  <si>
    <t>enrrolladora de manguera</t>
  </si>
  <si>
    <t>i canddo de cable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</si>
</sst>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34.0</v>
      </c>
      <c r="E8" s="8">
        <v>46113.3643753588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6.0</v>
      </c>
      <c r="C9" s="7" t="s">
        <v>8</v>
      </c>
      <c r="D9" s="6">
        <v>6.0</v>
      </c>
      <c r="E9" s="8">
        <v>46113.38391391204</v>
      </c>
      <c r="F9" s="2"/>
      <c r="G9" s="9" t="s">
        <v>9</v>
      </c>
      <c r="H9" s="10">
        <v>153.0</v>
      </c>
      <c r="I9" s="2"/>
      <c r="J9" s="9" t="s">
        <v>10</v>
      </c>
      <c r="K9" s="10">
        <v>521.0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20.0</v>
      </c>
      <c r="E10" s="8">
        <v>46113.400588344906</v>
      </c>
      <c r="F10" s="2"/>
      <c r="G10" s="9" t="s">
        <v>12</v>
      </c>
      <c r="H10" s="10">
        <v>30.0</v>
      </c>
      <c r="I10" s="2"/>
      <c r="J10" s="9" t="s">
        <v>13</v>
      </c>
      <c r="K10" s="11">
        <f>SUM(PRINCIPAL[TOTAL])</f>
        <v>2982.5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4.0</v>
      </c>
      <c r="E11" s="8">
        <v>46113.41151076389</v>
      </c>
      <c r="F11" s="2"/>
      <c r="G11" s="9" t="s">
        <v>15</v>
      </c>
      <c r="H11" s="10">
        <v>2050.0</v>
      </c>
      <c r="I11" s="2"/>
      <c r="J11" s="9" t="s">
        <v>16</v>
      </c>
      <c r="K11" s="10">
        <v>100.0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12.0</v>
      </c>
      <c r="E12" s="8">
        <v>46113.43301197917</v>
      </c>
      <c r="F12" s="2"/>
      <c r="G12" s="9" t="s">
        <v>18</v>
      </c>
      <c r="H12" s="12">
        <f>SUM(G24:H361)</f>
        <v>1363.5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 t="s">
        <v>19</v>
      </c>
      <c r="C13" s="7" t="s">
        <v>20</v>
      </c>
      <c r="D13" s="6">
        <v>25.0</v>
      </c>
      <c r="E13" s="8">
        <v>46113.43307540509</v>
      </c>
      <c r="F13" s="2"/>
      <c r="G13" s="9" t="s">
        <v>21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24.0</v>
      </c>
      <c r="C14" s="7" t="s">
        <v>22</v>
      </c>
      <c r="D14" s="6">
        <v>8.0</v>
      </c>
      <c r="E14" s="8">
        <v>46113.44527953704</v>
      </c>
      <c r="F14" s="2"/>
      <c r="G14" s="9" t="s">
        <v>23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3.0</v>
      </c>
      <c r="C15" s="7" t="s">
        <v>24</v>
      </c>
      <c r="D15" s="6">
        <v>30.0</v>
      </c>
      <c r="E15" s="8">
        <v>46113.44540373843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3.0</v>
      </c>
      <c r="C16" s="7" t="s">
        <v>25</v>
      </c>
      <c r="D16" s="6">
        <v>37.5</v>
      </c>
      <c r="E16" s="8">
        <v>46113.445520810186</v>
      </c>
      <c r="F16" s="2"/>
      <c r="G16" s="15" t="s">
        <v>26</v>
      </c>
      <c r="H16" s="16">
        <f>SUM(H9:H14)</f>
        <v>3596.5</v>
      </c>
      <c r="I16" s="3"/>
      <c r="J16" s="15" t="s">
        <v>27</v>
      </c>
      <c r="K16" s="16">
        <f>SUM(K9:K11)</f>
        <v>3603.5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28</v>
      </c>
      <c r="D17" s="6">
        <v>86.0</v>
      </c>
      <c r="E17" s="8">
        <v>46113.45817194444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29</v>
      </c>
      <c r="D18" s="6">
        <v>13.0</v>
      </c>
      <c r="E18" s="8">
        <v>46113.45892685185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faltante (No se vendió algo ingresado): 7,00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2.0</v>
      </c>
      <c r="C19" s="7" t="s">
        <v>30</v>
      </c>
      <c r="D19" s="6">
        <v>4.0</v>
      </c>
      <c r="E19" s="8">
        <v>46113.46810699074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31</v>
      </c>
      <c r="D20" s="6">
        <v>25.0</v>
      </c>
      <c r="E20" s="8">
        <v>46113.48334284722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32</v>
      </c>
      <c r="D21" s="6">
        <v>98.0</v>
      </c>
      <c r="E21" s="8">
        <v>46113.48349238426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33</v>
      </c>
      <c r="D22" s="6">
        <v>15.0</v>
      </c>
      <c r="E22" s="8">
        <v>46113.48374125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34</v>
      </c>
      <c r="D23" s="6">
        <v>10.0</v>
      </c>
      <c r="E23" s="8">
        <v>46113.48518185185</v>
      </c>
      <c r="F23" s="2"/>
      <c r="G23" s="19" t="s">
        <v>35</v>
      </c>
      <c r="H23" s="19" t="s">
        <v>36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37</v>
      </c>
      <c r="D24" s="6">
        <v>25.0</v>
      </c>
      <c r="E24" s="8">
        <v>46113.49131347222</v>
      </c>
      <c r="F24" s="2"/>
      <c r="G24" s="20">
        <v>67.5</v>
      </c>
      <c r="H24" s="21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38</v>
      </c>
      <c r="D25" s="6">
        <v>5.0</v>
      </c>
      <c r="E25" s="8">
        <v>46113.5321416088</v>
      </c>
      <c r="F25" s="2"/>
      <c r="G25" s="20">
        <v>113.0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39</v>
      </c>
      <c r="D26" s="6">
        <v>8.0</v>
      </c>
      <c r="E26" s="8">
        <v>46113.53222719907</v>
      </c>
      <c r="F26" s="2"/>
      <c r="G26" s="22">
        <v>38.0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3.0</v>
      </c>
      <c r="C27" s="7" t="s">
        <v>40</v>
      </c>
      <c r="D27" s="6">
        <v>30.0</v>
      </c>
      <c r="E27" s="8">
        <v>46113.5363509375</v>
      </c>
      <c r="F27" s="2"/>
      <c r="G27" s="20">
        <v>22.0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2.0</v>
      </c>
      <c r="C28" s="7" t="s">
        <v>41</v>
      </c>
      <c r="D28" s="6">
        <v>13.0</v>
      </c>
      <c r="E28" s="8">
        <v>46113.536505069445</v>
      </c>
      <c r="F28" s="2"/>
      <c r="G28" s="20">
        <v>208.0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 t="s">
        <v>42</v>
      </c>
      <c r="C29" s="7" t="s">
        <v>43</v>
      </c>
      <c r="D29" s="6">
        <v>275.0</v>
      </c>
      <c r="E29" s="8">
        <v>46113.544647800925</v>
      </c>
      <c r="F29" s="2"/>
      <c r="G29" s="20">
        <v>28.0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44</v>
      </c>
      <c r="D30" s="6">
        <v>38.0</v>
      </c>
      <c r="E30" s="8">
        <v>46113.54476222223</v>
      </c>
      <c r="F30" s="2"/>
      <c r="G30" s="20">
        <v>51.0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24.0</v>
      </c>
      <c r="C31" s="7" t="s">
        <v>45</v>
      </c>
      <c r="D31" s="6">
        <v>16.0</v>
      </c>
      <c r="E31" s="8">
        <v>46113.54773767361</v>
      </c>
      <c r="F31" s="2"/>
      <c r="G31" s="20">
        <v>128.0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24.0</v>
      </c>
      <c r="C32" s="7" t="s">
        <v>46</v>
      </c>
      <c r="D32" s="6">
        <v>6.0</v>
      </c>
      <c r="E32" s="8">
        <v>46113.547814826394</v>
      </c>
      <c r="F32" s="2"/>
      <c r="G32" s="20">
        <v>30.0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24.0</v>
      </c>
      <c r="C33" s="7" t="s">
        <v>47</v>
      </c>
      <c r="D33" s="6">
        <v>16.0</v>
      </c>
      <c r="E33" s="8">
        <v>46113.54789259259</v>
      </c>
      <c r="F33" s="2"/>
      <c r="G33" s="20">
        <v>13.0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4.0</v>
      </c>
      <c r="C34" s="7" t="s">
        <v>48</v>
      </c>
      <c r="D34" s="6">
        <v>100.0</v>
      </c>
      <c r="E34" s="8">
        <v>46113.54797885417</v>
      </c>
      <c r="F34" s="2"/>
      <c r="G34" s="20">
        <v>151.0</v>
      </c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49</v>
      </c>
      <c r="D35" s="6">
        <v>22.0</v>
      </c>
      <c r="E35" s="8">
        <v>46113.55020002315</v>
      </c>
      <c r="F35" s="2"/>
      <c r="G35" s="20">
        <v>41.0</v>
      </c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50</v>
      </c>
      <c r="D36" s="6">
        <v>39.0</v>
      </c>
      <c r="E36" s="8">
        <v>46113.557352696764</v>
      </c>
      <c r="F36" s="2"/>
      <c r="G36" s="20">
        <v>54.0</v>
      </c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51</v>
      </c>
      <c r="D37" s="6">
        <v>16.0</v>
      </c>
      <c r="E37" s="8">
        <v>46113.55751568287</v>
      </c>
      <c r="F37" s="2"/>
      <c r="G37" s="20">
        <v>289.0</v>
      </c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52</v>
      </c>
      <c r="D38" s="6">
        <v>15.0</v>
      </c>
      <c r="E38" s="8">
        <v>46113.557600740736</v>
      </c>
      <c r="F38" s="2"/>
      <c r="G38" s="20">
        <v>130.0</v>
      </c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40.0</v>
      </c>
      <c r="C39" s="7" t="s">
        <v>53</v>
      </c>
      <c r="D39" s="6">
        <v>180.0</v>
      </c>
      <c r="E39" s="8">
        <v>46113.57825989583</v>
      </c>
      <c r="F39" s="2"/>
      <c r="G39" s="21"/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54</v>
      </c>
      <c r="D40" s="6">
        <v>12.0</v>
      </c>
      <c r="E40" s="8">
        <v>46113.57836826389</v>
      </c>
      <c r="F40" s="2"/>
      <c r="G40" s="21"/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55</v>
      </c>
      <c r="D41" s="6">
        <v>16.0</v>
      </c>
      <c r="E41" s="8">
        <v>46113.57845825232</v>
      </c>
      <c r="F41" s="2"/>
      <c r="G41" s="21"/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56</v>
      </c>
      <c r="D42" s="6">
        <v>16.0</v>
      </c>
      <c r="E42" s="8">
        <v>46113.584378252315</v>
      </c>
      <c r="F42" s="2"/>
      <c r="G42" s="21"/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57</v>
      </c>
      <c r="D43" s="6">
        <v>15.0</v>
      </c>
      <c r="E43" s="8">
        <v>46113.589020115745</v>
      </c>
      <c r="F43" s="2"/>
      <c r="G43" s="21"/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2.0</v>
      </c>
      <c r="C44" s="7" t="s">
        <v>58</v>
      </c>
      <c r="D44" s="6">
        <v>11.0</v>
      </c>
      <c r="E44" s="8">
        <v>46113.59545449074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16.0</v>
      </c>
      <c r="C45" s="7" t="s">
        <v>59</v>
      </c>
      <c r="D45" s="6">
        <v>4.0</v>
      </c>
      <c r="E45" s="8">
        <v>46113.595497800925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2.0</v>
      </c>
      <c r="C46" s="7" t="s">
        <v>60</v>
      </c>
      <c r="D46" s="6">
        <v>96.0</v>
      </c>
      <c r="E46" s="8">
        <v>46113.59562165509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2.0</v>
      </c>
      <c r="C47" s="7" t="s">
        <v>61</v>
      </c>
      <c r="D47" s="6">
        <v>28.0</v>
      </c>
      <c r="E47" s="8">
        <v>46113.59598383102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62</v>
      </c>
      <c r="D48" s="6">
        <v>16.0</v>
      </c>
      <c r="E48" s="8">
        <v>46113.60619618055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63</v>
      </c>
      <c r="D49" s="6">
        <v>9.0</v>
      </c>
      <c r="E49" s="8">
        <v>46113.613482291665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64</v>
      </c>
      <c r="D50" s="6">
        <v>25.0</v>
      </c>
      <c r="E50" s="8">
        <v>46113.62724619213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2.0</v>
      </c>
      <c r="C51" s="7" t="s">
        <v>63</v>
      </c>
      <c r="D51" s="6">
        <v>26.0</v>
      </c>
      <c r="E51" s="8">
        <v>46113.627321249995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2.0</v>
      </c>
      <c r="C52" s="7" t="s">
        <v>65</v>
      </c>
      <c r="D52" s="6">
        <v>22.0</v>
      </c>
      <c r="E52" s="8">
        <v>46113.63246148148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66</v>
      </c>
      <c r="D53" s="6">
        <v>7.0</v>
      </c>
      <c r="E53" s="8">
        <v>46113.63922802084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67</v>
      </c>
      <c r="D54" s="6">
        <v>5.0</v>
      </c>
      <c r="E54" s="8">
        <v>46113.6392571412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68</v>
      </c>
      <c r="D55" s="6">
        <v>15.0</v>
      </c>
      <c r="E55" s="8">
        <v>46113.643272002315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69</v>
      </c>
      <c r="D56" s="6">
        <v>12.0</v>
      </c>
      <c r="E56" s="8">
        <v>46113.64394947917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2.0</v>
      </c>
      <c r="C57" s="7" t="s">
        <v>70</v>
      </c>
      <c r="D57" s="6">
        <v>6.0</v>
      </c>
      <c r="E57" s="8">
        <v>46113.64404550926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12.0</v>
      </c>
      <c r="C58" s="7" t="s">
        <v>71</v>
      </c>
      <c r="D58" s="6">
        <v>4.0</v>
      </c>
      <c r="E58" s="8">
        <v>46113.64433516204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72</v>
      </c>
      <c r="D59" s="6">
        <v>11.0</v>
      </c>
      <c r="E59" s="8">
        <v>46113.661752361106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73</v>
      </c>
      <c r="D60" s="6">
        <v>38.0</v>
      </c>
      <c r="E60" s="8">
        <v>46113.661813009254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74</v>
      </c>
      <c r="D61" s="6">
        <v>27.0</v>
      </c>
      <c r="E61" s="8">
        <v>46113.66208349537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75</v>
      </c>
      <c r="D62" s="6">
        <v>62.0</v>
      </c>
      <c r="E62" s="8">
        <v>46113.66224857639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76</v>
      </c>
      <c r="D63" s="6">
        <v>39.0</v>
      </c>
      <c r="E63" s="8">
        <v>46113.66233828704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77</v>
      </c>
      <c r="D64" s="6">
        <v>27.0</v>
      </c>
      <c r="E64" s="8">
        <v>46113.66242857639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2.0</v>
      </c>
      <c r="C65" s="7" t="s">
        <v>78</v>
      </c>
      <c r="D65" s="6">
        <v>30.0</v>
      </c>
      <c r="E65" s="8">
        <v>46113.66992033565</v>
      </c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79</v>
      </c>
      <c r="D66" s="6">
        <v>13.0</v>
      </c>
      <c r="E66" s="8">
        <v>46113.67068248843</v>
      </c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80</v>
      </c>
      <c r="D67" s="6">
        <v>60.0</v>
      </c>
      <c r="E67" s="8">
        <v>46113.67394011574</v>
      </c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2.0</v>
      </c>
      <c r="C68" s="7" t="s">
        <v>81</v>
      </c>
      <c r="D68" s="6">
        <v>24.0</v>
      </c>
      <c r="E68" s="8">
        <v>46113.67411090278</v>
      </c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 t="s">
        <v>82</v>
      </c>
      <c r="C69" s="7" t="s">
        <v>83</v>
      </c>
      <c r="D69" s="6">
        <v>72.0</v>
      </c>
      <c r="E69" s="8">
        <v>46113.674223634254</v>
      </c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84</v>
      </c>
      <c r="D70" s="6">
        <v>20.0</v>
      </c>
      <c r="E70" s="8">
        <v>46113.67433194444</v>
      </c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85</v>
      </c>
      <c r="D71" s="6">
        <v>151.0</v>
      </c>
      <c r="E71" s="8">
        <v>46113.67507262732</v>
      </c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86</v>
      </c>
      <c r="D72" s="6">
        <v>41.0</v>
      </c>
      <c r="E72" s="8">
        <v>46113.686034756945</v>
      </c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3.0</v>
      </c>
      <c r="C73" s="7" t="s">
        <v>87</v>
      </c>
      <c r="D73" s="6">
        <v>54.0</v>
      </c>
      <c r="E73" s="8">
        <v>46113.68967247685</v>
      </c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2.0</v>
      </c>
      <c r="C74" s="7" t="s">
        <v>88</v>
      </c>
      <c r="D74" s="6">
        <v>3.0</v>
      </c>
      <c r="E74" s="8">
        <v>46113.708242719906</v>
      </c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6.0</v>
      </c>
      <c r="C75" s="7" t="s">
        <v>89</v>
      </c>
      <c r="D75" s="6">
        <v>162.0</v>
      </c>
      <c r="E75" s="8">
        <v>46113.708426956015</v>
      </c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90</v>
      </c>
      <c r="D76" s="6">
        <v>111.0</v>
      </c>
      <c r="E76" s="8">
        <v>46113.70849030092</v>
      </c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91</v>
      </c>
      <c r="D77" s="6">
        <v>16.0</v>
      </c>
      <c r="E77" s="8">
        <v>46113.7094756713</v>
      </c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2.0</v>
      </c>
      <c r="C78" s="7" t="s">
        <v>92</v>
      </c>
      <c r="D78" s="6">
        <v>46.0</v>
      </c>
      <c r="E78" s="8">
        <v>46113.72687291667</v>
      </c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93</v>
      </c>
      <c r="D79" s="6">
        <v>70.0</v>
      </c>
      <c r="E79" s="8">
        <v>46113.75860134259</v>
      </c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94</v>
      </c>
      <c r="D80" s="6">
        <v>199.0</v>
      </c>
      <c r="E80" s="8">
        <v>46113.75871987268</v>
      </c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6">
        <v>43921.0</v>
      </c>
      <c r="B81" s="6">
        <v>1.0</v>
      </c>
      <c r="C81" s="7" t="s">
        <v>95</v>
      </c>
      <c r="D81" s="6">
        <v>130.0</v>
      </c>
      <c r="E81" s="8">
        <v>46113.76427613426</v>
      </c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23"/>
      <c r="D82" s="24"/>
      <c r="E82" s="25"/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23"/>
      <c r="D83" s="24"/>
      <c r="E83" s="25"/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23"/>
      <c r="D84" s="24"/>
      <c r="E84" s="25"/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23"/>
      <c r="D85" s="24"/>
      <c r="E85" s="25"/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23"/>
      <c r="D86" s="24"/>
      <c r="E86" s="25"/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23"/>
      <c r="D87" s="24"/>
      <c r="E87" s="25"/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23"/>
      <c r="D88" s="24"/>
      <c r="E88" s="25"/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23"/>
      <c r="D89" s="24"/>
      <c r="E89" s="25"/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23"/>
      <c r="D90" s="24"/>
      <c r="E90" s="25"/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23"/>
      <c r="D91" s="24"/>
      <c r="E91" s="25"/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23"/>
      <c r="D92" s="24"/>
      <c r="E92" s="25"/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23"/>
      <c r="D93" s="24"/>
      <c r="E93" s="25"/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23"/>
      <c r="D94" s="24"/>
      <c r="E94" s="25"/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3"/>
      <c r="D95" s="24"/>
      <c r="E95" s="25"/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3"/>
      <c r="D96" s="24"/>
      <c r="E96" s="25"/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3"/>
      <c r="D97" s="24"/>
      <c r="E97" s="25"/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3"/>
      <c r="D98" s="24"/>
      <c r="E98" s="25"/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3"/>
      <c r="D99" s="24"/>
      <c r="E99" s="25"/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3"/>
      <c r="D100" s="24"/>
      <c r="E100" s="25"/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3"/>
      <c r="D101" s="24"/>
      <c r="E101" s="25"/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3"/>
      <c r="D102" s="24"/>
      <c r="E102" s="25"/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3"/>
      <c r="D103" s="24"/>
      <c r="E103" s="25"/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3"/>
      <c r="D104" s="24"/>
      <c r="E104" s="25"/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3"/>
      <c r="D105" s="24"/>
      <c r="E105" s="25"/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3"/>
      <c r="D106" s="24"/>
      <c r="E106" s="25"/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3"/>
      <c r="D107" s="24"/>
      <c r="E107" s="25"/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3"/>
      <c r="D108" s="24"/>
      <c r="E108" s="25"/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3"/>
      <c r="D109" s="24"/>
      <c r="E109" s="25"/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3"/>
      <c r="D110" s="24"/>
      <c r="E110" s="25"/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3"/>
      <c r="D111" s="24"/>
      <c r="E111" s="25"/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3"/>
      <c r="D112" s="24"/>
      <c r="E112" s="25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3"/>
      <c r="D113" s="24"/>
      <c r="E113" s="25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3"/>
      <c r="D114" s="24"/>
      <c r="E114" s="25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3"/>
      <c r="D115" s="24"/>
      <c r="E115" s="25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3"/>
      <c r="D116" s="24"/>
      <c r="E116" s="25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3"/>
      <c r="D117" s="24"/>
      <c r="E117" s="25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3"/>
      <c r="D118" s="24"/>
      <c r="E118" s="25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3"/>
      <c r="D119" s="24"/>
      <c r="E119" s="25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3"/>
      <c r="D120" s="24"/>
      <c r="E120" s="25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3"/>
      <c r="D121" s="24"/>
      <c r="E121" s="25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3"/>
      <c r="D122" s="24"/>
      <c r="E122" s="25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3"/>
      <c r="D123" s="24"/>
      <c r="E123" s="25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3"/>
      <c r="D124" s="24"/>
      <c r="E124" s="25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3"/>
      <c r="D125" s="24"/>
      <c r="E125" s="25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3"/>
      <c r="D126" s="24"/>
      <c r="E126" s="25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3"/>
      <c r="D127" s="24"/>
      <c r="E127" s="25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3"/>
      <c r="D128" s="24"/>
      <c r="E128" s="25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3"/>
      <c r="D129" s="24"/>
      <c r="E129" s="25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3"/>
      <c r="D130" s="24"/>
      <c r="E130" s="25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3"/>
      <c r="D131" s="24"/>
      <c r="E131" s="25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3"/>
      <c r="D132" s="24"/>
      <c r="E132" s="25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3"/>
      <c r="D133" s="24"/>
      <c r="E133" s="25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3"/>
      <c r="D134" s="24"/>
      <c r="E134" s="25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3"/>
      <c r="D135" s="24"/>
      <c r="E135" s="25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3"/>
      <c r="D136" s="24"/>
      <c r="E136" s="25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3"/>
      <c r="D137" s="24"/>
      <c r="E137" s="25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3"/>
      <c r="D138" s="24"/>
      <c r="E138" s="25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3"/>
      <c r="D139" s="24"/>
      <c r="E139" s="25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3"/>
      <c r="D140" s="24"/>
      <c r="E140" s="25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3"/>
      <c r="D141" s="24"/>
      <c r="E141" s="25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3"/>
      <c r="D142" s="24"/>
      <c r="E142" s="25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3"/>
      <c r="D143" s="24"/>
      <c r="E143" s="25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3"/>
      <c r="D144" s="24"/>
      <c r="E144" s="25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3"/>
      <c r="D145" s="24"/>
      <c r="E145" s="25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3"/>
      <c r="D146" s="24"/>
      <c r="E146" s="25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3"/>
      <c r="D147" s="24"/>
      <c r="E147" s="25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3"/>
      <c r="D148" s="24"/>
      <c r="E148" s="25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3"/>
      <c r="D149" s="24"/>
      <c r="E149" s="25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3"/>
      <c r="D150" s="24"/>
      <c r="E150" s="25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3"/>
      <c r="D151" s="24"/>
      <c r="E151" s="25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3"/>
      <c r="D152" s="24"/>
      <c r="E152" s="25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3"/>
      <c r="D153" s="24"/>
      <c r="E153" s="25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3"/>
      <c r="D154" s="24"/>
      <c r="E154" s="25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3"/>
      <c r="D155" s="24"/>
      <c r="E155" s="25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3"/>
      <c r="D156" s="24"/>
      <c r="E156" s="25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3"/>
      <c r="D157" s="24"/>
      <c r="E157" s="25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3"/>
      <c r="D158" s="24"/>
      <c r="E158" s="25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3"/>
      <c r="D159" s="24"/>
      <c r="E159" s="25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3"/>
      <c r="D160" s="24"/>
      <c r="E160" s="25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3"/>
      <c r="D161" s="24"/>
      <c r="E161" s="25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3"/>
      <c r="D162" s="24"/>
      <c r="E162" s="25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3"/>
      <c r="D163" s="24"/>
      <c r="E163" s="25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3"/>
      <c r="D164" s="24"/>
      <c r="E164" s="25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3"/>
      <c r="D165" s="24"/>
      <c r="E165" s="25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3"/>
      <c r="D166" s="24"/>
      <c r="E166" s="25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3"/>
      <c r="D167" s="24"/>
      <c r="E167" s="25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3"/>
      <c r="D168" s="24"/>
      <c r="E168" s="25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3"/>
      <c r="D169" s="24"/>
      <c r="E169" s="25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3"/>
      <c r="D170" s="24"/>
      <c r="E170" s="25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3"/>
      <c r="D171" s="24"/>
      <c r="E171" s="25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3"/>
      <c r="D172" s="24"/>
      <c r="E172" s="25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3"/>
      <c r="D173" s="24"/>
      <c r="E173" s="25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3"/>
      <c r="D174" s="24"/>
      <c r="E174" s="25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3"/>
      <c r="D175" s="24"/>
      <c r="E175" s="25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3"/>
      <c r="D176" s="24"/>
      <c r="E176" s="25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3"/>
      <c r="D177" s="24"/>
      <c r="E177" s="25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3"/>
      <c r="D178" s="24"/>
      <c r="E178" s="25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3"/>
      <c r="D179" s="24"/>
      <c r="E179" s="25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3"/>
      <c r="D180" s="24"/>
      <c r="E180" s="25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3"/>
      <c r="D181" s="24"/>
      <c r="E181" s="25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3"/>
      <c r="D182" s="24"/>
      <c r="E182" s="25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3"/>
      <c r="D183" s="24"/>
      <c r="E183" s="25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3"/>
      <c r="D184" s="24"/>
      <c r="E184" s="25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3"/>
      <c r="D185" s="24"/>
      <c r="E185" s="25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3"/>
      <c r="D186" s="24"/>
      <c r="E186" s="25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3"/>
      <c r="D187" s="24"/>
      <c r="E187" s="25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3"/>
      <c r="D188" s="24"/>
      <c r="E188" s="25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3"/>
      <c r="D189" s="24"/>
      <c r="E189" s="25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3"/>
      <c r="D190" s="24"/>
      <c r="E190" s="25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3"/>
      <c r="D191" s="24"/>
      <c r="E191" s="25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3"/>
      <c r="D192" s="24"/>
      <c r="E192" s="25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3"/>
      <c r="D193" s="24"/>
      <c r="E193" s="25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3"/>
      <c r="D194" s="24"/>
      <c r="E194" s="25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3"/>
      <c r="D195" s="24"/>
      <c r="E195" s="25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3"/>
      <c r="D196" s="24"/>
      <c r="E196" s="25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3"/>
      <c r="D197" s="24"/>
      <c r="E197" s="25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3"/>
      <c r="D198" s="24"/>
      <c r="E198" s="25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3"/>
      <c r="D199" s="24"/>
      <c r="E199" s="25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3"/>
      <c r="D200" s="24"/>
      <c r="E200" s="25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3"/>
      <c r="D201" s="24"/>
      <c r="E201" s="25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3"/>
      <c r="D202" s="24"/>
      <c r="E202" s="25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3"/>
      <c r="D203" s="24"/>
      <c r="E203" s="25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3"/>
      <c r="D204" s="24"/>
      <c r="E204" s="25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3"/>
      <c r="D205" s="24"/>
      <c r="E205" s="25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3"/>
      <c r="D206" s="24"/>
      <c r="E206" s="25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3"/>
      <c r="D207" s="24"/>
      <c r="E207" s="25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3"/>
      <c r="D208" s="24"/>
      <c r="E208" s="25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3"/>
      <c r="D209" s="24"/>
      <c r="E209" s="25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3"/>
      <c r="D210" s="24"/>
      <c r="E210" s="25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3"/>
      <c r="D211" s="24"/>
      <c r="E211" s="25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3"/>
      <c r="D212" s="24"/>
      <c r="E212" s="25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3"/>
      <c r="D213" s="24"/>
      <c r="E213" s="25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3"/>
      <c r="D214" s="24"/>
      <c r="E214" s="25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3"/>
      <c r="D215" s="24"/>
      <c r="E215" s="25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3"/>
      <c r="D216" s="24"/>
      <c r="E216" s="25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3"/>
      <c r="D217" s="24"/>
      <c r="E217" s="25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3"/>
      <c r="D218" s="24"/>
      <c r="E218" s="25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3"/>
      <c r="D219" s="24"/>
      <c r="E219" s="25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3"/>
      <c r="D220" s="24"/>
      <c r="E220" s="25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3"/>
      <c r="D221" s="24"/>
      <c r="E221" s="25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3"/>
      <c r="D222" s="24"/>
      <c r="E222" s="25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3"/>
      <c r="D223" s="24"/>
      <c r="E223" s="25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3"/>
      <c r="D224" s="24"/>
      <c r="E224" s="25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3"/>
      <c r="D225" s="24"/>
      <c r="E225" s="25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3"/>
      <c r="D226" s="24"/>
      <c r="E226" s="25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3"/>
      <c r="D227" s="24"/>
      <c r="E227" s="25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3"/>
      <c r="D228" s="24"/>
      <c r="E228" s="25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3"/>
      <c r="D229" s="24"/>
      <c r="E229" s="25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3"/>
      <c r="D230" s="24"/>
      <c r="E230" s="25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3"/>
      <c r="D231" s="24"/>
      <c r="E231" s="25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3"/>
      <c r="D232" s="24"/>
      <c r="E232" s="25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3"/>
      <c r="D233" s="24"/>
      <c r="E233" s="25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3"/>
      <c r="D234" s="24"/>
      <c r="E234" s="25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3"/>
      <c r="D235" s="24"/>
      <c r="E235" s="25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3"/>
      <c r="D236" s="24"/>
      <c r="E236" s="25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3"/>
      <c r="D237" s="24"/>
      <c r="E237" s="25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3"/>
      <c r="D238" s="24"/>
      <c r="E238" s="25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3"/>
      <c r="D239" s="24"/>
      <c r="E239" s="25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3"/>
      <c r="D240" s="24"/>
      <c r="E240" s="25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3"/>
      <c r="D241" s="24"/>
      <c r="E241" s="25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3"/>
      <c r="D242" s="24"/>
      <c r="E242" s="25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3"/>
      <c r="D243" s="24"/>
      <c r="E243" s="25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3"/>
      <c r="D244" s="24"/>
      <c r="E244" s="25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3"/>
      <c r="D245" s="24"/>
      <c r="E245" s="25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3"/>
      <c r="D246" s="24"/>
      <c r="E246" s="25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3"/>
      <c r="D247" s="24"/>
      <c r="E247" s="25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3"/>
      <c r="D248" s="24"/>
      <c r="E248" s="25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3"/>
      <c r="D249" s="24"/>
      <c r="E249" s="25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3"/>
      <c r="D250" s="24"/>
      <c r="E250" s="25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3"/>
      <c r="D251" s="24"/>
      <c r="E251" s="25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3"/>
      <c r="D252" s="24"/>
      <c r="E252" s="25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3"/>
      <c r="D253" s="24"/>
      <c r="E253" s="25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3"/>
      <c r="D254" s="24"/>
      <c r="E254" s="25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3"/>
      <c r="D255" s="24"/>
      <c r="E255" s="25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3"/>
      <c r="D256" s="24"/>
      <c r="E256" s="25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3"/>
      <c r="D257" s="24"/>
      <c r="E257" s="25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3"/>
      <c r="D258" s="24"/>
      <c r="E258" s="25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3"/>
      <c r="D259" s="24"/>
      <c r="E259" s="25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3"/>
      <c r="D260" s="24"/>
      <c r="E260" s="25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3"/>
      <c r="D261" s="24"/>
      <c r="E261" s="25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3"/>
      <c r="D262" s="24"/>
      <c r="E262" s="25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3"/>
      <c r="D263" s="24"/>
      <c r="E263" s="25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3"/>
      <c r="D264" s="24"/>
      <c r="E264" s="25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3"/>
      <c r="D265" s="24"/>
      <c r="E265" s="25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3"/>
      <c r="D266" s="24"/>
      <c r="E266" s="25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3"/>
      <c r="D267" s="24"/>
      <c r="E267" s="25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3"/>
      <c r="D268" s="24"/>
      <c r="E268" s="25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3"/>
      <c r="D269" s="24"/>
      <c r="E269" s="25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3"/>
      <c r="D270" s="24"/>
      <c r="E270" s="25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3"/>
      <c r="D271" s="24"/>
      <c r="E271" s="25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3"/>
      <c r="D272" s="24"/>
      <c r="E272" s="25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3"/>
      <c r="D273" s="24"/>
      <c r="E273" s="25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3"/>
      <c r="D274" s="24"/>
      <c r="E274" s="25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3"/>
      <c r="D275" s="24"/>
      <c r="E275" s="25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3"/>
      <c r="D276" s="24"/>
      <c r="E276" s="25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3"/>
      <c r="D277" s="24"/>
      <c r="E277" s="25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3"/>
      <c r="D278" s="24"/>
      <c r="E278" s="25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3"/>
      <c r="D279" s="24"/>
      <c r="E279" s="25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3"/>
      <c r="D280" s="24"/>
      <c r="E280" s="25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3"/>
      <c r="D281" s="24"/>
      <c r="E281" s="25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3"/>
      <c r="D282" s="24"/>
      <c r="E282" s="25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3"/>
      <c r="D283" s="24"/>
      <c r="E283" s="25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3"/>
      <c r="D284" s="24"/>
      <c r="E284" s="25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3"/>
      <c r="D285" s="24"/>
      <c r="E285" s="25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3"/>
      <c r="D286" s="24"/>
      <c r="E286" s="25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3"/>
      <c r="D287" s="24"/>
      <c r="E287" s="25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3"/>
      <c r="D288" s="24"/>
      <c r="E288" s="25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3"/>
      <c r="D289" s="24"/>
      <c r="E289" s="25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3"/>
      <c r="D290" s="24"/>
      <c r="E290" s="25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3"/>
      <c r="D291" s="24"/>
      <c r="E291" s="25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3"/>
      <c r="D292" s="24"/>
      <c r="E292" s="25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3"/>
      <c r="D293" s="24"/>
      <c r="E293" s="25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3"/>
      <c r="D294" s="24"/>
      <c r="E294" s="25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3"/>
      <c r="D295" s="24"/>
      <c r="E295" s="25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3"/>
      <c r="D296" s="24"/>
      <c r="E296" s="25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3"/>
      <c r="D297" s="24"/>
      <c r="E297" s="25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3"/>
      <c r="D298" s="24"/>
      <c r="E298" s="25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3"/>
      <c r="D299" s="24"/>
      <c r="E299" s="25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3"/>
      <c r="D300" s="24"/>
      <c r="E300" s="25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3"/>
      <c r="D301" s="24"/>
      <c r="E301" s="25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