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<sst xmlns="http://schemas.openxmlformats.org/spreadsheetml/2006/main" count="95" uniqueCount="93">
  <si>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</si>
  <si>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</si>
  <si>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</si>
  <si>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</si>
  <si>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</si>
  <si>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</si>
  <si>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</si>
  <si>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reparo fv </t>
  </si>
  <si>
    <t xml:space="preserve">broca porcelantao </t>
  </si>
  <si>
    <t>MONEDAS</t>
  </si>
  <si>
    <t>CAJA CHICA</t>
  </si>
  <si>
    <t>chip 4.5x25</t>
  </si>
  <si>
    <t>BILLETES 10-20</t>
  </si>
  <si>
    <t>TOTAL VENTAS DIA</t>
  </si>
  <si>
    <t>pegamento para achar</t>
  </si>
  <si>
    <t>BILLETES 50-100-200</t>
  </si>
  <si>
    <t>AUMENTO DE DINERO</t>
  </si>
  <si>
    <t>inflador pequeño tramon</t>
  </si>
  <si>
    <t>INGRESOS YAPE</t>
  </si>
  <si>
    <t>BROCA ENCASTRE TURPER</t>
  </si>
  <si>
    <t>INGRESOS TARJETA</t>
  </si>
  <si>
    <t>TAPON PVC 1/2</t>
  </si>
  <si>
    <t>GASTOS VARIOS</t>
  </si>
  <si>
    <t>TAPON 3/4 TIGRE</t>
  </si>
  <si>
    <t xml:space="preserve">DISOC CORTE UYUSTO </t>
  </si>
  <si>
    <t>DINERO GANADO HOY:</t>
  </si>
  <si>
    <t>CANTIDAD DINERO CAJA:</t>
  </si>
  <si>
    <t>ALICATEDE CORTE</t>
  </si>
  <si>
    <t>ALICTE DE PUNTA MNI</t>
  </si>
  <si>
    <t>JUEGKO DE LLAVES ALEN UYUSTOOL</t>
  </si>
  <si>
    <t>JUEGO DE LALVES TORK UYUTOOL</t>
  </si>
  <si>
    <t>JUEGO DE ACOPLES PRETUL</t>
  </si>
  <si>
    <t>CLAVIJA CHUCO MACHO</t>
  </si>
  <si>
    <t>CARPICKOKA</t>
  </si>
  <si>
    <t>YAPE MAMÁ</t>
  </si>
  <si>
    <t>YAPE PAPÁ</t>
  </si>
  <si>
    <t>YAPE</t>
  </si>
  <si>
    <t>CINTA DOBLE CONACTO 1</t>
  </si>
  <si>
    <t>Monto Total YAPE (No tocar):</t>
  </si>
  <si>
    <t>KLALAMBRE GALVANIADO</t>
  </si>
  <si>
    <t>KL ALAMBRE GALVANI</t>
  </si>
  <si>
    <t>Monto Total Registrado en aplicacion</t>
  </si>
  <si>
    <t xml:space="preserve">GRAMPAS </t>
  </si>
  <si>
    <t>ARMELLAS</t>
  </si>
  <si>
    <t>TESADORES</t>
  </si>
  <si>
    <t>DESARMADOR REVER</t>
  </si>
  <si>
    <t>PAR DE BISAGRAS 3.5</t>
  </si>
  <si>
    <t>DISOC FIERRO NORTON 14</t>
  </si>
  <si>
    <t>GUANTE DE CUERO TR</t>
  </si>
  <si>
    <t>PAGOS YAPE</t>
  </si>
  <si>
    <t>DESCRIPCION PAGO</t>
  </si>
  <si>
    <t>MOSQUETN</t>
  </si>
  <si>
    <t>SILICONA AMERICAN</t>
  </si>
  <si>
    <t>PIE DE AMIGO</t>
  </si>
  <si>
    <t>CHIP 5 X 35</t>
  </si>
  <si>
    <t>RAMPLLU 7</t>
  </si>
  <si>
    <t>PISOLA SILICONA</t>
  </si>
  <si>
    <t>BROCA CONCRETO IT¿RWIN 7</t>
  </si>
  <si>
    <t>DESARMADOR</t>
  </si>
  <si>
    <t>CHIP 4.5X35</t>
  </si>
  <si>
    <t xml:space="preserve">HIDROISTOLA </t>
  </si>
  <si>
    <t>PICO TR</t>
  </si>
  <si>
    <t xml:space="preserve">BROCA </t>
  </si>
  <si>
    <t>PERNOS</t>
  </si>
  <si>
    <t>JUEGO DE DESAMADORES</t>
  </si>
  <si>
    <t>JUEGO DE ALICATES</t>
  </si>
  <si>
    <t>FOCO TRAMONT 15</t>
  </si>
  <si>
    <t>POXILINA</t>
  </si>
  <si>
    <t>ESTILETE</t>
  </si>
  <si>
    <t>BROCA 5 FIERRO</t>
  </si>
  <si>
    <t>PERLON 8</t>
  </si>
  <si>
    <t>CODO 6P NEGRO</t>
  </si>
  <si>
    <t>REDUCCION 3/4 X 1/2</t>
  </si>
  <si>
    <t>TEE 3/4 TIGRE</t>
  </si>
  <si>
    <t>DISO VIDRIO TR</t>
  </si>
  <si>
    <t>UNION PATENTE 11/2</t>
  </si>
  <si>
    <t>RODAPIE 2 SIN</t>
  </si>
  <si>
    <t>RODAPIE 2 CN</t>
  </si>
  <si>
    <t>LARGADOR DE COMPUTADORA</t>
  </si>
  <si>
    <t>BROCA FIERFO DEBOR 2 MM</t>
  </si>
  <si>
    <t>cepillo de acero</t>
  </si>
  <si>
    <t xml:space="preserve">lija de agua </t>
  </si>
  <si>
    <t>discio lija 4</t>
  </si>
  <si>
    <t>juego de limas</t>
  </si>
  <si>
    <t>adaptaro 8 mm</t>
  </si>
  <si>
    <t>late 3,5 blnaco</t>
  </si>
  <si>
    <t>pico grifo</t>
  </si>
  <si>
    <t>cople rap</t>
  </si>
  <si>
    <t>teflon</t>
  </si>
  <si>
    <t>broc conceto irwin 6</t>
  </si>
  <si>
    <t>chip 4*50</t>
  </si>
  <si>
    <t xml:space="preserve">m cable bipolar </t>
  </si>
  <si>
    <t>broca concreto truper 8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</si>
</sst>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46193.35394386574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37.0</v>
      </c>
      <c r="E9" s="8">
        <v>46193.35657579861</v>
      </c>
      <c r="F9" s="2"/>
      <c r="G9" s="9" t="s">
        <v>9</v>
      </c>
      <c r="H9" s="10">
        <v>200.5</v>
      </c>
      <c r="I9" s="2"/>
      <c r="J9" s="9" t="s">
        <v>10</v>
      </c>
      <c r="K9" s="10">
        <v>721.5</v>
      </c>
      <c r="L9" s="2"/>
      <c r="M9" s="2"/>
      <c r="N9" s="2"/>
      <c r="O9" s="2"/>
      <c r="P9" s="2"/>
      <c r="Q9" s="2"/>
    </row>
    <row r="10" ht="22.5" customHeight="1">
      <c r="A10" s="6"/>
      <c r="B10" s="6">
        <v>24.0</v>
      </c>
      <c r="C10" s="7" t="s">
        <v>11</v>
      </c>
      <c r="D10" s="6">
        <v>5.0</v>
      </c>
      <c r="E10" s="8">
        <v>46193.35812923611</v>
      </c>
      <c r="F10" s="2"/>
      <c r="G10" s="9" t="s">
        <v>12</v>
      </c>
      <c r="H10" s="10">
        <v>620.0</v>
      </c>
      <c r="I10" s="2"/>
      <c r="J10" s="9" t="s">
        <v>13</v>
      </c>
      <c r="K10" s="11">
        <f>SUM(PRINCIPAL[TOTAL])</f>
        <v>2373.7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10.0</v>
      </c>
      <c r="E11" s="8">
        <v>46193.36094131944</v>
      </c>
      <c r="F11" s="2"/>
      <c r="G11" s="9" t="s">
        <v>15</v>
      </c>
      <c r="H11" s="10">
        <v>1050.0</v>
      </c>
      <c r="I11" s="2"/>
      <c r="J11" s="9" t="s">
        <v>16</v>
      </c>
      <c r="K11" s="10">
        <v>135.0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108.0</v>
      </c>
      <c r="E12" s="8">
        <v>46193.368753703704</v>
      </c>
      <c r="F12" s="2"/>
      <c r="G12" s="9" t="s">
        <v>18</v>
      </c>
      <c r="H12" s="12">
        <f>SUM(G24:H361)</f>
        <v>1358.5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46.0</v>
      </c>
      <c r="E13" s="8">
        <v>46193.36881774306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2.0</v>
      </c>
      <c r="E14" s="8">
        <v>46193.38213435185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8.0</v>
      </c>
      <c r="E15" s="8">
        <v>46193.38219662037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13.5</v>
      </c>
      <c r="E16" s="8">
        <v>46193.387628599536</v>
      </c>
      <c r="F16" s="2"/>
      <c r="G16" s="15" t="s">
        <v>25</v>
      </c>
      <c r="H16" s="16">
        <f>SUM(H9:H14)</f>
        <v>3229</v>
      </c>
      <c r="I16" s="3"/>
      <c r="J16" s="15" t="s">
        <v>26</v>
      </c>
      <c r="K16" s="16">
        <f>SUM(K9:K11)</f>
        <v>3230.2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40.0</v>
      </c>
      <c r="E17" s="8">
        <v>46193.423324999996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40.0</v>
      </c>
      <c r="E18" s="8">
        <v>46193.423414675926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50.0</v>
      </c>
      <c r="E19" s="8">
        <v>46193.42354496528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55.0</v>
      </c>
      <c r="E20" s="8">
        <v>46193.42370184028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60.0</v>
      </c>
      <c r="E21" s="8">
        <v>46193.4238308912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35.0</v>
      </c>
      <c r="E22" s="8">
        <v>46193.4239669213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8.0</v>
      </c>
      <c r="E23" s="8">
        <v>46193.430590856486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17.0</v>
      </c>
      <c r="E24" s="8">
        <v>46193.430711030094</v>
      </c>
      <c r="F24" s="2"/>
      <c r="G24" s="22">
        <v>118.0</v>
      </c>
      <c r="H24" s="23"/>
      <c r="I24" s="2"/>
      <c r="J24" s="24" t="s">
        <v>38</v>
      </c>
      <c r="K24" s="25">
        <f>SUM(INGRESOS_YAPE[])</f>
        <v>1358.5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39</v>
      </c>
      <c r="D25" s="6">
        <v>90.0</v>
      </c>
      <c r="E25" s="8">
        <v>46193.43807476852</v>
      </c>
      <c r="F25" s="2"/>
      <c r="G25" s="22">
        <v>80.0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30.0</v>
      </c>
      <c r="E26" s="8">
        <v>46193.438136944445</v>
      </c>
      <c r="F26" s="2"/>
      <c r="G26" s="26">
        <v>227.0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5.0</v>
      </c>
      <c r="C27" s="7" t="s">
        <v>42</v>
      </c>
      <c r="D27" s="6">
        <v>45.0</v>
      </c>
      <c r="E27" s="8">
        <v>46193.438263495365</v>
      </c>
      <c r="F27" s="2"/>
      <c r="G27" s="22">
        <v>20.0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43</v>
      </c>
      <c r="D28" s="6">
        <v>2.0</v>
      </c>
      <c r="E28" s="8">
        <v>46193.43830987268</v>
      </c>
      <c r="F28" s="2"/>
      <c r="G28" s="22">
        <v>55.0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44</v>
      </c>
      <c r="D29" s="6">
        <v>60.0</v>
      </c>
      <c r="E29" s="8">
        <v>46193.43847138889</v>
      </c>
      <c r="F29" s="2"/>
      <c r="G29" s="22">
        <v>9.5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1358,50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8.0</v>
      </c>
      <c r="E30" s="8">
        <v>46193.446792118055</v>
      </c>
      <c r="F30" s="2"/>
      <c r="G30" s="22">
        <v>16.5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7.0</v>
      </c>
      <c r="E31" s="8">
        <v>46193.44684796296</v>
      </c>
      <c r="F31" s="2"/>
      <c r="G31" s="22">
        <v>66.0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20.0</v>
      </c>
      <c r="E32" s="8">
        <v>46193.45158466435</v>
      </c>
      <c r="F32" s="2"/>
      <c r="G32" s="22">
        <v>15.5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110.0</v>
      </c>
      <c r="E33" s="8">
        <v>46193.45854283565</v>
      </c>
      <c r="F33" s="2"/>
      <c r="G33" s="22">
        <v>12.0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55.0</v>
      </c>
      <c r="E34" s="8">
        <v>46193.46211172454</v>
      </c>
      <c r="F34" s="2"/>
      <c r="G34" s="22">
        <v>230.0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9.5</v>
      </c>
      <c r="E35" s="8">
        <v>46193.46329625</v>
      </c>
      <c r="F35" s="2"/>
      <c r="G35" s="22">
        <v>22.0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26.0</v>
      </c>
      <c r="E36" s="8">
        <v>46193.47837123842</v>
      </c>
      <c r="F36" s="2"/>
      <c r="G36" s="22">
        <v>31.5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53</v>
      </c>
      <c r="D37" s="6">
        <v>33.5</v>
      </c>
      <c r="E37" s="8">
        <v>46193.47998004629</v>
      </c>
      <c r="F37" s="2"/>
      <c r="G37" s="22">
        <v>13.5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48.0</v>
      </c>
      <c r="C38" s="7" t="s">
        <v>54</v>
      </c>
      <c r="D38" s="6">
        <v>14.0</v>
      </c>
      <c r="E38" s="8">
        <v>46193.480107986106</v>
      </c>
      <c r="F38" s="2"/>
      <c r="G38" s="22">
        <v>76.0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48.0</v>
      </c>
      <c r="C39" s="7" t="s">
        <v>55</v>
      </c>
      <c r="D39" s="6">
        <v>8.2</v>
      </c>
      <c r="E39" s="8">
        <v>46193.48025958333</v>
      </c>
      <c r="F39" s="2"/>
      <c r="G39" s="22">
        <v>95.0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17.0</v>
      </c>
      <c r="E40" s="8">
        <v>46193.4804552662</v>
      </c>
      <c r="F40" s="2"/>
      <c r="G40" s="22">
        <v>48.0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6">
        <v>18.0</v>
      </c>
      <c r="E41" s="8">
        <v>46193.48075283565</v>
      </c>
      <c r="F41" s="2"/>
      <c r="G41" s="22">
        <v>135.0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15.0</v>
      </c>
      <c r="E42" s="8">
        <v>46193.481421226854</v>
      </c>
      <c r="F42" s="2"/>
      <c r="G42" s="22">
        <v>19.0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15.5</v>
      </c>
      <c r="E43" s="8">
        <v>46193.48146988426</v>
      </c>
      <c r="F43" s="2"/>
      <c r="G43" s="22">
        <v>20.0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48.0</v>
      </c>
      <c r="C44" s="7" t="s">
        <v>59</v>
      </c>
      <c r="D44" s="6">
        <v>12.0</v>
      </c>
      <c r="E44" s="8">
        <v>46193.48262520833</v>
      </c>
      <c r="F44" s="2"/>
      <c r="G44" s="22">
        <v>28.0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45.0</v>
      </c>
      <c r="E45" s="8">
        <v>46193.48591267361</v>
      </c>
      <c r="F45" s="2"/>
      <c r="G45" s="22">
        <v>21.0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6.0</v>
      </c>
      <c r="E46" s="8">
        <v>46193.486001365745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35.0</v>
      </c>
      <c r="E47" s="8">
        <v>46193.488439085646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63</v>
      </c>
      <c r="D48" s="6">
        <v>2.5</v>
      </c>
      <c r="E48" s="8">
        <v>46193.48965746528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60.0</v>
      </c>
      <c r="E49" s="8">
        <v>46193.4961777662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170.0</v>
      </c>
      <c r="E50" s="8">
        <v>46193.496335937496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66</v>
      </c>
      <c r="D51" s="6">
        <v>34.0</v>
      </c>
      <c r="E51" s="8">
        <v>46193.51125282407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67</v>
      </c>
      <c r="D52" s="6">
        <v>76.0</v>
      </c>
      <c r="E52" s="8">
        <v>46193.52825633102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33.0</v>
      </c>
      <c r="E53" s="8">
        <v>46193.52834350694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22.0</v>
      </c>
      <c r="E54" s="8">
        <v>46193.52850778935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10.0</v>
      </c>
      <c r="C55" s="7" t="s">
        <v>70</v>
      </c>
      <c r="D55" s="6">
        <v>45.0</v>
      </c>
      <c r="E55" s="8">
        <v>46193.53050453703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8.0</v>
      </c>
      <c r="E56" s="8">
        <v>46193.5387240625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2.0</v>
      </c>
      <c r="E57" s="8">
        <v>46193.538868194446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8.5</v>
      </c>
      <c r="E58" s="8">
        <v>46193.53937844907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86.0</v>
      </c>
      <c r="E59" s="8">
        <v>46193.54254976852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47.0</v>
      </c>
      <c r="E60" s="8">
        <v>46193.548522743054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76</v>
      </c>
      <c r="D61" s="6">
        <v>34.0</v>
      </c>
      <c r="E61" s="8">
        <v>46193.54919505787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77</v>
      </c>
      <c r="D62" s="6">
        <v>42.0</v>
      </c>
      <c r="E62" s="8">
        <v>46193.54935490741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95.0</v>
      </c>
      <c r="E63" s="8">
        <v>46193.55264729167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8.5</v>
      </c>
      <c r="E64" s="8">
        <v>46193.558450798606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20.0</v>
      </c>
      <c r="E65" s="8">
        <v>46193.58865755787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81</v>
      </c>
      <c r="D66" s="6">
        <v>30.0</v>
      </c>
      <c r="E66" s="8">
        <v>46193.6038771412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30.0</v>
      </c>
      <c r="E67" s="8">
        <v>46193.62313263889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10.0</v>
      </c>
      <c r="E68" s="8">
        <v>46193.623186516204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8.0</v>
      </c>
      <c r="E69" s="8">
        <v>46193.62324265046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135.0</v>
      </c>
      <c r="E70" s="8">
        <v>46193.626246238426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8.0</v>
      </c>
      <c r="E71" s="8">
        <v>46193.63303633102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8.0</v>
      </c>
      <c r="E72" s="8">
        <v>46193.63317332176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3.0</v>
      </c>
      <c r="E73" s="8">
        <v>46193.63344706019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20.0</v>
      </c>
      <c r="E74" s="8">
        <v>46193.640570856485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144.0</v>
      </c>
      <c r="C75" s="7" t="s">
        <v>90</v>
      </c>
      <c r="D75" s="6">
        <v>48.0</v>
      </c>
      <c r="E75" s="8">
        <v>46193.6536165625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4.0</v>
      </c>
      <c r="C76" s="7" t="s">
        <v>91</v>
      </c>
      <c r="D76" s="6">
        <v>28.0</v>
      </c>
      <c r="E76" s="8">
        <v>46193.65383939815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21.0</v>
      </c>
      <c r="E77" s="8">
        <v>46193.66206989583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