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<sst xmlns="http://schemas.openxmlformats.org/spreadsheetml/2006/main" count="130" uniqueCount="130">
  <si>
    <t>HOJA DE CALCULO FERRETERIA</t>
  </si>
  <si>
    <t>CODIGO</t>
  </si>
  <si>
    <t>CANTIDAD</t>
  </si>
  <si>
    <t>DESCRIPCION</t>
  </si>
  <si>
    <t>TOTAL</t>
  </si>
  <si>
    <t>HORA</t>
  </si>
  <si>
    <t>CUADRAR</t>
  </si>
  <si>
    <t>disco norton 14</t>
  </si>
  <si>
    <t>CAUTIN</t>
  </si>
  <si>
    <t>MONEDAS</t>
  </si>
  <si>
    <t>CAJA CHICA</t>
  </si>
  <si>
    <t>POMADA</t>
  </si>
  <si>
    <t>BILLETES 10-20</t>
  </si>
  <si>
    <t>TOTAL VENTAS DIA</t>
  </si>
  <si>
    <t>M HILO ETAÑO</t>
  </si>
  <si>
    <t>BILLETES 50-100-200</t>
  </si>
  <si>
    <t>AUMENTO DE DINERO</t>
  </si>
  <si>
    <t>M HILO DE PODAR</t>
  </si>
  <si>
    <t>INGRESOS YAPE</t>
  </si>
  <si>
    <t>BROCA FIERRO 2</t>
  </si>
  <si>
    <t>INGRESOS TARJETA</t>
  </si>
  <si>
    <t>GUANTES ASRES</t>
  </si>
  <si>
    <t>GASTOS VARIOS</t>
  </si>
  <si>
    <t>JUEGO DE PUNTAS</t>
  </si>
  <si>
    <t>GUANTES OSCARIOA</t>
  </si>
  <si>
    <t>DINERO GANADO HOY:</t>
  </si>
  <si>
    <t>CANTIDAD DINERO CAJA:</t>
  </si>
  <si>
    <t>chicotillo astra 40</t>
  </si>
  <si>
    <t>girfo fv</t>
  </si>
  <si>
    <t>disco de pulir</t>
  </si>
  <si>
    <t>ligas</t>
  </si>
  <si>
    <t>cable enchaqueado 1*2</t>
  </si>
  <si>
    <t>toma chuco</t>
  </si>
  <si>
    <t>malla miimetrica</t>
  </si>
  <si>
    <t>YAPE MAMÁ</t>
  </si>
  <si>
    <t>YAPE PAPÁ</t>
  </si>
  <si>
    <t>aerosol fosforenfete</t>
  </si>
  <si>
    <t>m amanguera de nivel</t>
  </si>
  <si>
    <t>boca de lobo</t>
  </si>
  <si>
    <t>extencion  telescopia</t>
  </si>
  <si>
    <t>martilla de metal</t>
  </si>
  <si>
    <t>sierra mecanica truper</t>
  </si>
  <si>
    <t>sierra mecab</t>
  </si>
  <si>
    <t>serruchos uyustool</t>
  </si>
  <si>
    <t>rollo perlon</t>
  </si>
  <si>
    <t>machete</t>
  </si>
  <si>
    <t>mescladora de cemtno tosen</t>
  </si>
  <si>
    <t>kl clavo 21/2</t>
  </si>
  <si>
    <t>kl clavo 3</t>
  </si>
  <si>
    <t>pistola de calor total</t>
  </si>
  <si>
    <t>kl grasa</t>
  </si>
  <si>
    <t>estacas</t>
  </si>
  <si>
    <t>brocha atlas 2</t>
  </si>
  <si>
    <t>brocha atlas 4</t>
  </si>
  <si>
    <t>sintetica amarillo</t>
  </si>
  <si>
    <t>l thinner</t>
  </si>
  <si>
    <t>DUSCHA LORENZETY 3T</t>
  </si>
  <si>
    <t>placa simple toma</t>
  </si>
  <si>
    <t>clavija chuco</t>
  </si>
  <si>
    <t>alicte para nivelado</t>
  </si>
  <si>
    <t>fresa</t>
  </si>
  <si>
    <t>aerosoles</t>
  </si>
  <si>
    <t>fresas</t>
  </si>
  <si>
    <t>foco de 9 w</t>
  </si>
  <si>
    <t>foco de 15 w</t>
  </si>
  <si>
    <t>llave 14 tramon</t>
  </si>
  <si>
    <t>carbon tr</t>
  </si>
  <si>
    <t>12par</t>
  </si>
  <si>
    <t>bisagra 1</t>
  </si>
  <si>
    <t>acople rapido manguera</t>
  </si>
  <si>
    <t>pernos</t>
  </si>
  <si>
    <t>llave chicharra</t>
  </si>
  <si>
    <t>lija tolsen</t>
  </si>
  <si>
    <t>picporte</t>
  </si>
  <si>
    <t>escuadra</t>
  </si>
  <si>
    <t>amoladora total 20v</t>
  </si>
  <si>
    <t>sintetica 220ml</t>
  </si>
  <si>
    <t>brocha 1</t>
  </si>
  <si>
    <t>thinner duco</t>
  </si>
  <si>
    <t>ebbudo</t>
  </si>
  <si>
    <t>escoba</t>
  </si>
  <si>
    <t>cono 45cm</t>
  </si>
  <si>
    <t>6m</t>
  </si>
  <si>
    <t>cadena plastica</t>
  </si>
  <si>
    <t>bandolas</t>
  </si>
  <si>
    <t>inflador uyus</t>
  </si>
  <si>
    <t>gotita</t>
  </si>
  <si>
    <t>grampas</t>
  </si>
  <si>
    <t>2kl</t>
  </si>
  <si>
    <t>electrodo grues</t>
  </si>
  <si>
    <t>15m</t>
  </si>
  <si>
    <t>perlon 4</t>
  </si>
  <si>
    <t>5m</t>
  </si>
  <si>
    <t xml:space="preserve">hilo 1-8 </t>
  </si>
  <si>
    <t>clavo 3/4</t>
  </si>
  <si>
    <t>escamosita</t>
  </si>
  <si>
    <t>aerosol verde hoja</t>
  </si>
  <si>
    <t>guante asaez</t>
  </si>
  <si>
    <t>juego lllaves allem</t>
  </si>
  <si>
    <t>chip 3 x 15</t>
  </si>
  <si>
    <t>tapa ciega</t>
  </si>
  <si>
    <t>chuceador</t>
  </si>
  <si>
    <t>flexometro 5 mt</t>
  </si>
  <si>
    <t>adaptador articuado</t>
  </si>
  <si>
    <t>flexo 5m</t>
  </si>
  <si>
    <t>llaves tok</t>
  </si>
  <si>
    <t>sopapa bof</t>
  </si>
  <si>
    <t>pistola de silicona truper</t>
  </si>
  <si>
    <t>silcioan americans transparer</t>
  </si>
  <si>
    <t>union patente fg 3/4</t>
  </si>
  <si>
    <t>teflon</t>
  </si>
  <si>
    <t>dsatmdo jadeer</t>
  </si>
  <si>
    <t>disoc nosrton 4</t>
  </si>
  <si>
    <t>l thenre</t>
  </si>
  <si>
    <t>sopladro jadever</t>
  </si>
  <si>
    <t>juego de puntas truper</t>
  </si>
  <si>
    <t>bolsas silicona barra gruesa</t>
  </si>
  <si>
    <t>candado hr 50mm</t>
  </si>
  <si>
    <t>candado 45 mm oreja larga</t>
  </si>
  <si>
    <t>1kl</t>
  </si>
  <si>
    <t>carburo</t>
  </si>
  <si>
    <t>regrlta 2</t>
  </si>
  <si>
    <t>juego extractor de tornillo</t>
  </si>
  <si>
    <t>copla fg 3/4</t>
  </si>
  <si>
    <t>juego de llav tok</t>
  </si>
  <si>
    <t>cina embalage</t>
  </si>
  <si>
    <t>4m</t>
  </si>
  <si>
    <t>perlon 5</t>
  </si>
  <si>
    <t>spot</t>
  </si>
  <si>
    <t>negro 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</si>
</sst>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122.0</v>
      </c>
      <c r="E8" s="8">
        <v>46098.35910858796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/v>
      </c>
      <c r="E9" s="8">
        <v>46098.36264576389</v>
      </c>
      <c r="F9" s="2"/>
      <c r="G9" s="9" t="s">
        <v>9</v>
      </c>
      <c r="H9" s="10">
        <v>113.5</v>
      </c>
      <c r="I9" s="2"/>
      <c r="J9" s="9" t="s">
        <v>10</v>
      </c>
      <c r="K9" s="10">
        <v>653.0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16.0</v>
      </c>
      <c r="E10" s="8">
        <v>46098.36269592593</v>
      </c>
      <c r="F10" s="2"/>
      <c r="G10" s="9" t="s">
        <v>12</v>
      </c>
      <c r="H10" s="10">
        <v>90.0</v>
      </c>
      <c r="I10" s="2"/>
      <c r="J10" s="9" t="s">
        <v>13</v>
      </c>
      <c r="K10" s="11">
        <f>SUM(PRINCIPAL[TOTAL])</f>
        <v>11434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14.0</v>
      </c>
      <c r="E11" s="8">
        <v>46098.36278373843</v>
      </c>
      <c r="F11" s="2"/>
      <c r="G11" s="9" t="s">
        <v>15</v>
      </c>
      <c r="H11" s="10">
        <v>3050.0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10.0</v>
      </c>
      <c r="C12" s="7" t="s">
        <v>17</v>
      </c>
      <c r="D12" s="6">
        <v>25.0</v>
      </c>
      <c r="E12" s="8">
        <v>46098.363966006946</v>
      </c>
      <c r="F12" s="2"/>
      <c r="G12" s="9" t="s">
        <v>18</v>
      </c>
      <c r="H12" s="12">
        <f>SUM(G24:H361)</f>
        <v>8855.5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19</v>
      </c>
      <c r="D13" s="6">
        <v>25.0</v>
      </c>
      <c r="E13" s="8">
        <v>46098.36577625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30.0</v>
      </c>
      <c r="E14" s="8">
        <v>46098.367049849534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24.0</v>
      </c>
      <c r="E15" s="8">
        <v>46098.36714607639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24</v>
      </c>
      <c r="D16" s="6">
        <v>120.0</v>
      </c>
      <c r="E16" s="8">
        <v>46098.367477465275</v>
      </c>
      <c r="F16" s="2"/>
      <c r="G16" s="15" t="s">
        <v>25</v>
      </c>
      <c r="H16" s="16">
        <f>SUM(H9:H14)</f>
        <v>12109</v>
      </c>
      <c r="I16" s="3"/>
      <c r="J16" s="15" t="s">
        <v>26</v>
      </c>
      <c r="K16" s="16">
        <f>SUM(K9:K11)</f>
        <v>12087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17.0</v>
      </c>
      <c r="E17" s="8">
        <v>46098.37930863426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75.0</v>
      </c>
      <c r="E18" s="8">
        <v>46098.38008563657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6.0</v>
      </c>
      <c r="C19" s="7" t="s">
        <v>29</v>
      </c>
      <c r="D19" s="6">
        <v>462.0</v>
      </c>
      <c r="E19" s="8">
        <v>46098.388974444446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40.0</v>
      </c>
      <c r="E20" s="8">
        <v>46098.38943196759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20.0</v>
      </c>
      <c r="C21" s="7" t="s">
        <v>31</v>
      </c>
      <c r="D21" s="6">
        <v>200.0</v>
      </c>
      <c r="E21" s="8">
        <v>46098.38960363426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4.0</v>
      </c>
      <c r="C22" s="7" t="s">
        <v>32</v>
      </c>
      <c r="D22" s="6">
        <v>80.0</v>
      </c>
      <c r="E22" s="8">
        <v>46098.38982873842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15.0</v>
      </c>
      <c r="E23" s="8">
        <v>46098.389994363424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12.0</v>
      </c>
      <c r="C24" s="7" t="s">
        <v>36</v>
      </c>
      <c r="D24" s="6">
        <v>348.0</v>
      </c>
      <c r="E24" s="8">
        <v>46098.3901925463</v>
      </c>
      <c r="F24" s="2"/>
      <c r="G24" s="20">
        <v>120.0</v>
      </c>
      <c r="H24" s="20">
        <v>5755.0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37</v>
      </c>
      <c r="D25" s="6">
        <v>24.0</v>
      </c>
      <c r="E25" s="8">
        <v>46098.3904578125</v>
      </c>
      <c r="F25" s="2"/>
      <c r="G25" s="20">
        <v>110.0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370.0</v>
      </c>
      <c r="E26" s="8">
        <v>46098.390702627315</v>
      </c>
      <c r="F26" s="2"/>
      <c r="G26" s="22">
        <v>44.0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39</v>
      </c>
      <c r="D27" s="6">
        <v>260.0</v>
      </c>
      <c r="E27" s="8">
        <v>46098.39093047453</v>
      </c>
      <c r="F27" s="2"/>
      <c r="G27" s="20">
        <v>92.0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4.0</v>
      </c>
      <c r="C28" s="7" t="s">
        <v>40</v>
      </c>
      <c r="D28" s="6">
        <v>220.0</v>
      </c>
      <c r="E28" s="8">
        <v>46098.39463663194</v>
      </c>
      <c r="F28" s="2"/>
      <c r="G28" s="20">
        <v>1260.0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147.0</v>
      </c>
      <c r="E29" s="8">
        <v>46098.39537950231</v>
      </c>
      <c r="F29" s="2"/>
      <c r="G29" s="20">
        <v>112.0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15.0</v>
      </c>
      <c r="E30" s="8">
        <v>46098.39657480324</v>
      </c>
      <c r="F30" s="2"/>
      <c r="G30" s="20">
        <v>30.0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43</v>
      </c>
      <c r="D31" s="6">
        <v>138.0</v>
      </c>
      <c r="E31" s="8">
        <v>46098.3968121412</v>
      </c>
      <c r="F31" s="2"/>
      <c r="G31" s="20">
        <v>7.5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945.0</v>
      </c>
      <c r="E32" s="8">
        <v>46098.39723530093</v>
      </c>
      <c r="F32" s="2"/>
      <c r="G32" s="20">
        <v>48.0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45</v>
      </c>
      <c r="D33" s="6">
        <v>90.0</v>
      </c>
      <c r="E33" s="8">
        <v>46098.39944094907</v>
      </c>
      <c r="F33" s="2"/>
      <c r="G33" s="20">
        <v>192.0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1270.0</v>
      </c>
      <c r="E34" s="8">
        <v>46098.39962737268</v>
      </c>
      <c r="F34" s="2"/>
      <c r="G34" s="20">
        <v>46.0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47</v>
      </c>
      <c r="D35" s="6">
        <v>38.0</v>
      </c>
      <c r="E35" s="8">
        <v>46098.39984167824</v>
      </c>
      <c r="F35" s="2"/>
      <c r="G35" s="20">
        <v>270.0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48</v>
      </c>
      <c r="D36" s="6">
        <v>57.0</v>
      </c>
      <c r="E36" s="8">
        <v>46098.39990721065</v>
      </c>
      <c r="F36" s="2"/>
      <c r="G36" s="20">
        <v>63.0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652.0</v>
      </c>
      <c r="E37" s="8">
        <v>46098.40019074074</v>
      </c>
      <c r="F37" s="2"/>
      <c r="G37" s="20">
        <v>425.0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25.0</v>
      </c>
      <c r="E38" s="8">
        <v>46098.40044618056</v>
      </c>
      <c r="F38" s="2"/>
      <c r="G38" s="20">
        <v>180.0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51</v>
      </c>
      <c r="D39" s="6">
        <v>64.0</v>
      </c>
      <c r="E39" s="8">
        <v>46098.400499421296</v>
      </c>
      <c r="F39" s="2"/>
      <c r="G39" s="20">
        <v>61.0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52</v>
      </c>
      <c r="D40" s="6">
        <v>52.0</v>
      </c>
      <c r="E40" s="8">
        <v>46098.400723831015</v>
      </c>
      <c r="F40" s="2"/>
      <c r="G40" s="20">
        <v>20.0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53</v>
      </c>
      <c r="D41" s="6">
        <v>112.0</v>
      </c>
      <c r="E41" s="8">
        <v>46098.400866979166</v>
      </c>
      <c r="F41" s="2"/>
      <c r="G41" s="20">
        <v>20.0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61.0</v>
      </c>
      <c r="E42" s="8">
        <v>46098.40112081019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55</v>
      </c>
      <c r="D43" s="6">
        <v>70.0</v>
      </c>
      <c r="E43" s="8">
        <v>46098.40114423611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135.0</v>
      </c>
      <c r="E44" s="8">
        <v>46098.41421803241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28.5</v>
      </c>
      <c r="E45" s="8">
        <v>46098.42718063657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40.0</v>
      </c>
      <c r="E46" s="8">
        <v>46098.427238460645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110.0</v>
      </c>
      <c r="E47" s="8">
        <v>46098.42974883102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44.0</v>
      </c>
      <c r="E48" s="8">
        <v>46098.44526008102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61</v>
      </c>
      <c r="D49" s="6">
        <v>40.0</v>
      </c>
      <c r="E49" s="8">
        <v>46098.44536201389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62</v>
      </c>
      <c r="D50" s="6">
        <v>92.0</v>
      </c>
      <c r="E50" s="8">
        <v>46098.44707730324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13.0</v>
      </c>
      <c r="E51" s="8">
        <v>46098.45659915509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19.0</v>
      </c>
      <c r="E52" s="8">
        <v>46098.45675045139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25.0</v>
      </c>
      <c r="E53" s="8">
        <v>46098.456984687495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43.0</v>
      </c>
      <c r="E54" s="8">
        <v>46098.45735862268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67</v>
      </c>
      <c r="C55" s="7" t="s">
        <v>68</v>
      </c>
      <c r="D55" s="6">
        <v>30.0</v>
      </c>
      <c r="E55" s="8">
        <v>46098.457458969904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69</v>
      </c>
      <c r="D56" s="6">
        <v>14.0</v>
      </c>
      <c r="E56" s="8">
        <v>46098.4575987037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12.0</v>
      </c>
      <c r="C57" s="7" t="s">
        <v>70</v>
      </c>
      <c r="D57" s="6">
        <v>2.5</v>
      </c>
      <c r="E57" s="8">
        <v>46098.46168732639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100.0</v>
      </c>
      <c r="E58" s="8">
        <v>46098.463655115745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72</v>
      </c>
      <c r="D59" s="6">
        <v>60.0</v>
      </c>
      <c r="E59" s="8">
        <v>46098.464556736115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8.0</v>
      </c>
      <c r="C60" s="7" t="s">
        <v>73</v>
      </c>
      <c r="D60" s="6">
        <v>90.0</v>
      </c>
      <c r="E60" s="8">
        <v>46098.475734733795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20.0</v>
      </c>
      <c r="E61" s="8">
        <v>46098.47562658565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1260.0</v>
      </c>
      <c r="E62" s="8">
        <v>46098.47926541667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76</v>
      </c>
      <c r="D63" s="6">
        <v>53.0</v>
      </c>
      <c r="E63" s="8">
        <v>46098.48516636574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77</v>
      </c>
      <c r="D64" s="6">
        <v>8.0</v>
      </c>
      <c r="E64" s="8">
        <v>46098.48529489583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36.0</v>
      </c>
      <c r="E65" s="8">
        <v>46098.48543835648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30.0</v>
      </c>
      <c r="E66" s="8">
        <v>46098.49237680556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28.0</v>
      </c>
      <c r="E67" s="8">
        <v>46098.49613782407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5.0</v>
      </c>
      <c r="C68" s="7" t="s">
        <v>81</v>
      </c>
      <c r="D68" s="6">
        <v>400.0</v>
      </c>
      <c r="E68" s="8">
        <v>46098.50358059027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82</v>
      </c>
      <c r="C69" s="7" t="s">
        <v>83</v>
      </c>
      <c r="D69" s="6">
        <v>54.0</v>
      </c>
      <c r="E69" s="8">
        <v>46098.50372454862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5.0</v>
      </c>
      <c r="C70" s="7" t="s">
        <v>84</v>
      </c>
      <c r="D70" s="6">
        <v>46.0</v>
      </c>
      <c r="E70" s="8">
        <v>46098.50381826389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75.0</v>
      </c>
      <c r="E71" s="8">
        <v>46098.508985636574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11.0</v>
      </c>
      <c r="E72" s="8">
        <v>46098.50907811343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87</v>
      </c>
      <c r="D73" s="6">
        <v>20.0</v>
      </c>
      <c r="E73" s="8">
        <v>46098.509111956024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88</v>
      </c>
      <c r="C74" s="7" t="s">
        <v>89</v>
      </c>
      <c r="D74" s="6">
        <v>112.0</v>
      </c>
      <c r="E74" s="8">
        <v>46098.52768881945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90</v>
      </c>
      <c r="C75" s="7" t="s">
        <v>91</v>
      </c>
      <c r="D75" s="6">
        <v>30.0</v>
      </c>
      <c r="E75" s="8">
        <v>46098.53106824074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92</v>
      </c>
      <c r="C76" s="7" t="s">
        <v>93</v>
      </c>
      <c r="D76" s="6">
        <v>7.5</v>
      </c>
      <c r="E76" s="8">
        <v>46098.531232430556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20.0</v>
      </c>
      <c r="E77" s="8">
        <v>46098.568116863426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5.0</v>
      </c>
      <c r="C78" s="7" t="s">
        <v>95</v>
      </c>
      <c r="D78" s="6">
        <v>190.0</v>
      </c>
      <c r="E78" s="8">
        <v>46098.57848814815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3.0</v>
      </c>
      <c r="C79" s="7" t="s">
        <v>96</v>
      </c>
      <c r="D79" s="6">
        <v>60.0</v>
      </c>
      <c r="E79" s="8">
        <v>46098.57858046296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10.0</v>
      </c>
      <c r="E80" s="8">
        <v>46098.59298920139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24.0</v>
      </c>
      <c r="E81" s="8">
        <v>46098.606883009255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99</v>
      </c>
      <c r="D82" s="6">
        <v>1.0</v>
      </c>
      <c r="E82" s="8">
        <v>46098.60696472222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1.5</v>
      </c>
      <c r="E83" s="8">
        <v>46098.607019456016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2.0</v>
      </c>
      <c r="E84" s="8">
        <v>46098.60708458333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6">
        <v>14578.0</v>
      </c>
      <c r="B85" s="6">
        <v>4.0</v>
      </c>
      <c r="C85" s="7" t="s">
        <v>102</v>
      </c>
      <c r="D85" s="6">
        <v>192.0</v>
      </c>
      <c r="E85" s="8">
        <v>46098.61408726852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3.0</v>
      </c>
      <c r="C86" s="7" t="s">
        <v>103</v>
      </c>
      <c r="D86" s="6">
        <v>48.0</v>
      </c>
      <c r="E86" s="8">
        <v>46098.61666883102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46.0</v>
      </c>
      <c r="E87" s="8">
        <v>46098.617789826385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40.0</v>
      </c>
      <c r="E88" s="8">
        <v>46098.621864456014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6.0</v>
      </c>
      <c r="C89" s="7" t="s">
        <v>106</v>
      </c>
      <c r="D89" s="6">
        <v>270.0</v>
      </c>
      <c r="E89" s="8">
        <v>46098.62500918981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38.0</v>
      </c>
      <c r="E90" s="8">
        <v>46098.62790024305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27.0</v>
      </c>
      <c r="E91" s="8">
        <v>46098.62796211806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55.0</v>
      </c>
      <c r="E92" s="8">
        <v>46098.631392372685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110</v>
      </c>
      <c r="D93" s="6">
        <v>6.0</v>
      </c>
      <c r="E93" s="8">
        <v>46098.63143238426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220.0</v>
      </c>
      <c r="E94" s="8">
        <v>46098.63532773148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3.0</v>
      </c>
      <c r="C95" s="7" t="s">
        <v>112</v>
      </c>
      <c r="D95" s="6">
        <v>27.0</v>
      </c>
      <c r="E95" s="8">
        <v>46098.63543171296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113</v>
      </c>
      <c r="D96" s="6">
        <v>36.0</v>
      </c>
      <c r="E96" s="8">
        <v>46098.63549310185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114</v>
      </c>
      <c r="D97" s="6">
        <v>180.0</v>
      </c>
      <c r="E97" s="8">
        <v>46098.63899715278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115</v>
      </c>
      <c r="D98" s="6">
        <v>25.0</v>
      </c>
      <c r="E98" s="8">
        <v>46098.639150069444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116</v>
      </c>
      <c r="D99" s="6">
        <v>180.0</v>
      </c>
      <c r="E99" s="8">
        <v>46098.649312222224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117</v>
      </c>
      <c r="D100" s="6">
        <v>65.0</v>
      </c>
      <c r="E100" s="8">
        <v>46098.67678252315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118</v>
      </c>
      <c r="D101" s="6">
        <v>40.0</v>
      </c>
      <c r="E101" s="8">
        <v>46098.67698366898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 t="s">
        <v>119</v>
      </c>
      <c r="C102" s="7" t="s">
        <v>120</v>
      </c>
      <c r="D102" s="6">
        <v>25.0</v>
      </c>
      <c r="E102" s="8">
        <v>46098.68576482639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121</v>
      </c>
      <c r="D103" s="6">
        <v>16.0</v>
      </c>
      <c r="E103" s="8">
        <v>46098.70661150463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122</v>
      </c>
      <c r="D104" s="6">
        <v>20.0</v>
      </c>
      <c r="E104" s="8">
        <v>46098.70980166667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123</v>
      </c>
      <c r="D105" s="6">
        <v>18.0</v>
      </c>
      <c r="E105" s="8">
        <v>46098.7106393287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124</v>
      </c>
      <c r="D106" s="6">
        <v>80.0</v>
      </c>
      <c r="E106" s="8">
        <v>46098.71863299768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125</v>
      </c>
      <c r="D107" s="6">
        <v>6.0</v>
      </c>
      <c r="E107" s="8">
        <v>46098.720741087964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 t="s">
        <v>126</v>
      </c>
      <c r="C108" s="7" t="s">
        <v>127</v>
      </c>
      <c r="D108" s="6">
        <v>12.0</v>
      </c>
      <c r="E108" s="8">
        <v>46098.7355175463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4.0</v>
      </c>
      <c r="C109" s="7" t="s">
        <v>128</v>
      </c>
      <c r="D109" s="6">
        <v>60.0</v>
      </c>
      <c r="E109" s="8">
        <v>46098.75330319445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129</v>
      </c>
      <c r="D110" s="6">
        <v>63.0</v>
      </c>
      <c r="E110" s="8">
        <v>46098.75520802083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