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<sst xmlns="http://schemas.openxmlformats.org/spreadsheetml/2006/main" count="133" uniqueCount="129">
  <si>
    <t>HOJA DE CALCULO FERRETERIA</t>
  </si>
  <si>
    <t>CODIGO</t>
  </si>
  <si>
    <t>CANTIDAD</t>
  </si>
  <si>
    <t>DESCRIPCION</t>
  </si>
  <si>
    <t>TOTAL</t>
  </si>
  <si>
    <t>HORA</t>
  </si>
  <si>
    <t>CUADRAR</t>
  </si>
  <si>
    <t>disco fierro 14 tr</t>
  </si>
  <si>
    <t>broca fosner 35</t>
  </si>
  <si>
    <t>MONEDAS</t>
  </si>
  <si>
    <t>CAJA CHICA</t>
  </si>
  <si>
    <t>lente de soldar</t>
  </si>
  <si>
    <t>BILLETES 10-20</t>
  </si>
  <si>
    <t>TOTAL VENTAS DIA</t>
  </si>
  <si>
    <t>silicona akfi alumiio</t>
  </si>
  <si>
    <t>BILLETES 50-100-200</t>
  </si>
  <si>
    <t>AUMENTO DE DINERO</t>
  </si>
  <si>
    <t>pistola de siicona jadever</t>
  </si>
  <si>
    <t>INGRESOS YAPE</t>
  </si>
  <si>
    <t>espatula dacro</t>
  </si>
  <si>
    <t>INGRESOS TARJETA</t>
  </si>
  <si>
    <t>pico de grio</t>
  </si>
  <si>
    <t>GASTOS VARIOS</t>
  </si>
  <si>
    <t>adaptdor de frit</t>
  </si>
  <si>
    <t>pico tramkonta</t>
  </si>
  <si>
    <t>DINERO GANADO HOY:</t>
  </si>
  <si>
    <t>CANTIDAD DINERO CAJA:</t>
  </si>
  <si>
    <t xml:space="preserve">aerosol </t>
  </si>
  <si>
    <t>lijas</t>
  </si>
  <si>
    <t>DISCO CONCRET DE 9</t>
  </si>
  <si>
    <t>pegatanke</t>
  </si>
  <si>
    <t>pegatanke blanco</t>
  </si>
  <si>
    <t>regaton 25</t>
  </si>
  <si>
    <t>3m</t>
  </si>
  <si>
    <t>estaño hilo</t>
  </si>
  <si>
    <t>YAPE MAMÁ</t>
  </si>
  <si>
    <t>YAPE PAPÁ</t>
  </si>
  <si>
    <t>clefa 500</t>
  </si>
  <si>
    <t>flexo s50m turper</t>
  </si>
  <si>
    <t>clavo truper</t>
  </si>
  <si>
    <t>grapa truper</t>
  </si>
  <si>
    <t>grifo fv</t>
  </si>
  <si>
    <t>soquet porcelana</t>
  </si>
  <si>
    <t>disco desbaste</t>
  </si>
  <si>
    <t>picaporte 21/2</t>
  </si>
  <si>
    <t>clavija shuco</t>
  </si>
  <si>
    <t>flexo 10m tr</t>
  </si>
  <si>
    <t>espiga auto</t>
  </si>
  <si>
    <t>dado 13</t>
  </si>
  <si>
    <t>15m</t>
  </si>
  <si>
    <t>manguera 1/2 forte</t>
  </si>
  <si>
    <t>silico sika</t>
  </si>
  <si>
    <t>regleta ultre</t>
  </si>
  <si>
    <t>lija 36</t>
  </si>
  <si>
    <t>PIST SILICONA EN BARRA UYUST</t>
  </si>
  <si>
    <t>MANGUERA DUCHA HIGIENICA</t>
  </si>
  <si>
    <t>A40</t>
  </si>
  <si>
    <t>CEPILLOAS TALADRO</t>
  </si>
  <si>
    <t>PISTOLA SILICONA</t>
  </si>
  <si>
    <t>AZADON</t>
  </si>
  <si>
    <t>PALO PAA AZADON</t>
  </si>
  <si>
    <t>AEROSOL CROMO BRILLANTE</t>
  </si>
  <si>
    <t>INFLADOR TR</t>
  </si>
  <si>
    <t>PEGAMENTO PARA PARCHAR</t>
  </si>
  <si>
    <t>CINTA TALA EGRA</t>
  </si>
  <si>
    <t>DISCO DESVASTE NOR 7</t>
  </si>
  <si>
    <t>CARRETES</t>
  </si>
  <si>
    <t>TAPA CARRETE</t>
  </si>
  <si>
    <t>JUEGO DE ACOPLES PARA TALADRO</t>
  </si>
  <si>
    <t>PIE DE AMIGO</t>
  </si>
  <si>
    <t>RAMPLU 10 + TIRAFONDO</t>
  </si>
  <si>
    <t>SUJETA CALES 1/4</t>
  </si>
  <si>
    <t>TUBO CONDUIT 34</t>
  </si>
  <si>
    <t>TUBO DESAGUER PLAMAT 2</t>
  </si>
  <si>
    <t>CODO DESAGUE PLAMTA 2</t>
  </si>
  <si>
    <t>MARITLLOO M/MADERA</t>
  </si>
  <si>
    <t>RODILLO TIGRE ANTIGOTEO</t>
  </si>
  <si>
    <t>M PLASTICO 1,5 M</t>
  </si>
  <si>
    <t>CINTA TELA FIVE</t>
  </si>
  <si>
    <t>THENNER ACRILICO</t>
  </si>
  <si>
    <t>M POLITUBO 2</t>
  </si>
  <si>
    <t>M CAÑERIA 11/2</t>
  </si>
  <si>
    <t>MARCODLRER TOLSEN</t>
  </si>
  <si>
    <t>LENTES TRASNPATENTE</t>
  </si>
  <si>
    <t xml:space="preserve">GUANTES LATEX </t>
  </si>
  <si>
    <t>GUANES FERRAWY</t>
  </si>
  <si>
    <t>UNION PATENTE POLITUBO</t>
  </si>
  <si>
    <t>UNION PATENTE TRAMONTIA 3/4</t>
  </si>
  <si>
    <t>DISCO UYUS 4</t>
  </si>
  <si>
    <t>CLAVIJA  SOLERA</t>
  </si>
  <si>
    <t>PILA DURACEL D</t>
  </si>
  <si>
    <t>6M</t>
  </si>
  <si>
    <t>HILO PARA PODAR</t>
  </si>
  <si>
    <t>TARRAJA 3/4</t>
  </si>
  <si>
    <t>CODO TIGRE 1/2</t>
  </si>
  <si>
    <t>COPLA TIGRE 1/52</t>
  </si>
  <si>
    <t>NIPLE  TIGRE 1/2</t>
  </si>
  <si>
    <t>CEMTNO COLA INOX</t>
  </si>
  <si>
    <t>RODILLO ANTIGOTEO TIGRE</t>
  </si>
  <si>
    <t>CLAVO CALVADOO</t>
  </si>
  <si>
    <t>FILTKRAO DE AGUA TRUPER</t>
  </si>
  <si>
    <t>ALARGASDOR 3 M</t>
  </si>
  <si>
    <t>SELLADOR BLANCO 3,5</t>
  </si>
  <si>
    <t>LT THINER DUCO</t>
  </si>
  <si>
    <t>DECRUST B</t>
  </si>
  <si>
    <t>BROCA 3,5</t>
  </si>
  <si>
    <t>BROCA  4,5</t>
  </si>
  <si>
    <t xml:space="preserve">CHAPA </t>
  </si>
  <si>
    <t>REM POP</t>
  </si>
  <si>
    <t>ACERRIN</t>
  </si>
  <si>
    <t>JUEGOD E 5 PUNTAS TURER</t>
  </si>
  <si>
    <t>ADAPTDOR TRUER</t>
  </si>
  <si>
    <t>M CABLE BIPOLAR</t>
  </si>
  <si>
    <t>SOQUR PLATO</t>
  </si>
  <si>
    <t>CINA AISLANTE</t>
  </si>
  <si>
    <t>CINA TELA FIVE STE</t>
  </si>
  <si>
    <t>PLAC DOBLE MARICIO</t>
  </si>
  <si>
    <t>CAJA RFECTGANGULAR</t>
  </si>
  <si>
    <t>FOCO TRAMONTIA</t>
  </si>
  <si>
    <t xml:space="preserve">ESTILETA </t>
  </si>
  <si>
    <t>CUBRE CABLE 10*15</t>
  </si>
  <si>
    <t>SOPORTE PARA MANFIER ATRAMKONOTA</t>
  </si>
  <si>
    <t>AEROSOL BLANCO</t>
  </si>
  <si>
    <t>CLAVO 2 PULG CLAVAD</t>
  </si>
  <si>
    <t>CARPICLOLA</t>
  </si>
  <si>
    <t>CHI 4*40</t>
  </si>
  <si>
    <t xml:space="preserve">ARA PLANA ANCHA </t>
  </si>
  <si>
    <t xml:space="preserve">GRIFO GOLSEN </t>
  </si>
  <si>
    <t>DISCO CONCRET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</si>
</sst>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2.0</v>
      </c>
      <c r="C8" s="7" t="s">
        <v>7</v>
      </c>
      <c r="D8" s="6">
        <v>118.0</v>
      </c>
      <c r="E8" s="8">
        <v>46126.3572708912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50.0</v>
      </c>
      <c r="E9" s="8">
        <v>46126.37416755787</v>
      </c>
      <c r="F9" s="2"/>
      <c r="G9" s="9" t="s">
        <v>9</v>
      </c>
      <c r="H9" s="10">
        <v>70.0</v>
      </c>
      <c r="I9" s="2"/>
      <c r="J9" s="9" t="s">
        <v>10</v>
      </c>
      <c r="K9" s="10">
        <v>664.5</v>
      </c>
      <c r="L9" s="2"/>
      <c r="M9" s="2"/>
      <c r="N9" s="2"/>
      <c r="O9" s="2"/>
      <c r="P9" s="2"/>
      <c r="Q9" s="2"/>
    </row>
    <row r="10" ht="22.5" customHeight="1">
      <c r="A10" s="6"/>
      <c r="B10" s="6">
        <v>3.0</v>
      </c>
      <c r="C10" s="7" t="s">
        <v>11</v>
      </c>
      <c r="D10" s="6">
        <v>39.0</v>
      </c>
      <c r="E10" s="8">
        <v>46126.37426350694</v>
      </c>
      <c r="F10" s="2"/>
      <c r="G10" s="9" t="s">
        <v>12</v>
      </c>
      <c r="H10" s="10">
        <v>190.0</v>
      </c>
      <c r="I10" s="2"/>
      <c r="J10" s="9" t="s">
        <v>13</v>
      </c>
      <c r="K10" s="11">
        <f>SUM(PRINCIPAL[TOTAL])</f>
        <v>13650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7.0</v>
      </c>
      <c r="C11" s="7" t="s">
        <v>14</v>
      </c>
      <c r="D11" s="6">
        <v>126.0</v>
      </c>
      <c r="E11" s="8">
        <v>46126.38112873843</v>
      </c>
      <c r="F11" s="2"/>
      <c r="G11" s="9" t="s">
        <v>15</v>
      </c>
      <c r="H11" s="10">
        <v>3200.0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17.0</v>
      </c>
      <c r="E12" s="8">
        <v>46126.38129609954</v>
      </c>
      <c r="F12" s="2"/>
      <c r="G12" s="9" t="s">
        <v>18</v>
      </c>
      <c r="H12" s="12">
        <f>SUM(G24:H361)</f>
        <v>11069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15.0</v>
      </c>
      <c r="E13" s="8">
        <v>46126.38220922454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7.0</v>
      </c>
      <c r="E14" s="8">
        <v>46126.386886875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9.0</v>
      </c>
      <c r="E15" s="8">
        <v>46126.386945011574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12.0</v>
      </c>
      <c r="E16" s="8">
        <v>46126.38705826389</v>
      </c>
      <c r="F16" s="2"/>
      <c r="G16" s="15" t="s">
        <v>25</v>
      </c>
      <c r="H16" s="16">
        <f>SUM(H9:H14)</f>
        <v>14529</v>
      </c>
      <c r="I16" s="3"/>
      <c r="J16" s="15" t="s">
        <v>26</v>
      </c>
      <c r="K16" s="16">
        <f>SUM(K9:K11)</f>
        <v>14314.5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20.0</v>
      </c>
      <c r="E17" s="8">
        <v>46126.387103553236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3.0</v>
      </c>
      <c r="C18" s="7" t="s">
        <v>28</v>
      </c>
      <c r="D18" s="6">
        <v>15.0</v>
      </c>
      <c r="E18" s="8">
        <v>46126.38714233796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214,50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99.0</v>
      </c>
      <c r="E19" s="8">
        <v>46126.389362037036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90.0</v>
      </c>
      <c r="E20" s="8">
        <v>46126.394791238425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90.0</v>
      </c>
      <c r="E21" s="8">
        <v>46126.40518613426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4.0</v>
      </c>
      <c r="C22" s="7" t="s">
        <v>32</v>
      </c>
      <c r="D22" s="6">
        <v>10.0</v>
      </c>
      <c r="E22" s="8">
        <v>46126.4104558449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 t="s">
        <v>33</v>
      </c>
      <c r="C23" s="7" t="s">
        <v>34</v>
      </c>
      <c r="D23" s="6">
        <v>24.0</v>
      </c>
      <c r="E23" s="8">
        <v>46126.414702361115</v>
      </c>
      <c r="F23" s="2"/>
      <c r="G23" s="19" t="s">
        <v>35</v>
      </c>
      <c r="H23" s="19" t="s">
        <v>36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37</v>
      </c>
      <c r="D24" s="6">
        <v>49.0</v>
      </c>
      <c r="E24" s="8">
        <v>46126.428776076384</v>
      </c>
      <c r="F24" s="2"/>
      <c r="G24" s="20">
        <v>89.0</v>
      </c>
      <c r="H24" s="20">
        <v>9500.0</v>
      </c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2.0</v>
      </c>
      <c r="C25" s="7" t="s">
        <v>38</v>
      </c>
      <c r="D25" s="6">
        <v>96.0</v>
      </c>
      <c r="E25" s="8">
        <v>46126.430326898146</v>
      </c>
      <c r="F25" s="2"/>
      <c r="G25" s="20">
        <v>28.0</v>
      </c>
      <c r="H25" s="20">
        <v>53.0</v>
      </c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39</v>
      </c>
      <c r="D26" s="6">
        <v>105.0</v>
      </c>
      <c r="E26" s="8">
        <v>46126.43771172454</v>
      </c>
      <c r="F26" s="2"/>
      <c r="G26" s="21">
        <v>35.0</v>
      </c>
      <c r="H26" s="22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40</v>
      </c>
      <c r="D27" s="6">
        <v>170.0</v>
      </c>
      <c r="E27" s="8">
        <v>46126.437756053245</v>
      </c>
      <c r="F27" s="2"/>
      <c r="G27" s="20">
        <v>185.0</v>
      </c>
      <c r="H27" s="22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41</v>
      </c>
      <c r="D28" s="6">
        <v>78.0</v>
      </c>
      <c r="E28" s="8">
        <v>46126.438283020834</v>
      </c>
      <c r="F28" s="2"/>
      <c r="G28" s="20">
        <v>40.0</v>
      </c>
      <c r="H28" s="22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42</v>
      </c>
      <c r="D29" s="6">
        <v>10.0</v>
      </c>
      <c r="E29" s="8">
        <v>46126.43845545139</v>
      </c>
      <c r="F29" s="2"/>
      <c r="G29" s="20">
        <v>96.0</v>
      </c>
      <c r="H29" s="22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43</v>
      </c>
      <c r="D30" s="6">
        <v>30.0</v>
      </c>
      <c r="E30" s="8">
        <v>46126.4385124074</v>
      </c>
      <c r="F30" s="2"/>
      <c r="G30" s="20">
        <v>74.5</v>
      </c>
      <c r="H30" s="22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11</v>
      </c>
      <c r="D31" s="6">
        <v>10.0</v>
      </c>
      <c r="E31" s="8">
        <v>46126.43859859953</v>
      </c>
      <c r="F31" s="2"/>
      <c r="G31" s="20">
        <v>75.0</v>
      </c>
      <c r="H31" s="22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44</v>
      </c>
      <c r="D32" s="6">
        <v>10.0</v>
      </c>
      <c r="E32" s="8">
        <v>46126.44516047454</v>
      </c>
      <c r="F32" s="2"/>
      <c r="G32" s="20">
        <v>140.0</v>
      </c>
      <c r="H32" s="22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45</v>
      </c>
      <c r="D33" s="6">
        <v>40.0</v>
      </c>
      <c r="E33" s="8">
        <v>46126.448470069445</v>
      </c>
      <c r="F33" s="2"/>
      <c r="G33" s="20">
        <v>84.0</v>
      </c>
      <c r="H33" s="22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46</v>
      </c>
      <c r="D34" s="6">
        <v>185.0</v>
      </c>
      <c r="E34" s="8">
        <v>46126.453028240736</v>
      </c>
      <c r="F34" s="2"/>
      <c r="G34" s="20">
        <v>212.5</v>
      </c>
      <c r="H34" s="22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47</v>
      </c>
      <c r="D35" s="6">
        <v>90.0</v>
      </c>
      <c r="E35" s="8">
        <v>46126.464531122685</v>
      </c>
      <c r="F35" s="2"/>
      <c r="G35" s="20">
        <v>200.0</v>
      </c>
      <c r="H35" s="22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48</v>
      </c>
      <c r="D36" s="6">
        <v>15.0</v>
      </c>
      <c r="E36" s="8">
        <v>46126.46860740741</v>
      </c>
      <c r="F36" s="2"/>
      <c r="G36" s="20">
        <v>36.0</v>
      </c>
      <c r="H36" s="22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 t="s">
        <v>49</v>
      </c>
      <c r="C37" s="7" t="s">
        <v>50</v>
      </c>
      <c r="D37" s="6">
        <v>105.0</v>
      </c>
      <c r="E37" s="8">
        <v>46126.4709850463</v>
      </c>
      <c r="F37" s="2"/>
      <c r="G37" s="20">
        <v>36.0</v>
      </c>
      <c r="H37" s="22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51</v>
      </c>
      <c r="D38" s="6">
        <v>34.0</v>
      </c>
      <c r="E38" s="8">
        <v>46126.47603791667</v>
      </c>
      <c r="F38" s="2"/>
      <c r="G38" s="20">
        <v>10.0</v>
      </c>
      <c r="H38" s="22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52</v>
      </c>
      <c r="D39" s="6">
        <v>16.0</v>
      </c>
      <c r="E39" s="8">
        <v>46126.47699762732</v>
      </c>
      <c r="F39" s="2"/>
      <c r="G39" s="20">
        <v>22.0</v>
      </c>
      <c r="H39" s="22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53</v>
      </c>
      <c r="D40" s="6">
        <v>8.0</v>
      </c>
      <c r="E40" s="8">
        <v>46126.48423530093</v>
      </c>
      <c r="F40" s="2"/>
      <c r="G40" s="20">
        <v>20.0</v>
      </c>
      <c r="H40" s="22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54</v>
      </c>
      <c r="D41" s="6">
        <v>29.0</v>
      </c>
      <c r="E41" s="23"/>
      <c r="F41" s="2"/>
      <c r="G41" s="20">
        <v>120.0</v>
      </c>
      <c r="H41" s="22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55</v>
      </c>
      <c r="D42" s="6">
        <v>59.0</v>
      </c>
      <c r="E42" s="8">
        <v>46126.495166608795</v>
      </c>
      <c r="F42" s="2"/>
      <c r="G42" s="20">
        <v>13.0</v>
      </c>
      <c r="H42" s="22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56</v>
      </c>
      <c r="D43" s="6">
        <v>31.0</v>
      </c>
      <c r="E43" s="8">
        <v>46126.4964858912</v>
      </c>
      <c r="F43" s="2"/>
      <c r="G43" s="22"/>
      <c r="H43" s="22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57</v>
      </c>
      <c r="D44" s="6">
        <v>104.0</v>
      </c>
      <c r="E44" s="8">
        <v>46126.49668349537</v>
      </c>
      <c r="F44" s="2"/>
      <c r="G44" s="22"/>
      <c r="H44" s="22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52</v>
      </c>
      <c r="D45" s="6">
        <v>6.0</v>
      </c>
      <c r="E45" s="8">
        <v>46126.49708969907</v>
      </c>
      <c r="F45" s="2"/>
      <c r="G45" s="22"/>
      <c r="H45" s="22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58</v>
      </c>
      <c r="D46" s="6">
        <v>29.0</v>
      </c>
      <c r="E46" s="8">
        <v>46126.498338125</v>
      </c>
      <c r="F46" s="2"/>
      <c r="G46" s="22"/>
      <c r="H46" s="22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59</v>
      </c>
      <c r="D47" s="6">
        <v>53.0</v>
      </c>
      <c r="E47" s="8">
        <v>46126.49841859954</v>
      </c>
      <c r="F47" s="2"/>
      <c r="G47" s="22"/>
      <c r="H47" s="22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60</v>
      </c>
      <c r="D48" s="6">
        <v>14.0</v>
      </c>
      <c r="E48" s="8">
        <v>46126.498531296296</v>
      </c>
      <c r="F48" s="2"/>
      <c r="G48" s="22"/>
      <c r="H48" s="22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61</v>
      </c>
      <c r="D49" s="6">
        <v>30.0</v>
      </c>
      <c r="E49" s="8">
        <v>46126.5190946875</v>
      </c>
      <c r="F49" s="2"/>
      <c r="G49" s="22"/>
      <c r="H49" s="22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62</v>
      </c>
      <c r="D50" s="6">
        <v>134.0</v>
      </c>
      <c r="E50" s="8">
        <v>46126.58118248843</v>
      </c>
      <c r="F50" s="2"/>
      <c r="G50" s="22"/>
      <c r="H50" s="22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63</v>
      </c>
      <c r="D51" s="6">
        <v>5.0</v>
      </c>
      <c r="E51" s="8">
        <v>46126.581273449076</v>
      </c>
      <c r="F51" s="2"/>
      <c r="G51" s="22"/>
      <c r="H51" s="22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2.0</v>
      </c>
      <c r="C52" s="7" t="s">
        <v>64</v>
      </c>
      <c r="D52" s="6">
        <v>36.0</v>
      </c>
      <c r="E52" s="8">
        <v>46126.58318104167</v>
      </c>
      <c r="F52" s="2"/>
      <c r="G52" s="22"/>
      <c r="H52" s="22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65</v>
      </c>
      <c r="D53" s="6">
        <v>53.0</v>
      </c>
      <c r="E53" s="8">
        <v>46126.60287292824</v>
      </c>
      <c r="F53" s="2"/>
      <c r="G53" s="22"/>
      <c r="H53" s="22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2.0</v>
      </c>
      <c r="C54" s="7" t="s">
        <v>66</v>
      </c>
      <c r="D54" s="6">
        <v>68.0</v>
      </c>
      <c r="E54" s="8">
        <v>46126.60787663194</v>
      </c>
      <c r="F54" s="2"/>
      <c r="G54" s="22"/>
      <c r="H54" s="22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67</v>
      </c>
      <c r="D55" s="6">
        <v>22.0</v>
      </c>
      <c r="E55" s="8">
        <v>46126.60793103009</v>
      </c>
      <c r="F55" s="2"/>
      <c r="G55" s="22"/>
      <c r="H55" s="22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68</v>
      </c>
      <c r="D56" s="6">
        <v>33.0</v>
      </c>
      <c r="E56" s="8">
        <v>46126.61747303241</v>
      </c>
      <c r="F56" s="2"/>
      <c r="G56" s="22"/>
      <c r="H56" s="22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2.0</v>
      </c>
      <c r="C57" s="7" t="s">
        <v>69</v>
      </c>
      <c r="D57" s="6">
        <v>36.0</v>
      </c>
      <c r="E57" s="8">
        <v>46126.61772763889</v>
      </c>
      <c r="F57" s="2"/>
      <c r="G57" s="22"/>
      <c r="H57" s="22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6.0</v>
      </c>
      <c r="C58" s="7" t="s">
        <v>70</v>
      </c>
      <c r="D58" s="6">
        <v>5.5</v>
      </c>
      <c r="E58" s="8">
        <v>46126.617935925926</v>
      </c>
      <c r="F58" s="2"/>
      <c r="G58" s="22"/>
      <c r="H58" s="22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12.0</v>
      </c>
      <c r="C59" s="7" t="s">
        <v>71</v>
      </c>
      <c r="D59" s="6">
        <v>60.0</v>
      </c>
      <c r="E59" s="8">
        <v>46126.61833054398</v>
      </c>
      <c r="F59" s="2"/>
      <c r="G59" s="22"/>
      <c r="H59" s="22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4.0</v>
      </c>
      <c r="C60" s="7" t="s">
        <v>72</v>
      </c>
      <c r="D60" s="6">
        <v>30.0</v>
      </c>
      <c r="E60" s="8">
        <v>46126.631841215276</v>
      </c>
      <c r="F60" s="2"/>
      <c r="G60" s="22"/>
      <c r="H60" s="22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10.0</v>
      </c>
      <c r="C61" s="7" t="s">
        <v>73</v>
      </c>
      <c r="D61" s="6">
        <v>400.0</v>
      </c>
      <c r="E61" s="8">
        <v>46126.64400789352</v>
      </c>
      <c r="F61" s="2"/>
      <c r="G61" s="22"/>
      <c r="H61" s="22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10.0</v>
      </c>
      <c r="C62" s="7" t="s">
        <v>74</v>
      </c>
      <c r="D62" s="6">
        <v>43.0</v>
      </c>
      <c r="E62" s="8">
        <v>46126.644080196755</v>
      </c>
      <c r="F62" s="2"/>
      <c r="G62" s="22"/>
      <c r="H62" s="22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10.0</v>
      </c>
      <c r="C63" s="7" t="s">
        <v>75</v>
      </c>
      <c r="D63" s="6">
        <v>390.0</v>
      </c>
      <c r="E63" s="8">
        <v>46126.64455172454</v>
      </c>
      <c r="F63" s="2"/>
      <c r="G63" s="22"/>
      <c r="H63" s="22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200.0</v>
      </c>
      <c r="C64" s="7" t="s">
        <v>76</v>
      </c>
      <c r="D64" s="6">
        <v>3200.0</v>
      </c>
      <c r="E64" s="8">
        <v>46126.64476420139</v>
      </c>
      <c r="F64" s="2"/>
      <c r="G64" s="22"/>
      <c r="H64" s="22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40.0</v>
      </c>
      <c r="C65" s="7" t="s">
        <v>77</v>
      </c>
      <c r="D65" s="6">
        <v>340.0</v>
      </c>
      <c r="E65" s="8">
        <v>46126.64492361111</v>
      </c>
      <c r="F65" s="2"/>
      <c r="G65" s="22"/>
      <c r="H65" s="22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2.0</v>
      </c>
      <c r="C66" s="7" t="s">
        <v>78</v>
      </c>
      <c r="D66" s="6">
        <v>36.0</v>
      </c>
      <c r="E66" s="8">
        <v>46126.64507916667</v>
      </c>
      <c r="F66" s="2"/>
      <c r="G66" s="22"/>
      <c r="H66" s="22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20.0</v>
      </c>
      <c r="C67" s="7" t="s">
        <v>79</v>
      </c>
      <c r="D67" s="6">
        <v>900.0</v>
      </c>
      <c r="E67" s="8">
        <v>46126.64519773149</v>
      </c>
      <c r="F67" s="2"/>
      <c r="G67" s="22"/>
      <c r="H67" s="22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200.0</v>
      </c>
      <c r="C68" s="7" t="s">
        <v>80</v>
      </c>
      <c r="D68" s="6">
        <v>2340.0</v>
      </c>
      <c r="E68" s="8">
        <v>46126.64529188657</v>
      </c>
      <c r="F68" s="2"/>
      <c r="G68" s="22"/>
      <c r="H68" s="22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81</v>
      </c>
      <c r="D69" s="6">
        <v>32.0</v>
      </c>
      <c r="E69" s="8">
        <v>46126.645391909726</v>
      </c>
      <c r="F69" s="2"/>
      <c r="G69" s="22"/>
      <c r="H69" s="22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4.0</v>
      </c>
      <c r="C70" s="7" t="s">
        <v>82</v>
      </c>
      <c r="D70" s="6">
        <v>20.0</v>
      </c>
      <c r="E70" s="8">
        <v>46126.64551216435</v>
      </c>
      <c r="F70" s="2"/>
      <c r="G70" s="22"/>
      <c r="H70" s="22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96.0</v>
      </c>
      <c r="C71" s="7" t="s">
        <v>83</v>
      </c>
      <c r="D71" s="6">
        <v>816.0</v>
      </c>
      <c r="E71" s="8">
        <v>46126.64560128472</v>
      </c>
      <c r="F71" s="2"/>
      <c r="G71" s="22"/>
      <c r="H71" s="22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50.0</v>
      </c>
      <c r="C72" s="7" t="s">
        <v>84</v>
      </c>
      <c r="D72" s="6">
        <v>550.0</v>
      </c>
      <c r="E72" s="8">
        <v>46126.64575427084</v>
      </c>
      <c r="F72" s="2"/>
      <c r="G72" s="22"/>
      <c r="H72" s="22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48.0</v>
      </c>
      <c r="C73" s="7" t="s">
        <v>85</v>
      </c>
      <c r="D73" s="6">
        <v>336.0</v>
      </c>
      <c r="E73" s="8">
        <v>46126.64582766204</v>
      </c>
      <c r="F73" s="2"/>
      <c r="G73" s="22"/>
      <c r="H73" s="22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86</v>
      </c>
      <c r="D74" s="6">
        <v>70.0</v>
      </c>
      <c r="E74" s="8">
        <v>46126.645983043985</v>
      </c>
      <c r="F74" s="2"/>
      <c r="G74" s="22"/>
      <c r="H74" s="22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87</v>
      </c>
      <c r="D75" s="6">
        <v>27.0</v>
      </c>
      <c r="E75" s="8">
        <v>46126.646091608796</v>
      </c>
      <c r="F75" s="2"/>
      <c r="G75" s="22"/>
      <c r="H75" s="22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88</v>
      </c>
      <c r="D76" s="6">
        <v>5.0</v>
      </c>
      <c r="E76" s="8">
        <v>46126.65594640047</v>
      </c>
      <c r="F76" s="2"/>
      <c r="G76" s="22"/>
      <c r="H76" s="22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89</v>
      </c>
      <c r="D77" s="6">
        <v>40.0</v>
      </c>
      <c r="E77" s="8">
        <v>46126.65605605324</v>
      </c>
      <c r="F77" s="2"/>
      <c r="G77" s="22"/>
      <c r="H77" s="22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90</v>
      </c>
      <c r="D78" s="6">
        <v>75.0</v>
      </c>
      <c r="E78" s="8">
        <v>46126.65719391203</v>
      </c>
      <c r="F78" s="2"/>
      <c r="G78" s="22"/>
      <c r="H78" s="22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 t="s">
        <v>91</v>
      </c>
      <c r="C79" s="7" t="s">
        <v>92</v>
      </c>
      <c r="D79" s="6">
        <v>9.0</v>
      </c>
      <c r="E79" s="8">
        <v>46126.66352179398</v>
      </c>
      <c r="F79" s="2"/>
      <c r="G79" s="22"/>
      <c r="H79" s="22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93</v>
      </c>
      <c r="D80" s="6">
        <v>46.0</v>
      </c>
      <c r="E80" s="8">
        <v>46126.69295709491</v>
      </c>
      <c r="F80" s="2"/>
      <c r="G80" s="22"/>
      <c r="H80" s="22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94</v>
      </c>
      <c r="D81" s="6">
        <v>3.5</v>
      </c>
      <c r="E81" s="8">
        <v>46126.696235787036</v>
      </c>
      <c r="F81" s="2"/>
      <c r="G81" s="22"/>
      <c r="H81" s="22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95</v>
      </c>
      <c r="D82" s="6">
        <v>4.0</v>
      </c>
      <c r="E82" s="8">
        <v>46126.6963465625</v>
      </c>
      <c r="F82" s="2"/>
      <c r="G82" s="22"/>
      <c r="H82" s="22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96</v>
      </c>
      <c r="D83" s="6">
        <v>2.0</v>
      </c>
      <c r="E83" s="8">
        <v>46126.69649556713</v>
      </c>
      <c r="F83" s="2"/>
      <c r="G83" s="22"/>
      <c r="H83" s="22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2.0</v>
      </c>
      <c r="C84" s="7" t="s">
        <v>97</v>
      </c>
      <c r="D84" s="6">
        <v>62.0</v>
      </c>
      <c r="E84" s="8">
        <v>46126.71332278935</v>
      </c>
      <c r="F84" s="2"/>
      <c r="G84" s="22"/>
      <c r="H84" s="22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98</v>
      </c>
      <c r="D85" s="6">
        <v>31.5</v>
      </c>
      <c r="E85" s="8">
        <v>46126.713620254624</v>
      </c>
      <c r="F85" s="2"/>
      <c r="G85" s="22"/>
      <c r="H85" s="22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99</v>
      </c>
      <c r="D86" s="6">
        <v>80.0</v>
      </c>
      <c r="E86" s="8">
        <v>46126.71389791666</v>
      </c>
      <c r="F86" s="2"/>
      <c r="G86" s="22"/>
      <c r="H86" s="22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100</v>
      </c>
      <c r="D87" s="6">
        <v>60.0</v>
      </c>
      <c r="E87" s="8">
        <v>46126.71400600694</v>
      </c>
      <c r="F87" s="2"/>
      <c r="G87" s="22"/>
      <c r="H87" s="22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101</v>
      </c>
      <c r="D88" s="6">
        <v>38.0</v>
      </c>
      <c r="E88" s="8">
        <v>46126.71408101852</v>
      </c>
      <c r="F88" s="2"/>
      <c r="G88" s="22"/>
      <c r="H88" s="22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102</v>
      </c>
      <c r="D89" s="6">
        <v>100.0</v>
      </c>
      <c r="E89" s="8">
        <v>46126.71434185185</v>
      </c>
      <c r="F89" s="2"/>
      <c r="G89" s="22"/>
      <c r="H89" s="22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103</v>
      </c>
      <c r="D90" s="6">
        <v>36.0</v>
      </c>
      <c r="E90" s="8">
        <v>46126.72274539352</v>
      </c>
      <c r="F90" s="2"/>
      <c r="G90" s="22"/>
      <c r="H90" s="22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1.0</v>
      </c>
      <c r="C91" s="7" t="s">
        <v>104</v>
      </c>
      <c r="D91" s="6">
        <v>65.0</v>
      </c>
      <c r="E91" s="8">
        <v>46126.72289788195</v>
      </c>
      <c r="F91" s="2"/>
      <c r="G91" s="22"/>
      <c r="H91" s="22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105</v>
      </c>
      <c r="D92" s="6">
        <v>12.0</v>
      </c>
      <c r="E92" s="8">
        <v>46126.72307934028</v>
      </c>
      <c r="F92" s="2"/>
      <c r="G92" s="22"/>
      <c r="H92" s="22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1.0</v>
      </c>
      <c r="C93" s="7" t="s">
        <v>106</v>
      </c>
      <c r="D93" s="6">
        <v>13.0</v>
      </c>
      <c r="E93" s="8">
        <v>46126.72323744213</v>
      </c>
      <c r="F93" s="2"/>
      <c r="G93" s="22"/>
      <c r="H93" s="22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1.0</v>
      </c>
      <c r="C94" s="7" t="s">
        <v>107</v>
      </c>
      <c r="D94" s="6">
        <v>120.0</v>
      </c>
      <c r="E94" s="8">
        <v>46126.72337460648</v>
      </c>
      <c r="F94" s="2"/>
      <c r="G94" s="22"/>
      <c r="H94" s="22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6.0</v>
      </c>
      <c r="C95" s="7" t="s">
        <v>108</v>
      </c>
      <c r="D95" s="6">
        <v>1.5</v>
      </c>
      <c r="E95" s="8">
        <v>46126.723719953705</v>
      </c>
      <c r="F95" s="2"/>
      <c r="G95" s="22"/>
      <c r="H95" s="22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6">
        <v>6.0</v>
      </c>
      <c r="C96" s="7" t="s">
        <v>108</v>
      </c>
      <c r="D96" s="6">
        <v>1.0</v>
      </c>
      <c r="E96" s="8">
        <v>46126.72382940972</v>
      </c>
      <c r="F96" s="2"/>
      <c r="G96" s="22"/>
      <c r="H96" s="22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6">
        <v>1.0</v>
      </c>
      <c r="C97" s="7" t="s">
        <v>109</v>
      </c>
      <c r="D97" s="6">
        <v>5.0</v>
      </c>
      <c r="E97" s="8">
        <v>46126.72554571759</v>
      </c>
      <c r="F97" s="2"/>
      <c r="G97" s="22"/>
      <c r="H97" s="22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6">
        <v>1.0</v>
      </c>
      <c r="C98" s="7" t="s">
        <v>110</v>
      </c>
      <c r="D98" s="6">
        <v>38.0</v>
      </c>
      <c r="E98" s="8">
        <v>46126.72624578704</v>
      </c>
      <c r="F98" s="2"/>
      <c r="G98" s="22"/>
      <c r="H98" s="22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6">
        <v>1.0</v>
      </c>
      <c r="C99" s="7" t="s">
        <v>111</v>
      </c>
      <c r="D99" s="6">
        <v>46.0</v>
      </c>
      <c r="E99" s="8">
        <v>46126.72642494213</v>
      </c>
      <c r="F99" s="2"/>
      <c r="G99" s="22"/>
      <c r="H99" s="22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6">
        <v>4.0</v>
      </c>
      <c r="C100" s="7" t="s">
        <v>112</v>
      </c>
      <c r="D100" s="6">
        <v>42.0</v>
      </c>
      <c r="E100" s="8">
        <v>46126.72704075232</v>
      </c>
      <c r="F100" s="2"/>
      <c r="G100" s="22"/>
      <c r="H100" s="22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6">
        <v>1.0</v>
      </c>
      <c r="C101" s="7" t="s">
        <v>113</v>
      </c>
      <c r="D101" s="6">
        <v>10.0</v>
      </c>
      <c r="E101" s="8">
        <v>46126.72713320602</v>
      </c>
      <c r="F101" s="2"/>
      <c r="G101" s="22"/>
      <c r="H101" s="22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6">
        <v>1.0</v>
      </c>
      <c r="C102" s="7" t="s">
        <v>114</v>
      </c>
      <c r="D102" s="6">
        <v>12.0</v>
      </c>
      <c r="E102" s="8">
        <v>46126.727221203706</v>
      </c>
      <c r="F102" s="2"/>
      <c r="G102" s="22"/>
      <c r="H102" s="22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6">
        <v>1.0</v>
      </c>
      <c r="C103" s="7" t="s">
        <v>115</v>
      </c>
      <c r="D103" s="6">
        <v>18.0</v>
      </c>
      <c r="E103" s="8">
        <v>46126.72731686343</v>
      </c>
      <c r="F103" s="2"/>
      <c r="G103" s="22"/>
      <c r="H103" s="22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6">
        <v>1.0</v>
      </c>
      <c r="C104" s="7" t="s">
        <v>116</v>
      </c>
      <c r="D104" s="6">
        <v>37.0</v>
      </c>
      <c r="E104" s="8">
        <v>46126.72739862269</v>
      </c>
      <c r="F104" s="2"/>
      <c r="G104" s="22"/>
      <c r="H104" s="22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6">
        <v>1.0</v>
      </c>
      <c r="C105" s="7" t="s">
        <v>117</v>
      </c>
      <c r="D105" s="6">
        <v>3.0</v>
      </c>
      <c r="E105" s="8">
        <v>46126.72747585648</v>
      </c>
      <c r="F105" s="2"/>
      <c r="G105" s="22"/>
      <c r="H105" s="22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6">
        <v>2.0</v>
      </c>
      <c r="C106" s="7" t="s">
        <v>118</v>
      </c>
      <c r="D106" s="6">
        <v>38.0</v>
      </c>
      <c r="E106" s="8">
        <v>46126.727549710646</v>
      </c>
      <c r="F106" s="2"/>
      <c r="G106" s="22"/>
      <c r="H106" s="22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6">
        <v>1.0</v>
      </c>
      <c r="C107" s="7" t="s">
        <v>119</v>
      </c>
      <c r="D107" s="6">
        <v>32.0</v>
      </c>
      <c r="E107" s="8">
        <v>46126.727638599536</v>
      </c>
      <c r="F107" s="2"/>
      <c r="G107" s="22"/>
      <c r="H107" s="22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6">
        <v>1.0</v>
      </c>
      <c r="C108" s="7" t="s">
        <v>120</v>
      </c>
      <c r="D108" s="6">
        <v>8.0</v>
      </c>
      <c r="E108" s="8">
        <v>46126.727743090276</v>
      </c>
      <c r="F108" s="2"/>
      <c r="G108" s="22"/>
      <c r="H108" s="22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6">
        <v>1.0</v>
      </c>
      <c r="C109" s="7" t="s">
        <v>121</v>
      </c>
      <c r="D109" s="6">
        <v>22.0</v>
      </c>
      <c r="E109" s="8">
        <v>46126.73435135417</v>
      </c>
      <c r="F109" s="2"/>
      <c r="G109" s="22"/>
      <c r="H109" s="22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6">
        <v>1.0</v>
      </c>
      <c r="C110" s="7" t="s">
        <v>122</v>
      </c>
      <c r="D110" s="6">
        <v>20.0</v>
      </c>
      <c r="E110" s="8">
        <v>46126.74077635417</v>
      </c>
      <c r="F110" s="2"/>
      <c r="G110" s="22"/>
      <c r="H110" s="22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6">
        <v>1.0</v>
      </c>
      <c r="C111" s="7" t="s">
        <v>123</v>
      </c>
      <c r="D111" s="6">
        <v>120.0</v>
      </c>
      <c r="E111" s="8">
        <v>46126.75149515046</v>
      </c>
      <c r="F111" s="2"/>
      <c r="G111" s="22"/>
      <c r="H111" s="22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6">
        <v>1.0</v>
      </c>
      <c r="C112" s="7" t="s">
        <v>124</v>
      </c>
      <c r="D112" s="6">
        <v>8.0</v>
      </c>
      <c r="E112" s="8">
        <v>46126.75480599537</v>
      </c>
      <c r="F112" s="2"/>
      <c r="G112" s="22"/>
      <c r="H112" s="22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6">
        <v>1.0</v>
      </c>
      <c r="C113" s="7" t="s">
        <v>69</v>
      </c>
      <c r="D113" s="6">
        <v>1.0</v>
      </c>
      <c r="E113" s="8">
        <v>46126.75486346065</v>
      </c>
      <c r="F113" s="2"/>
      <c r="G113" s="22"/>
      <c r="H113" s="22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6">
        <v>12.0</v>
      </c>
      <c r="C114" s="7" t="s">
        <v>125</v>
      </c>
      <c r="D114" s="6">
        <v>2.0</v>
      </c>
      <c r="E114" s="8">
        <v>46126.75492225694</v>
      </c>
      <c r="F114" s="2"/>
      <c r="G114" s="22"/>
      <c r="H114" s="22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6">
        <v>12.0</v>
      </c>
      <c r="C115" s="7" t="s">
        <v>126</v>
      </c>
      <c r="D115" s="6">
        <v>2.0</v>
      </c>
      <c r="E115" s="8">
        <v>46126.75511386574</v>
      </c>
      <c r="F115" s="2"/>
      <c r="G115" s="22"/>
      <c r="H115" s="22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6"/>
      <c r="C116" s="7" t="s">
        <v>127</v>
      </c>
      <c r="D116" s="6">
        <v>230.0</v>
      </c>
      <c r="E116" s="8">
        <v>46126.7776627662</v>
      </c>
      <c r="F116" s="2"/>
      <c r="G116" s="22"/>
      <c r="H116" s="22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6">
        <v>1.0</v>
      </c>
      <c r="C117" s="7" t="s">
        <v>128</v>
      </c>
      <c r="D117" s="6">
        <v>22.0</v>
      </c>
      <c r="E117" s="8">
        <v>46126.75913283565</v>
      </c>
      <c r="F117" s="2"/>
      <c r="G117" s="22"/>
      <c r="H117" s="22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4"/>
      <c r="D118" s="25"/>
      <c r="E118" s="23"/>
      <c r="F118" s="2"/>
      <c r="G118" s="22"/>
      <c r="H118" s="22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4"/>
      <c r="D119" s="25"/>
      <c r="E119" s="23"/>
      <c r="F119" s="2"/>
      <c r="G119" s="22"/>
      <c r="H119" s="22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4"/>
      <c r="D120" s="25"/>
      <c r="E120" s="23"/>
      <c r="F120" s="2"/>
      <c r="G120" s="22"/>
      <c r="H120" s="22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4"/>
      <c r="D121" s="25"/>
      <c r="E121" s="23"/>
      <c r="F121" s="2"/>
      <c r="G121" s="22"/>
      <c r="H121" s="22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4"/>
      <c r="D122" s="25"/>
      <c r="E122" s="23"/>
      <c r="F122" s="2"/>
      <c r="G122" s="22"/>
      <c r="H122" s="22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4"/>
      <c r="D123" s="25"/>
      <c r="E123" s="23"/>
      <c r="F123" s="2"/>
      <c r="G123" s="22"/>
      <c r="H123" s="22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4"/>
      <c r="D124" s="25"/>
      <c r="E124" s="23"/>
      <c r="F124" s="2"/>
      <c r="G124" s="22"/>
      <c r="H124" s="22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4"/>
      <c r="D125" s="25"/>
      <c r="E125" s="23"/>
      <c r="F125" s="2"/>
      <c r="G125" s="22"/>
      <c r="H125" s="22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4"/>
      <c r="D126" s="25"/>
      <c r="E126" s="23"/>
      <c r="F126" s="2"/>
      <c r="G126" s="22"/>
      <c r="H126" s="22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4"/>
      <c r="D127" s="25"/>
      <c r="E127" s="23"/>
      <c r="F127" s="2"/>
      <c r="G127" s="22"/>
      <c r="H127" s="22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4"/>
      <c r="D128" s="25"/>
      <c r="E128" s="23"/>
      <c r="F128" s="2"/>
      <c r="G128" s="22"/>
      <c r="H128" s="22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4"/>
      <c r="D129" s="25"/>
      <c r="E129" s="23"/>
      <c r="F129" s="2"/>
      <c r="G129" s="22"/>
      <c r="H129" s="22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4"/>
      <c r="D130" s="25"/>
      <c r="E130" s="23"/>
      <c r="F130" s="2"/>
      <c r="G130" s="22"/>
      <c r="H130" s="22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4"/>
      <c r="D131" s="25"/>
      <c r="E131" s="23"/>
      <c r="F131" s="2"/>
      <c r="G131" s="22"/>
      <c r="H131" s="22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4"/>
      <c r="D132" s="25"/>
      <c r="E132" s="23"/>
      <c r="F132" s="2"/>
      <c r="G132" s="22"/>
      <c r="H132" s="22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4"/>
      <c r="D133" s="25"/>
      <c r="E133" s="23"/>
      <c r="F133" s="2"/>
      <c r="G133" s="22"/>
      <c r="H133" s="22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4"/>
      <c r="D134" s="25"/>
      <c r="E134" s="23"/>
      <c r="F134" s="2"/>
      <c r="G134" s="22"/>
      <c r="H134" s="22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4"/>
      <c r="D135" s="25"/>
      <c r="E135" s="23"/>
      <c r="F135" s="2"/>
      <c r="G135" s="22"/>
      <c r="H135" s="22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4"/>
      <c r="D136" s="25"/>
      <c r="E136" s="23"/>
      <c r="F136" s="2"/>
      <c r="G136" s="22"/>
      <c r="H136" s="22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4"/>
      <c r="D137" s="25"/>
      <c r="E137" s="23"/>
      <c r="F137" s="2"/>
      <c r="G137" s="22"/>
      <c r="H137" s="22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4"/>
      <c r="D138" s="25"/>
      <c r="E138" s="23"/>
      <c r="F138" s="2"/>
      <c r="G138" s="22"/>
      <c r="H138" s="22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4"/>
      <c r="D139" s="25"/>
      <c r="E139" s="23"/>
      <c r="F139" s="2"/>
      <c r="G139" s="22"/>
      <c r="H139" s="22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4"/>
      <c r="D140" s="25"/>
      <c r="E140" s="23"/>
      <c r="F140" s="2"/>
      <c r="G140" s="22"/>
      <c r="H140" s="22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4"/>
      <c r="D141" s="25"/>
      <c r="E141" s="23"/>
      <c r="F141" s="2"/>
      <c r="G141" s="22"/>
      <c r="H141" s="22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4"/>
      <c r="D142" s="25"/>
      <c r="E142" s="23"/>
      <c r="F142" s="2"/>
      <c r="G142" s="22"/>
      <c r="H142" s="22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4"/>
      <c r="D143" s="25"/>
      <c r="E143" s="23"/>
      <c r="F143" s="2"/>
      <c r="G143" s="22"/>
      <c r="H143" s="22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4"/>
      <c r="D144" s="25"/>
      <c r="E144" s="23"/>
      <c r="F144" s="2"/>
      <c r="G144" s="22"/>
      <c r="H144" s="22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4"/>
      <c r="D145" s="25"/>
      <c r="E145" s="23"/>
      <c r="F145" s="2"/>
      <c r="G145" s="22"/>
      <c r="H145" s="22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4"/>
      <c r="D146" s="25"/>
      <c r="E146" s="23"/>
      <c r="F146" s="2"/>
      <c r="G146" s="22"/>
      <c r="H146" s="22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4"/>
      <c r="D147" s="25"/>
      <c r="E147" s="23"/>
      <c r="F147" s="2"/>
      <c r="G147" s="22"/>
      <c r="H147" s="22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4"/>
      <c r="D148" s="25"/>
      <c r="E148" s="23"/>
      <c r="F148" s="2"/>
      <c r="G148" s="22"/>
      <c r="H148" s="22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4"/>
      <c r="D149" s="25"/>
      <c r="E149" s="23"/>
      <c r="F149" s="2"/>
      <c r="G149" s="22"/>
      <c r="H149" s="22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4"/>
      <c r="D150" s="25"/>
      <c r="E150" s="23"/>
      <c r="F150" s="2"/>
      <c r="G150" s="22"/>
      <c r="H150" s="22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4"/>
      <c r="D151" s="25"/>
      <c r="E151" s="23"/>
      <c r="F151" s="2"/>
      <c r="G151" s="22"/>
      <c r="H151" s="22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4"/>
      <c r="D152" s="25"/>
      <c r="E152" s="23"/>
      <c r="F152" s="2"/>
      <c r="G152" s="22"/>
      <c r="H152" s="22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4"/>
      <c r="D153" s="25"/>
      <c r="E153" s="23"/>
      <c r="F153" s="2"/>
      <c r="G153" s="22"/>
      <c r="H153" s="22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4"/>
      <c r="D154" s="25"/>
      <c r="E154" s="23"/>
      <c r="F154" s="2"/>
      <c r="G154" s="22"/>
      <c r="H154" s="22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4"/>
      <c r="D155" s="25"/>
      <c r="E155" s="23"/>
      <c r="F155" s="2"/>
      <c r="G155" s="22"/>
      <c r="H155" s="22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4"/>
      <c r="D156" s="25"/>
      <c r="E156" s="23"/>
      <c r="F156" s="2"/>
      <c r="G156" s="22"/>
      <c r="H156" s="22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4"/>
      <c r="D157" s="25"/>
      <c r="E157" s="23"/>
      <c r="F157" s="2"/>
      <c r="G157" s="22"/>
      <c r="H157" s="22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4"/>
      <c r="D158" s="25"/>
      <c r="E158" s="23"/>
      <c r="F158" s="2"/>
      <c r="G158" s="22"/>
      <c r="H158" s="22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4"/>
      <c r="D159" s="25"/>
      <c r="E159" s="23"/>
      <c r="F159" s="2"/>
      <c r="G159" s="22"/>
      <c r="H159" s="22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4"/>
      <c r="D160" s="25"/>
      <c r="E160" s="23"/>
      <c r="F160" s="2"/>
      <c r="G160" s="22"/>
      <c r="H160" s="22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4"/>
      <c r="D161" s="25"/>
      <c r="E161" s="23"/>
      <c r="F161" s="2"/>
      <c r="G161" s="22"/>
      <c r="H161" s="22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4"/>
      <c r="D162" s="25"/>
      <c r="E162" s="23"/>
      <c r="F162" s="2"/>
      <c r="G162" s="22"/>
      <c r="H162" s="22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4"/>
      <c r="D163" s="25"/>
      <c r="E163" s="23"/>
      <c r="F163" s="2"/>
      <c r="G163" s="22"/>
      <c r="H163" s="22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4"/>
      <c r="D164" s="25"/>
      <c r="E164" s="23"/>
      <c r="F164" s="2"/>
      <c r="G164" s="22"/>
      <c r="H164" s="22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4"/>
      <c r="D165" s="25"/>
      <c r="E165" s="23"/>
      <c r="F165" s="2"/>
      <c r="G165" s="22"/>
      <c r="H165" s="22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4"/>
      <c r="D166" s="25"/>
      <c r="E166" s="23"/>
      <c r="F166" s="2"/>
      <c r="G166" s="22"/>
      <c r="H166" s="22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4"/>
      <c r="D167" s="25"/>
      <c r="E167" s="23"/>
      <c r="F167" s="2"/>
      <c r="G167" s="22"/>
      <c r="H167" s="22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4"/>
      <c r="D168" s="25"/>
      <c r="E168" s="23"/>
      <c r="F168" s="2"/>
      <c r="G168" s="22"/>
      <c r="H168" s="22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4"/>
      <c r="D169" s="25"/>
      <c r="E169" s="23"/>
      <c r="F169" s="2"/>
      <c r="G169" s="22"/>
      <c r="H169" s="22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4"/>
      <c r="D170" s="25"/>
      <c r="E170" s="23"/>
      <c r="F170" s="2"/>
      <c r="G170" s="22"/>
      <c r="H170" s="22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4"/>
      <c r="D171" s="25"/>
      <c r="E171" s="23"/>
      <c r="F171" s="2"/>
      <c r="G171" s="22"/>
      <c r="H171" s="22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4"/>
      <c r="D172" s="25"/>
      <c r="E172" s="23"/>
      <c r="F172" s="2"/>
      <c r="G172" s="22"/>
      <c r="H172" s="22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4"/>
      <c r="D173" s="25"/>
      <c r="E173" s="23"/>
      <c r="F173" s="2"/>
      <c r="G173" s="22"/>
      <c r="H173" s="22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4"/>
      <c r="D174" s="25"/>
      <c r="E174" s="23"/>
      <c r="F174" s="2"/>
      <c r="G174" s="22"/>
      <c r="H174" s="22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4"/>
      <c r="D175" s="25"/>
      <c r="E175" s="23"/>
      <c r="F175" s="2"/>
      <c r="G175" s="22"/>
      <c r="H175" s="22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4"/>
      <c r="D176" s="25"/>
      <c r="E176" s="23"/>
      <c r="F176" s="2"/>
      <c r="G176" s="22"/>
      <c r="H176" s="22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4"/>
      <c r="D177" s="25"/>
      <c r="E177" s="23"/>
      <c r="F177" s="2"/>
      <c r="G177" s="22"/>
      <c r="H177" s="22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4"/>
      <c r="D178" s="25"/>
      <c r="E178" s="23"/>
      <c r="F178" s="2"/>
      <c r="G178" s="22"/>
      <c r="H178" s="22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4"/>
      <c r="D179" s="25"/>
      <c r="E179" s="23"/>
      <c r="F179" s="2"/>
      <c r="G179" s="22"/>
      <c r="H179" s="22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4"/>
      <c r="D180" s="25"/>
      <c r="E180" s="23"/>
      <c r="F180" s="2"/>
      <c r="G180" s="22"/>
      <c r="H180" s="22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4"/>
      <c r="D181" s="25"/>
      <c r="E181" s="23"/>
      <c r="F181" s="2"/>
      <c r="G181" s="22"/>
      <c r="H181" s="22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4"/>
      <c r="D182" s="25"/>
      <c r="E182" s="23"/>
      <c r="F182" s="2"/>
      <c r="G182" s="22"/>
      <c r="H182" s="22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4"/>
      <c r="D183" s="25"/>
      <c r="E183" s="23"/>
      <c r="F183" s="2"/>
      <c r="G183" s="22"/>
      <c r="H183" s="22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4"/>
      <c r="D184" s="25"/>
      <c r="E184" s="23"/>
      <c r="F184" s="2"/>
      <c r="G184" s="22"/>
      <c r="H184" s="22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4"/>
      <c r="D185" s="25"/>
      <c r="E185" s="23"/>
      <c r="F185" s="2"/>
      <c r="G185" s="22"/>
      <c r="H185" s="22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4"/>
      <c r="D186" s="25"/>
      <c r="E186" s="23"/>
      <c r="F186" s="2"/>
      <c r="G186" s="22"/>
      <c r="H186" s="22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4"/>
      <c r="D187" s="25"/>
      <c r="E187" s="23"/>
      <c r="F187" s="2"/>
      <c r="G187" s="22"/>
      <c r="H187" s="22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4"/>
      <c r="D188" s="25"/>
      <c r="E188" s="23"/>
      <c r="F188" s="2"/>
      <c r="G188" s="22"/>
      <c r="H188" s="22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4"/>
      <c r="D189" s="25"/>
      <c r="E189" s="23"/>
      <c r="F189" s="2"/>
      <c r="G189" s="22"/>
      <c r="H189" s="22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4"/>
      <c r="D190" s="25"/>
      <c r="E190" s="23"/>
      <c r="F190" s="2"/>
      <c r="G190" s="22"/>
      <c r="H190" s="22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4"/>
      <c r="D191" s="25"/>
      <c r="E191" s="23"/>
      <c r="F191" s="2"/>
      <c r="G191" s="22"/>
      <c r="H191" s="22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4"/>
      <c r="D192" s="25"/>
      <c r="E192" s="23"/>
      <c r="F192" s="2"/>
      <c r="G192" s="22"/>
      <c r="H192" s="22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4"/>
      <c r="D193" s="25"/>
      <c r="E193" s="23"/>
      <c r="F193" s="2"/>
      <c r="G193" s="22"/>
      <c r="H193" s="22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4"/>
      <c r="D194" s="25"/>
      <c r="E194" s="23"/>
      <c r="F194" s="2"/>
      <c r="G194" s="22"/>
      <c r="H194" s="22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4"/>
      <c r="D195" s="25"/>
      <c r="E195" s="23"/>
      <c r="F195" s="2"/>
      <c r="G195" s="22"/>
      <c r="H195" s="22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4"/>
      <c r="D196" s="25"/>
      <c r="E196" s="23"/>
      <c r="F196" s="2"/>
      <c r="G196" s="22"/>
      <c r="H196" s="22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4"/>
      <c r="D197" s="25"/>
      <c r="E197" s="23"/>
      <c r="F197" s="2"/>
      <c r="G197" s="22"/>
      <c r="H197" s="22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4"/>
      <c r="D198" s="25"/>
      <c r="E198" s="23"/>
      <c r="F198" s="2"/>
      <c r="G198" s="22"/>
      <c r="H198" s="22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4"/>
      <c r="D199" s="25"/>
      <c r="E199" s="23"/>
      <c r="F199" s="2"/>
      <c r="G199" s="22"/>
      <c r="H199" s="22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4"/>
      <c r="D200" s="25"/>
      <c r="E200" s="23"/>
      <c r="F200" s="2"/>
      <c r="G200" s="22"/>
      <c r="H200" s="22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4"/>
      <c r="D201" s="25"/>
      <c r="E201" s="23"/>
      <c r="F201" s="2"/>
      <c r="G201" s="22"/>
      <c r="H201" s="22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4"/>
      <c r="D202" s="25"/>
      <c r="E202" s="23"/>
      <c r="F202" s="2"/>
      <c r="G202" s="22"/>
      <c r="H202" s="22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4"/>
      <c r="D203" s="25"/>
      <c r="E203" s="23"/>
      <c r="F203" s="2"/>
      <c r="G203" s="22"/>
      <c r="H203" s="22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4"/>
      <c r="D204" s="25"/>
      <c r="E204" s="23"/>
      <c r="F204" s="2"/>
      <c r="G204" s="22"/>
      <c r="H204" s="22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4"/>
      <c r="D205" s="25"/>
      <c r="E205" s="23"/>
      <c r="F205" s="2"/>
      <c r="G205" s="22"/>
      <c r="H205" s="22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4"/>
      <c r="D206" s="25"/>
      <c r="E206" s="23"/>
      <c r="F206" s="2"/>
      <c r="G206" s="22"/>
      <c r="H206" s="22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4"/>
      <c r="D207" s="25"/>
      <c r="E207" s="23"/>
      <c r="F207" s="2"/>
      <c r="G207" s="22"/>
      <c r="H207" s="22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4"/>
      <c r="D208" s="25"/>
      <c r="E208" s="23"/>
      <c r="F208" s="2"/>
      <c r="G208" s="22"/>
      <c r="H208" s="22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4"/>
      <c r="D209" s="25"/>
      <c r="E209" s="23"/>
      <c r="F209" s="2"/>
      <c r="G209" s="22"/>
      <c r="H209" s="22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4"/>
      <c r="D210" s="25"/>
      <c r="E210" s="23"/>
      <c r="F210" s="2"/>
      <c r="G210" s="22"/>
      <c r="H210" s="22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4"/>
      <c r="D211" s="25"/>
      <c r="E211" s="23"/>
      <c r="F211" s="2"/>
      <c r="G211" s="22"/>
      <c r="H211" s="22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4"/>
      <c r="D212" s="25"/>
      <c r="E212" s="23"/>
      <c r="F212" s="2"/>
      <c r="G212" s="22"/>
      <c r="H212" s="22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4"/>
      <c r="D213" s="25"/>
      <c r="E213" s="23"/>
      <c r="F213" s="2"/>
      <c r="G213" s="22"/>
      <c r="H213" s="22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4"/>
      <c r="D214" s="25"/>
      <c r="E214" s="23"/>
      <c r="F214" s="2"/>
      <c r="G214" s="22"/>
      <c r="H214" s="22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4"/>
      <c r="D215" s="25"/>
      <c r="E215" s="23"/>
      <c r="F215" s="2"/>
      <c r="G215" s="22"/>
      <c r="H215" s="22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4"/>
      <c r="D216" s="25"/>
      <c r="E216" s="23"/>
      <c r="F216" s="2"/>
      <c r="G216" s="22"/>
      <c r="H216" s="22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4"/>
      <c r="D217" s="25"/>
      <c r="E217" s="23"/>
      <c r="F217" s="2"/>
      <c r="G217" s="22"/>
      <c r="H217" s="22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4"/>
      <c r="D218" s="25"/>
      <c r="E218" s="23"/>
      <c r="F218" s="2"/>
      <c r="G218" s="22"/>
      <c r="H218" s="22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4"/>
      <c r="D219" s="25"/>
      <c r="E219" s="23"/>
      <c r="F219" s="2"/>
      <c r="G219" s="22"/>
      <c r="H219" s="22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4"/>
      <c r="D220" s="25"/>
      <c r="E220" s="23"/>
      <c r="F220" s="2"/>
      <c r="G220" s="22"/>
      <c r="H220" s="22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4"/>
      <c r="D221" s="25"/>
      <c r="E221" s="23"/>
      <c r="F221" s="2"/>
      <c r="G221" s="22"/>
      <c r="H221" s="22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4"/>
      <c r="D222" s="25"/>
      <c r="E222" s="23"/>
      <c r="F222" s="2"/>
      <c r="G222" s="22"/>
      <c r="H222" s="22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4"/>
      <c r="D223" s="25"/>
      <c r="E223" s="23"/>
      <c r="F223" s="2"/>
      <c r="G223" s="22"/>
      <c r="H223" s="22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4"/>
      <c r="D224" s="25"/>
      <c r="E224" s="23"/>
      <c r="F224" s="2"/>
      <c r="G224" s="22"/>
      <c r="H224" s="22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4"/>
      <c r="D225" s="25"/>
      <c r="E225" s="23"/>
      <c r="F225" s="2"/>
      <c r="G225" s="22"/>
      <c r="H225" s="22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4"/>
      <c r="D226" s="25"/>
      <c r="E226" s="23"/>
      <c r="F226" s="2"/>
      <c r="G226" s="22"/>
      <c r="H226" s="22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4"/>
      <c r="D227" s="25"/>
      <c r="E227" s="23"/>
      <c r="F227" s="2"/>
      <c r="G227" s="22"/>
      <c r="H227" s="22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4"/>
      <c r="D228" s="25"/>
      <c r="E228" s="23"/>
      <c r="F228" s="2"/>
      <c r="G228" s="22"/>
      <c r="H228" s="22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4"/>
      <c r="D229" s="25"/>
      <c r="E229" s="23"/>
      <c r="F229" s="2"/>
      <c r="G229" s="22"/>
      <c r="H229" s="22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4"/>
      <c r="D230" s="25"/>
      <c r="E230" s="23"/>
      <c r="F230" s="2"/>
      <c r="G230" s="22"/>
      <c r="H230" s="22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4"/>
      <c r="D231" s="25"/>
      <c r="E231" s="23"/>
      <c r="F231" s="2"/>
      <c r="G231" s="22"/>
      <c r="H231" s="22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4"/>
      <c r="D232" s="25"/>
      <c r="E232" s="23"/>
      <c r="F232" s="2"/>
      <c r="G232" s="22"/>
      <c r="H232" s="22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4"/>
      <c r="D233" s="25"/>
      <c r="E233" s="23"/>
      <c r="F233" s="2"/>
      <c r="G233" s="22"/>
      <c r="H233" s="22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4"/>
      <c r="D234" s="25"/>
      <c r="E234" s="23"/>
      <c r="F234" s="2"/>
      <c r="G234" s="22"/>
      <c r="H234" s="22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4"/>
      <c r="D235" s="25"/>
      <c r="E235" s="23"/>
      <c r="F235" s="2"/>
      <c r="G235" s="22"/>
      <c r="H235" s="22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4"/>
      <c r="D236" s="25"/>
      <c r="E236" s="23"/>
      <c r="F236" s="2"/>
      <c r="G236" s="22"/>
      <c r="H236" s="22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4"/>
      <c r="D237" s="25"/>
      <c r="E237" s="23"/>
      <c r="F237" s="2"/>
      <c r="G237" s="22"/>
      <c r="H237" s="22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4"/>
      <c r="D238" s="25"/>
      <c r="E238" s="23"/>
      <c r="F238" s="2"/>
      <c r="G238" s="22"/>
      <c r="H238" s="22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4"/>
      <c r="D239" s="25"/>
      <c r="E239" s="23"/>
      <c r="F239" s="2"/>
      <c r="G239" s="22"/>
      <c r="H239" s="22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4"/>
      <c r="D240" s="25"/>
      <c r="E240" s="23"/>
      <c r="F240" s="2"/>
      <c r="G240" s="22"/>
      <c r="H240" s="22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4"/>
      <c r="D241" s="25"/>
      <c r="E241" s="23"/>
      <c r="F241" s="2"/>
      <c r="G241" s="22"/>
      <c r="H241" s="22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4"/>
      <c r="D242" s="25"/>
      <c r="E242" s="23"/>
      <c r="F242" s="2"/>
      <c r="G242" s="22"/>
      <c r="H242" s="22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4"/>
      <c r="D243" s="25"/>
      <c r="E243" s="23"/>
      <c r="F243" s="2"/>
      <c r="G243" s="22"/>
      <c r="H243" s="22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4"/>
      <c r="D244" s="25"/>
      <c r="E244" s="23"/>
      <c r="F244" s="2"/>
      <c r="G244" s="22"/>
      <c r="H244" s="22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4"/>
      <c r="D245" s="25"/>
      <c r="E245" s="23"/>
      <c r="F245" s="2"/>
      <c r="G245" s="22"/>
      <c r="H245" s="22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4"/>
      <c r="D246" s="25"/>
      <c r="E246" s="23"/>
      <c r="F246" s="2"/>
      <c r="G246" s="22"/>
      <c r="H246" s="22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4"/>
      <c r="D247" s="25"/>
      <c r="E247" s="23"/>
      <c r="F247" s="2"/>
      <c r="G247" s="22"/>
      <c r="H247" s="22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4"/>
      <c r="D248" s="25"/>
      <c r="E248" s="23"/>
      <c r="F248" s="2"/>
      <c r="G248" s="22"/>
      <c r="H248" s="22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4"/>
      <c r="D249" s="25"/>
      <c r="E249" s="23"/>
      <c r="F249" s="2"/>
      <c r="G249" s="22"/>
      <c r="H249" s="22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4"/>
      <c r="D250" s="25"/>
      <c r="E250" s="23"/>
      <c r="F250" s="2"/>
      <c r="G250" s="22"/>
      <c r="H250" s="22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4"/>
      <c r="D251" s="25"/>
      <c r="E251" s="23"/>
      <c r="F251" s="2"/>
      <c r="G251" s="22"/>
      <c r="H251" s="22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4"/>
      <c r="D252" s="25"/>
      <c r="E252" s="23"/>
      <c r="F252" s="2"/>
      <c r="G252" s="22"/>
      <c r="H252" s="22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4"/>
      <c r="D253" s="25"/>
      <c r="E253" s="23"/>
      <c r="F253" s="2"/>
      <c r="G253" s="22"/>
      <c r="H253" s="22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4"/>
      <c r="D254" s="25"/>
      <c r="E254" s="23"/>
      <c r="F254" s="2"/>
      <c r="G254" s="22"/>
      <c r="H254" s="22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4"/>
      <c r="D255" s="25"/>
      <c r="E255" s="23"/>
      <c r="F255" s="2"/>
      <c r="G255" s="22"/>
      <c r="H255" s="22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4"/>
      <c r="D256" s="25"/>
      <c r="E256" s="23"/>
      <c r="F256" s="2"/>
      <c r="G256" s="22"/>
      <c r="H256" s="22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4"/>
      <c r="D257" s="25"/>
      <c r="E257" s="23"/>
      <c r="F257" s="2"/>
      <c r="G257" s="22"/>
      <c r="H257" s="22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4"/>
      <c r="D258" s="25"/>
      <c r="E258" s="23"/>
      <c r="F258" s="2"/>
      <c r="G258" s="22"/>
      <c r="H258" s="22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4"/>
      <c r="D259" s="25"/>
      <c r="E259" s="23"/>
      <c r="F259" s="2"/>
      <c r="G259" s="22"/>
      <c r="H259" s="22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4"/>
      <c r="D260" s="25"/>
      <c r="E260" s="23"/>
      <c r="F260" s="2"/>
      <c r="G260" s="22"/>
      <c r="H260" s="22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4"/>
      <c r="D261" s="25"/>
      <c r="E261" s="23"/>
      <c r="F261" s="2"/>
      <c r="G261" s="22"/>
      <c r="H261" s="22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4"/>
      <c r="D262" s="25"/>
      <c r="E262" s="23"/>
      <c r="F262" s="2"/>
      <c r="G262" s="22"/>
      <c r="H262" s="22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4"/>
      <c r="D263" s="25"/>
      <c r="E263" s="23"/>
      <c r="F263" s="2"/>
      <c r="G263" s="22"/>
      <c r="H263" s="22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4"/>
      <c r="D264" s="25"/>
      <c r="E264" s="23"/>
      <c r="F264" s="2"/>
      <c r="G264" s="22"/>
      <c r="H264" s="22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4"/>
      <c r="D265" s="25"/>
      <c r="E265" s="23"/>
      <c r="F265" s="2"/>
      <c r="G265" s="22"/>
      <c r="H265" s="22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4"/>
      <c r="D266" s="25"/>
      <c r="E266" s="23"/>
      <c r="F266" s="2"/>
      <c r="G266" s="22"/>
      <c r="H266" s="22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4"/>
      <c r="D267" s="25"/>
      <c r="E267" s="23"/>
      <c r="F267" s="2"/>
      <c r="G267" s="22"/>
      <c r="H267" s="22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4"/>
      <c r="D268" s="25"/>
      <c r="E268" s="23"/>
      <c r="F268" s="2"/>
      <c r="G268" s="22"/>
      <c r="H268" s="22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4"/>
      <c r="D269" s="25"/>
      <c r="E269" s="23"/>
      <c r="F269" s="2"/>
      <c r="G269" s="22"/>
      <c r="H269" s="22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4"/>
      <c r="D270" s="25"/>
      <c r="E270" s="23"/>
      <c r="F270" s="2"/>
      <c r="G270" s="22"/>
      <c r="H270" s="22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4"/>
      <c r="D271" s="25"/>
      <c r="E271" s="23"/>
      <c r="F271" s="2"/>
      <c r="G271" s="22"/>
      <c r="H271" s="22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4"/>
      <c r="D272" s="25"/>
      <c r="E272" s="23"/>
      <c r="F272" s="2"/>
      <c r="G272" s="22"/>
      <c r="H272" s="22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4"/>
      <c r="D273" s="25"/>
      <c r="E273" s="23"/>
      <c r="F273" s="2"/>
      <c r="G273" s="22"/>
      <c r="H273" s="22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4"/>
      <c r="D274" s="25"/>
      <c r="E274" s="23"/>
      <c r="F274" s="2"/>
      <c r="G274" s="22"/>
      <c r="H274" s="22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4"/>
      <c r="D275" s="25"/>
      <c r="E275" s="23"/>
      <c r="F275" s="2"/>
      <c r="G275" s="22"/>
      <c r="H275" s="22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4"/>
      <c r="D276" s="25"/>
      <c r="E276" s="23"/>
      <c r="F276" s="2"/>
      <c r="G276" s="22"/>
      <c r="H276" s="22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4"/>
      <c r="D277" s="25"/>
      <c r="E277" s="23"/>
      <c r="F277" s="2"/>
      <c r="G277" s="22"/>
      <c r="H277" s="22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4"/>
      <c r="D278" s="25"/>
      <c r="E278" s="23"/>
      <c r="F278" s="2"/>
      <c r="G278" s="22"/>
      <c r="H278" s="22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4"/>
      <c r="D279" s="25"/>
      <c r="E279" s="23"/>
      <c r="F279" s="2"/>
      <c r="G279" s="22"/>
      <c r="H279" s="22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4"/>
      <c r="D280" s="25"/>
      <c r="E280" s="23"/>
      <c r="F280" s="2"/>
      <c r="G280" s="22"/>
      <c r="H280" s="22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4"/>
      <c r="D281" s="25"/>
      <c r="E281" s="23"/>
      <c r="F281" s="2"/>
      <c r="G281" s="22"/>
      <c r="H281" s="22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4"/>
      <c r="D282" s="25"/>
      <c r="E282" s="23"/>
      <c r="F282" s="2"/>
      <c r="G282" s="22"/>
      <c r="H282" s="22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4"/>
      <c r="D283" s="25"/>
      <c r="E283" s="23"/>
      <c r="F283" s="2"/>
      <c r="G283" s="22"/>
      <c r="H283" s="22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4"/>
      <c r="D284" s="25"/>
      <c r="E284" s="23"/>
      <c r="F284" s="2"/>
      <c r="G284" s="22"/>
      <c r="H284" s="22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4"/>
      <c r="D285" s="25"/>
      <c r="E285" s="23"/>
      <c r="F285" s="2"/>
      <c r="G285" s="22"/>
      <c r="H285" s="22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4"/>
      <c r="D286" s="25"/>
      <c r="E286" s="23"/>
      <c r="F286" s="2"/>
      <c r="G286" s="22"/>
      <c r="H286" s="22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4"/>
      <c r="D287" s="25"/>
      <c r="E287" s="23"/>
      <c r="F287" s="2"/>
      <c r="G287" s="22"/>
      <c r="H287" s="22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4"/>
      <c r="D288" s="25"/>
      <c r="E288" s="23"/>
      <c r="F288" s="2"/>
      <c r="G288" s="22"/>
      <c r="H288" s="22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4"/>
      <c r="D289" s="25"/>
      <c r="E289" s="23"/>
      <c r="F289" s="2"/>
      <c r="G289" s="22"/>
      <c r="H289" s="22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4"/>
      <c r="D290" s="25"/>
      <c r="E290" s="23"/>
      <c r="F290" s="2"/>
      <c r="G290" s="22"/>
      <c r="H290" s="22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4"/>
      <c r="D291" s="25"/>
      <c r="E291" s="23"/>
      <c r="F291" s="2"/>
      <c r="G291" s="22"/>
      <c r="H291" s="22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4"/>
      <c r="D292" s="25"/>
      <c r="E292" s="23"/>
      <c r="F292" s="2"/>
      <c r="G292" s="22"/>
      <c r="H292" s="22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4"/>
      <c r="D293" s="25"/>
      <c r="E293" s="23"/>
      <c r="F293" s="2"/>
      <c r="G293" s="22"/>
      <c r="H293" s="22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4"/>
      <c r="D294" s="25"/>
      <c r="E294" s="23"/>
      <c r="F294" s="2"/>
      <c r="G294" s="22"/>
      <c r="H294" s="22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4"/>
      <c r="D295" s="25"/>
      <c r="E295" s="23"/>
      <c r="F295" s="2"/>
      <c r="G295" s="22"/>
      <c r="H295" s="22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4"/>
      <c r="D296" s="25"/>
      <c r="E296" s="23"/>
      <c r="F296" s="2"/>
      <c r="G296" s="22"/>
      <c r="H296" s="22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4"/>
      <c r="D297" s="25"/>
      <c r="E297" s="23"/>
      <c r="F297" s="2"/>
      <c r="G297" s="22"/>
      <c r="H297" s="22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4"/>
      <c r="D298" s="25"/>
      <c r="E298" s="23"/>
      <c r="F298" s="2"/>
      <c r="G298" s="22"/>
      <c r="H298" s="22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4"/>
      <c r="D299" s="25"/>
      <c r="E299" s="23"/>
      <c r="F299" s="2"/>
      <c r="G299" s="22"/>
      <c r="H299" s="22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4"/>
      <c r="D300" s="25"/>
      <c r="E300" s="23"/>
      <c r="F300" s="2"/>
      <c r="G300" s="22"/>
      <c r="H300" s="22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4"/>
      <c r="D301" s="25"/>
      <c r="E301" s="23"/>
      <c r="F301" s="2"/>
      <c r="G301" s="22"/>
      <c r="H301" s="22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