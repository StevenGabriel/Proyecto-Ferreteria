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<sst xmlns="http://schemas.openxmlformats.org/spreadsheetml/2006/main" count="104" uniqueCount="103">
  <si>
    <t>HOJA DE CALCULO FERRETERIA</t>
  </si>
  <si>
    <t>CODIGO</t>
  </si>
  <si>
    <t>CANTIDAD</t>
  </si>
  <si>
    <t>DESCRIPCION</t>
  </si>
  <si>
    <t>TOTAL</t>
  </si>
  <si>
    <t>HORA</t>
  </si>
  <si>
    <t>CUADRAR</t>
  </si>
  <si>
    <t>broca irwin 6 concreto</t>
  </si>
  <si>
    <t>encastre 6 tr</t>
  </si>
  <si>
    <t>MONEDAS</t>
  </si>
  <si>
    <t>CAJA CHICA</t>
  </si>
  <si>
    <t>broca madera lara 3/8</t>
  </si>
  <si>
    <t>BILLETES 10-20</t>
  </si>
  <si>
    <t>TOTAL VENTAS DIA</t>
  </si>
  <si>
    <t>1kl</t>
  </si>
  <si>
    <t>alambre de amarre</t>
  </si>
  <si>
    <t>BILLETES 50-100-200</t>
  </si>
  <si>
    <t>AUMENTO DE DINERO</t>
  </si>
  <si>
    <t>manguera de inflador</t>
  </si>
  <si>
    <t>INGRESOS YAPE</t>
  </si>
  <si>
    <t>guantes truper</t>
  </si>
  <si>
    <t>INGRESOS TARJETA</t>
  </si>
  <si>
    <t>kl clavo belbra</t>
  </si>
  <si>
    <t>GASTOS VARIOS</t>
  </si>
  <si>
    <t>brocas 3 mm</t>
  </si>
  <si>
    <t>sierras nichol</t>
  </si>
  <si>
    <t>DINERO GANADO HOY:</t>
  </si>
  <si>
    <t>CANTIDAD DINERO CAJA:</t>
  </si>
  <si>
    <t>clavija</t>
  </si>
  <si>
    <t>bisagara 11/2</t>
  </si>
  <si>
    <t>lija</t>
  </si>
  <si>
    <t>pulpito</t>
  </si>
  <si>
    <t>15m</t>
  </si>
  <si>
    <t>manguera 1/2 corrugada</t>
  </si>
  <si>
    <t>flexo</t>
  </si>
  <si>
    <t>abrazadera 3/4</t>
  </si>
  <si>
    <t>YAPE MAMÁ</t>
  </si>
  <si>
    <t>YAPE PAPÁ</t>
  </si>
  <si>
    <t>1m</t>
  </si>
  <si>
    <t>estaño en hilo</t>
  </si>
  <si>
    <t>grifo 1/2 fv</t>
  </si>
  <si>
    <t>dado allem 12</t>
  </si>
  <si>
    <t>aerool negro mate</t>
  </si>
  <si>
    <t>aerosol negro brillo</t>
  </si>
  <si>
    <t>ramplu 6</t>
  </si>
  <si>
    <t>siliocna bronce</t>
  </si>
  <si>
    <t>disco flp</t>
  </si>
  <si>
    <t>disco galleta</t>
  </si>
  <si>
    <t>brazo ducha</t>
  </si>
  <si>
    <t>alicate de fuerza</t>
  </si>
  <si>
    <t>tornillo 6 x 3/4</t>
  </si>
  <si>
    <t>adapatador internet</t>
  </si>
  <si>
    <t>regleta de 60 cm</t>
  </si>
  <si>
    <t>disco depulir 4</t>
  </si>
  <si>
    <t>cinta vulcanizante five</t>
  </si>
  <si>
    <t xml:space="preserve">palos de escoba </t>
  </si>
  <si>
    <t>cepillo copa 4"</t>
  </si>
  <si>
    <t>escobilla de acero</t>
  </si>
  <si>
    <t>geomenbramas</t>
  </si>
  <si>
    <t>alicate de prec tolse</t>
  </si>
  <si>
    <t>plomada</t>
  </si>
  <si>
    <t>teflon</t>
  </si>
  <si>
    <t>thenne acrilico</t>
  </si>
  <si>
    <t>embudo pequeño</t>
  </si>
  <si>
    <t>embudo grande</t>
  </si>
  <si>
    <t>llave combinada 22</t>
  </si>
  <si>
    <t>guantes asatex</t>
  </si>
  <si>
    <t>taladro percutor truper</t>
  </si>
  <si>
    <t>broca tosen 14 mm</t>
  </si>
  <si>
    <t>m mangura nivel 1/2</t>
  </si>
  <si>
    <t>regleta shucjo</t>
  </si>
  <si>
    <t>m malla milimetria metal</t>
  </si>
  <si>
    <t>ISAGRAS Y TORNILLOS</t>
  </si>
  <si>
    <t xml:space="preserve">ESPIGAS </t>
  </si>
  <si>
    <t>M CAÑERIA</t>
  </si>
  <si>
    <t>ABRAZADERAS 2"</t>
  </si>
  <si>
    <t xml:space="preserve">CINTA TELA </t>
  </si>
  <si>
    <t>CAJA DE DISRIUSCION</t>
  </si>
  <si>
    <t>probador de voltage</t>
  </si>
  <si>
    <t xml:space="preserve">reversible </t>
  </si>
  <si>
    <t xml:space="preserve">TIJERA DE ACIACION </t>
  </si>
  <si>
    <t>SIERRA NICHOLSON</t>
  </si>
  <si>
    <t>MMANGURA FORTE</t>
  </si>
  <si>
    <t>ADALPTDRAD TRAMOTNA</t>
  </si>
  <si>
    <t>CARBON</t>
  </si>
  <si>
    <t>calibrador tr</t>
  </si>
  <si>
    <t>cinta ailante</t>
  </si>
  <si>
    <t>silicona trans sika</t>
  </si>
  <si>
    <t>recogedor de frutas</t>
  </si>
  <si>
    <t>exenciontelescopica 3 m atlas</t>
  </si>
  <si>
    <t>union patente 2 fg</t>
  </si>
  <si>
    <t>chip 5 x 50</t>
  </si>
  <si>
    <t>ramplu 8</t>
  </si>
  <si>
    <t>copresion</t>
  </si>
  <si>
    <t>tflon</t>
  </si>
  <si>
    <t xml:space="preserve">ramplus expansiocn </t>
  </si>
  <si>
    <t>carpicol</t>
  </si>
  <si>
    <t>silicon amer</t>
  </si>
  <si>
    <t>chicotillo coflexx 50 7/8</t>
  </si>
  <si>
    <t>2,5 mt</t>
  </si>
  <si>
    <t>manguera de 1/2</t>
  </si>
  <si>
    <t>gotta</t>
  </si>
  <si>
    <t>cautin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</si>
</sst>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7" fontId="5" numFmtId="0" xfId="0" applyAlignment="1" applyBorder="1" applyFill="1" applyFont="1">
      <alignment horizontal="center" readingOrder="0" shrinkToFit="0" vertical="center" wrapText="0"/>
    </xf>
    <xf borderId="1" fillId="8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40.0</v>
      </c>
      <c r="E8" s="8">
        <v>46108.353579560186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20.0</v>
      </c>
      <c r="E9" s="8">
        <v>46108.35370708333</v>
      </c>
      <c r="F9" s="2"/>
      <c r="G9" s="9" t="s">
        <v>9</v>
      </c>
      <c r="H9" s="10">
        <v>147.0</v>
      </c>
      <c r="I9" s="2"/>
      <c r="J9" s="9" t="s">
        <v>10</v>
      </c>
      <c r="K9" s="10">
        <v>602.0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35.0</v>
      </c>
      <c r="E10" s="8">
        <v>46108.353846122685</v>
      </c>
      <c r="F10" s="2"/>
      <c r="G10" s="9" t="s">
        <v>12</v>
      </c>
      <c r="H10" s="10">
        <v>800.0</v>
      </c>
      <c r="I10" s="2"/>
      <c r="J10" s="9" t="s">
        <v>13</v>
      </c>
      <c r="K10" s="11">
        <f>SUM(PRINCIPAL[TOTAL])</f>
        <v>9107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14</v>
      </c>
      <c r="C11" s="7" t="s">
        <v>15</v>
      </c>
      <c r="D11" s="6">
        <v>19.0</v>
      </c>
      <c r="E11" s="8">
        <v>46108.356959467594</v>
      </c>
      <c r="F11" s="2"/>
      <c r="G11" s="9" t="s">
        <v>16</v>
      </c>
      <c r="H11" s="10">
        <v>1350.0</v>
      </c>
      <c r="I11" s="2"/>
      <c r="J11" s="9" t="s">
        <v>17</v>
      </c>
      <c r="K11" s="10">
        <v>165.0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15.0</v>
      </c>
      <c r="E12" s="8">
        <v>46108.374616030094</v>
      </c>
      <c r="F12" s="2"/>
      <c r="G12" s="9" t="s">
        <v>19</v>
      </c>
      <c r="H12" s="12">
        <f>SUM(G24:H361)</f>
        <v>7626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20</v>
      </c>
      <c r="D13" s="6">
        <v>32.0</v>
      </c>
      <c r="E13" s="8">
        <v>46108.381206817125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20.0</v>
      </c>
      <c r="E14" s="8">
        <v>46108.381307777774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3.0</v>
      </c>
      <c r="C15" s="7" t="s">
        <v>24</v>
      </c>
      <c r="D15" s="6">
        <v>30.0</v>
      </c>
      <c r="E15" s="8">
        <v>46108.398533761574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25</v>
      </c>
      <c r="D16" s="6">
        <v>30.0</v>
      </c>
      <c r="E16" s="8">
        <v>46108.39869541666</v>
      </c>
      <c r="F16" s="2"/>
      <c r="G16" s="15" t="s">
        <v>26</v>
      </c>
      <c r="H16" s="16">
        <f>SUM(H9:H14)</f>
        <v>9923</v>
      </c>
      <c r="I16" s="3"/>
      <c r="J16" s="15" t="s">
        <v>27</v>
      </c>
      <c r="K16" s="16">
        <f>SUM(K9:K11)</f>
        <v>9874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7.0</v>
      </c>
      <c r="E17" s="8">
        <v>46108.39965516204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8.0</v>
      </c>
      <c r="C18" s="7" t="s">
        <v>29</v>
      </c>
      <c r="D18" s="6">
        <v>24.0</v>
      </c>
      <c r="E18" s="8">
        <v>46108.44457212963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49,00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5.0</v>
      </c>
      <c r="E19" s="8">
        <v>46108.451577685184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27.0</v>
      </c>
      <c r="E20" s="8">
        <v>46108.45340546296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 t="s">
        <v>32</v>
      </c>
      <c r="C21" s="7" t="s">
        <v>33</v>
      </c>
      <c r="D21" s="6">
        <v>52.5</v>
      </c>
      <c r="E21" s="8">
        <v>46108.456453182866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34</v>
      </c>
      <c r="D22" s="6">
        <v>19.0</v>
      </c>
      <c r="E22" s="8">
        <v>46108.45437789352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6.0</v>
      </c>
      <c r="C23" s="7" t="s">
        <v>35</v>
      </c>
      <c r="D23" s="6">
        <v>12.0</v>
      </c>
      <c r="E23" s="8">
        <v>46108.456501423614</v>
      </c>
      <c r="F23" s="2"/>
      <c r="G23" s="19" t="s">
        <v>36</v>
      </c>
      <c r="H23" s="19" t="s">
        <v>37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 t="s">
        <v>38</v>
      </c>
      <c r="C24" s="7" t="s">
        <v>39</v>
      </c>
      <c r="D24" s="6">
        <v>8.0</v>
      </c>
      <c r="E24" s="8">
        <v>46108.45658356481</v>
      </c>
      <c r="F24" s="2"/>
      <c r="G24" s="20">
        <v>19.0</v>
      </c>
      <c r="H24" s="20">
        <v>6608.0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74.0</v>
      </c>
      <c r="E25" s="8">
        <v>46108.45667292824</v>
      </c>
      <c r="F25" s="2"/>
      <c r="G25" s="20">
        <v>20.0</v>
      </c>
      <c r="H25" s="20">
        <v>576.0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38.0</v>
      </c>
      <c r="E26" s="8">
        <v>46108.46778508102</v>
      </c>
      <c r="F26" s="2"/>
      <c r="G26" s="21">
        <v>60.0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20.0</v>
      </c>
      <c r="E27" s="8">
        <v>46108.467861006946</v>
      </c>
      <c r="F27" s="2"/>
      <c r="G27" s="20">
        <v>83.0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20.0</v>
      </c>
      <c r="E28" s="8">
        <v>46108.46795287037</v>
      </c>
      <c r="F28" s="2"/>
      <c r="G28" s="20"/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100.0</v>
      </c>
      <c r="C29" s="7" t="s">
        <v>44</v>
      </c>
      <c r="D29" s="6">
        <v>9.0</v>
      </c>
      <c r="E29" s="8">
        <v>46108.46801107639</v>
      </c>
      <c r="F29" s="2"/>
      <c r="G29" s="20">
        <v>26.0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25.0</v>
      </c>
      <c r="E30" s="8">
        <v>46108.46831540509</v>
      </c>
      <c r="F30" s="2"/>
      <c r="G30" s="20">
        <v>41.0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12.0</v>
      </c>
      <c r="E31" s="8">
        <v>46108.476326874996</v>
      </c>
      <c r="F31" s="2"/>
      <c r="G31" s="20">
        <v>193.0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47</v>
      </c>
      <c r="D32" s="6">
        <v>10.0</v>
      </c>
      <c r="E32" s="8">
        <v>46108.476393125005</v>
      </c>
      <c r="F32" s="2"/>
      <c r="G32" s="22"/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65.0</v>
      </c>
      <c r="E33" s="8">
        <v>46108.50770025463</v>
      </c>
      <c r="F33" s="2"/>
      <c r="G33" s="22"/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35.0</v>
      </c>
      <c r="E34" s="8">
        <v>46108.507784050926</v>
      </c>
      <c r="F34" s="2"/>
      <c r="G34" s="22"/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24.0</v>
      </c>
      <c r="C35" s="7" t="s">
        <v>50</v>
      </c>
      <c r="D35" s="6">
        <v>3.0</v>
      </c>
      <c r="E35" s="8">
        <v>46108.51883015047</v>
      </c>
      <c r="F35" s="2"/>
      <c r="G35" s="22"/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51</v>
      </c>
      <c r="D36" s="6">
        <v>50.0</v>
      </c>
      <c r="E36" s="8">
        <v>46108.54836821759</v>
      </c>
      <c r="F36" s="2"/>
      <c r="G36" s="22"/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52</v>
      </c>
      <c r="D37" s="6">
        <v>20.0</v>
      </c>
      <c r="E37" s="8">
        <v>46108.54851902778</v>
      </c>
      <c r="F37" s="2"/>
      <c r="G37" s="22"/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6.0</v>
      </c>
      <c r="C38" s="7" t="s">
        <v>53</v>
      </c>
      <c r="D38" s="23">
        <v>462.0</v>
      </c>
      <c r="E38" s="8">
        <v>46108.55933059027</v>
      </c>
      <c r="F38" s="2"/>
      <c r="G38" s="22"/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54</v>
      </c>
      <c r="D39" s="23">
        <v>73.0</v>
      </c>
      <c r="E39" s="8">
        <v>46108.55945052083</v>
      </c>
      <c r="F39" s="2"/>
      <c r="G39" s="22"/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4.0</v>
      </c>
      <c r="C40" s="7" t="s">
        <v>55</v>
      </c>
      <c r="D40" s="23">
        <v>48.0</v>
      </c>
      <c r="E40" s="8">
        <v>46108.55958502315</v>
      </c>
      <c r="F40" s="2"/>
      <c r="G40" s="22"/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40.0</v>
      </c>
      <c r="C41" s="7" t="s">
        <v>56</v>
      </c>
      <c r="D41" s="23">
        <v>1160.0</v>
      </c>
      <c r="E41" s="8">
        <v>46108.55977399305</v>
      </c>
      <c r="F41" s="2"/>
      <c r="G41" s="22"/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10.0</v>
      </c>
      <c r="C42" s="7" t="s">
        <v>57</v>
      </c>
      <c r="D42" s="23">
        <v>110.0</v>
      </c>
      <c r="E42" s="8">
        <v>46108.55996982639</v>
      </c>
      <c r="F42" s="2"/>
      <c r="G42" s="22"/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58</v>
      </c>
      <c r="D43" s="23">
        <v>1160.0</v>
      </c>
      <c r="E43" s="8">
        <v>46108.560184525464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59</v>
      </c>
      <c r="D44" s="23">
        <v>56.0</v>
      </c>
      <c r="E44" s="8">
        <v>46108.56041381945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60</v>
      </c>
      <c r="D45" s="6">
        <v>18.0</v>
      </c>
      <c r="E45" s="8">
        <v>46108.56116820602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5.0</v>
      </c>
      <c r="C46" s="7" t="s">
        <v>61</v>
      </c>
      <c r="D46" s="23">
        <v>15.0</v>
      </c>
      <c r="E46" s="8">
        <v>46108.56134423611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10.0</v>
      </c>
      <c r="C47" s="7" t="s">
        <v>62</v>
      </c>
      <c r="D47" s="23">
        <v>450.0</v>
      </c>
      <c r="E47" s="8">
        <v>46108.561517071765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23">
        <v>19.0</v>
      </c>
      <c r="E48" s="8">
        <v>46108.56167792824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23">
        <v>44.0</v>
      </c>
      <c r="E49" s="8">
        <v>46108.56175986111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65</v>
      </c>
      <c r="D50" s="23">
        <v>54.0</v>
      </c>
      <c r="E50" s="8">
        <v>46108.56200060185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3.0</v>
      </c>
      <c r="C51" s="7" t="s">
        <v>66</v>
      </c>
      <c r="D51" s="23">
        <v>66.0</v>
      </c>
      <c r="E51" s="8">
        <v>46108.56219673611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67</v>
      </c>
      <c r="D52" s="23">
        <v>1990.0</v>
      </c>
      <c r="E52" s="8">
        <v>46108.56241002315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23">
        <v>64.0</v>
      </c>
      <c r="E53" s="8">
        <v>46108.56263541667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50.0</v>
      </c>
      <c r="C54" s="7" t="s">
        <v>69</v>
      </c>
      <c r="D54" s="23">
        <v>400.0</v>
      </c>
      <c r="E54" s="8">
        <v>46108.56285269676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3.0</v>
      </c>
      <c r="C55" s="7" t="s">
        <v>70</v>
      </c>
      <c r="D55" s="23">
        <v>276.0</v>
      </c>
      <c r="E55" s="8">
        <v>46108.56310648148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71</v>
      </c>
      <c r="D56" s="23">
        <v>40.0</v>
      </c>
      <c r="E56" s="8">
        <v>46108.56342103009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4.0</v>
      </c>
      <c r="C57" s="7" t="s">
        <v>72</v>
      </c>
      <c r="D57" s="6">
        <v>7.0</v>
      </c>
      <c r="E57" s="8">
        <v>46108.566127858794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73</v>
      </c>
      <c r="D58" s="23">
        <v>33.0</v>
      </c>
      <c r="E58" s="8">
        <v>46108.56634289352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74</v>
      </c>
      <c r="D59" s="23">
        <v>68.0</v>
      </c>
      <c r="E59" s="8">
        <v>46108.566600763894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4.0</v>
      </c>
      <c r="C60" s="7" t="s">
        <v>75</v>
      </c>
      <c r="D60" s="23">
        <v>20.0</v>
      </c>
      <c r="E60" s="8">
        <v>46108.566842835644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18.0</v>
      </c>
      <c r="E61" s="8">
        <v>46108.57019162037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77</v>
      </c>
      <c r="D62" s="6">
        <v>65.0</v>
      </c>
      <c r="E62" s="8">
        <v>46108.57026628472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78</v>
      </c>
      <c r="D63" s="6">
        <v>80.0</v>
      </c>
      <c r="E63" s="8">
        <v>46108.63403274305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79</v>
      </c>
      <c r="D64" s="6">
        <v>12.0</v>
      </c>
      <c r="E64" s="8">
        <v>46108.63551842593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80</v>
      </c>
      <c r="D65" s="6">
        <v>60.0</v>
      </c>
      <c r="E65" s="8">
        <v>46108.68304753472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81</v>
      </c>
      <c r="D66" s="6">
        <v>15.0</v>
      </c>
      <c r="E66" s="8">
        <v>46108.683110983795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5.0</v>
      </c>
      <c r="C67" s="7" t="s">
        <v>82</v>
      </c>
      <c r="D67" s="6">
        <v>35.0</v>
      </c>
      <c r="E67" s="8">
        <v>46108.68571612268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3.0</v>
      </c>
      <c r="C68" s="7" t="s">
        <v>83</v>
      </c>
      <c r="D68" s="6">
        <v>21.0</v>
      </c>
      <c r="E68" s="8">
        <v>46108.685811504634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28.0</v>
      </c>
      <c r="E69" s="8">
        <v>46108.68879662037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51.0</v>
      </c>
      <c r="E70" s="8">
        <v>46108.69785229166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86</v>
      </c>
      <c r="D71" s="6">
        <v>26.0</v>
      </c>
      <c r="E71" s="8">
        <v>46108.708853159726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36.0</v>
      </c>
      <c r="E72" s="8">
        <v>46108.71075471065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61</v>
      </c>
      <c r="D73" s="6">
        <v>5.0</v>
      </c>
      <c r="E73" s="8">
        <v>46108.71079810185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88</v>
      </c>
      <c r="D74" s="6">
        <v>123.0</v>
      </c>
      <c r="E74" s="8">
        <v>46108.714224641204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89</v>
      </c>
      <c r="D75" s="6">
        <v>70.0</v>
      </c>
      <c r="E75" s="8">
        <v>46108.71433171297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90</v>
      </c>
      <c r="D76" s="6">
        <v>223.0</v>
      </c>
      <c r="E76" s="8">
        <v>46108.715258854165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6.0</v>
      </c>
      <c r="C77" s="7" t="s">
        <v>91</v>
      </c>
      <c r="D77" s="6">
        <v>2.0</v>
      </c>
      <c r="E77" s="8">
        <v>46108.715713576385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6.0</v>
      </c>
      <c r="C78" s="7" t="s">
        <v>92</v>
      </c>
      <c r="D78" s="6">
        <v>1.5</v>
      </c>
      <c r="E78" s="8">
        <v>46108.71579148148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93</v>
      </c>
      <c r="D79" s="6">
        <v>10.0</v>
      </c>
      <c r="E79" s="8">
        <v>46108.71924273148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94</v>
      </c>
      <c r="D80" s="6">
        <v>5.0</v>
      </c>
      <c r="E80" s="8">
        <v>46108.72169005787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12.0</v>
      </c>
      <c r="C81" s="7" t="s">
        <v>95</v>
      </c>
      <c r="D81" s="24">
        <v>576.0</v>
      </c>
      <c r="E81" s="8">
        <v>46108.72543788195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96</v>
      </c>
      <c r="D82" s="6">
        <v>18.0</v>
      </c>
      <c r="E82" s="8">
        <v>46108.75256579861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97</v>
      </c>
      <c r="D83" s="6">
        <v>27.0</v>
      </c>
      <c r="E83" s="8">
        <v>46108.75274055556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98</v>
      </c>
      <c r="D84" s="6">
        <v>55.0</v>
      </c>
      <c r="E84" s="8">
        <v>46108.761506689814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 t="s">
        <v>99</v>
      </c>
      <c r="C85" s="7" t="s">
        <v>100</v>
      </c>
      <c r="D85" s="6">
        <v>20.0</v>
      </c>
      <c r="E85" s="8">
        <v>46108.76496760416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101</v>
      </c>
      <c r="D86" s="6">
        <v>10.0</v>
      </c>
      <c r="E86" s="8">
        <v>46108.77128799769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102</v>
      </c>
      <c r="D87" s="6">
        <v>105.0</v>
      </c>
      <c r="E87" s="8">
        <v>46108.800952453705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5"/>
      <c r="D88" s="26"/>
      <c r="E88" s="27"/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5"/>
      <c r="D89" s="26"/>
      <c r="E89" s="27"/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5"/>
      <c r="D90" s="26"/>
      <c r="E90" s="27"/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5"/>
      <c r="D91" s="26"/>
      <c r="E91" s="27"/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5"/>
      <c r="D92" s="26"/>
      <c r="E92" s="27"/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5"/>
      <c r="D93" s="26"/>
      <c r="E93" s="27"/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5"/>
      <c r="D94" s="26"/>
      <c r="E94" s="27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5"/>
      <c r="D95" s="26"/>
      <c r="E95" s="27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5"/>
      <c r="D96" s="26"/>
      <c r="E96" s="27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5"/>
      <c r="D97" s="26"/>
      <c r="E97" s="27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5"/>
      <c r="D98" s="26"/>
      <c r="E98" s="27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5"/>
      <c r="D99" s="26"/>
      <c r="E99" s="27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5"/>
      <c r="D100" s="26"/>
      <c r="E100" s="27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5"/>
      <c r="D101" s="26"/>
      <c r="E101" s="27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5"/>
      <c r="D102" s="26"/>
      <c r="E102" s="27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5"/>
      <c r="D103" s="26"/>
      <c r="E103" s="27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5"/>
      <c r="D104" s="26"/>
      <c r="E104" s="27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5"/>
      <c r="D105" s="26"/>
      <c r="E105" s="27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5"/>
      <c r="D106" s="26"/>
      <c r="E106" s="27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5"/>
      <c r="D107" s="26"/>
      <c r="E107" s="27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5"/>
      <c r="D108" s="26"/>
      <c r="E108" s="27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5"/>
      <c r="D109" s="26"/>
      <c r="E109" s="27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5"/>
      <c r="D110" s="26"/>
      <c r="E110" s="27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5"/>
      <c r="D111" s="26"/>
      <c r="E111" s="27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5"/>
      <c r="D112" s="26"/>
      <c r="E112" s="27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5"/>
      <c r="D113" s="26"/>
      <c r="E113" s="27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5"/>
      <c r="D114" s="26"/>
      <c r="E114" s="27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5"/>
      <c r="D115" s="26"/>
      <c r="E115" s="27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5"/>
      <c r="D116" s="26"/>
      <c r="E116" s="27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5"/>
      <c r="D117" s="26"/>
      <c r="E117" s="27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5"/>
      <c r="D118" s="26"/>
      <c r="E118" s="27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5"/>
      <c r="D119" s="26"/>
      <c r="E119" s="27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5"/>
      <c r="D120" s="26"/>
      <c r="E120" s="27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5"/>
      <c r="D121" s="26"/>
      <c r="E121" s="27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5"/>
      <c r="D122" s="26"/>
      <c r="E122" s="27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5"/>
      <c r="D123" s="26"/>
      <c r="E123" s="27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5"/>
      <c r="D124" s="26"/>
      <c r="E124" s="27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5"/>
      <c r="D125" s="26"/>
      <c r="E125" s="27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5"/>
      <c r="D126" s="26"/>
      <c r="E126" s="27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5"/>
      <c r="D127" s="26"/>
      <c r="E127" s="27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5"/>
      <c r="D128" s="26"/>
      <c r="E128" s="27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5"/>
      <c r="D129" s="26"/>
      <c r="E129" s="27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5"/>
      <c r="D130" s="26"/>
      <c r="E130" s="27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5"/>
      <c r="D131" s="26"/>
      <c r="E131" s="27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5"/>
      <c r="D132" s="26"/>
      <c r="E132" s="27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5"/>
      <c r="D133" s="26"/>
      <c r="E133" s="27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5"/>
      <c r="D134" s="26"/>
      <c r="E134" s="27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5"/>
      <c r="D135" s="26"/>
      <c r="E135" s="27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5"/>
      <c r="D136" s="26"/>
      <c r="E136" s="27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5"/>
      <c r="D137" s="26"/>
      <c r="E137" s="27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5"/>
      <c r="D138" s="26"/>
      <c r="E138" s="27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5"/>
      <c r="D139" s="26"/>
      <c r="E139" s="27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5"/>
      <c r="D140" s="26"/>
      <c r="E140" s="27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5"/>
      <c r="D141" s="26"/>
      <c r="E141" s="27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5"/>
      <c r="D142" s="26"/>
      <c r="E142" s="27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5"/>
      <c r="D143" s="26"/>
      <c r="E143" s="27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5"/>
      <c r="D144" s="26"/>
      <c r="E144" s="27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5"/>
      <c r="D145" s="26"/>
      <c r="E145" s="27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5"/>
      <c r="D146" s="26"/>
      <c r="E146" s="27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5"/>
      <c r="D147" s="26"/>
      <c r="E147" s="27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5"/>
      <c r="D148" s="26"/>
      <c r="E148" s="27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5"/>
      <c r="D149" s="26"/>
      <c r="E149" s="27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5"/>
      <c r="D150" s="26"/>
      <c r="E150" s="27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5"/>
      <c r="D151" s="26"/>
      <c r="E151" s="27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5"/>
      <c r="D152" s="26"/>
      <c r="E152" s="27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5"/>
      <c r="D153" s="26"/>
      <c r="E153" s="27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5"/>
      <c r="D154" s="26"/>
      <c r="E154" s="27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5"/>
      <c r="D155" s="26"/>
      <c r="E155" s="27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5"/>
      <c r="D156" s="26"/>
      <c r="E156" s="27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5"/>
      <c r="D157" s="26"/>
      <c r="E157" s="27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5"/>
      <c r="D158" s="26"/>
      <c r="E158" s="27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5"/>
      <c r="D159" s="26"/>
      <c r="E159" s="27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5"/>
      <c r="D160" s="26"/>
      <c r="E160" s="27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5"/>
      <c r="D161" s="26"/>
      <c r="E161" s="27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5"/>
      <c r="D162" s="26"/>
      <c r="E162" s="27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5"/>
      <c r="D163" s="26"/>
      <c r="E163" s="27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5"/>
      <c r="D164" s="26"/>
      <c r="E164" s="27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5"/>
      <c r="D165" s="26"/>
      <c r="E165" s="27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5"/>
      <c r="D166" s="26"/>
      <c r="E166" s="27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5"/>
      <c r="D167" s="26"/>
      <c r="E167" s="27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5"/>
      <c r="D168" s="26"/>
      <c r="E168" s="27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5"/>
      <c r="D169" s="26"/>
      <c r="E169" s="27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5"/>
      <c r="D170" s="26"/>
      <c r="E170" s="27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5"/>
      <c r="D171" s="26"/>
      <c r="E171" s="27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5"/>
      <c r="D172" s="26"/>
      <c r="E172" s="27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5"/>
      <c r="D173" s="26"/>
      <c r="E173" s="27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5"/>
      <c r="D174" s="26"/>
      <c r="E174" s="27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5"/>
      <c r="D175" s="26"/>
      <c r="E175" s="27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5"/>
      <c r="D176" s="26"/>
      <c r="E176" s="27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5"/>
      <c r="D177" s="26"/>
      <c r="E177" s="27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5"/>
      <c r="D178" s="26"/>
      <c r="E178" s="27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5"/>
      <c r="D179" s="26"/>
      <c r="E179" s="27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5"/>
      <c r="D180" s="26"/>
      <c r="E180" s="27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5"/>
      <c r="D181" s="26"/>
      <c r="E181" s="27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5"/>
      <c r="D182" s="26"/>
      <c r="E182" s="27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5"/>
      <c r="D183" s="26"/>
      <c r="E183" s="27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5"/>
      <c r="D184" s="26"/>
      <c r="E184" s="27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5"/>
      <c r="D185" s="26"/>
      <c r="E185" s="27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5"/>
      <c r="D186" s="26"/>
      <c r="E186" s="27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5"/>
      <c r="D187" s="26"/>
      <c r="E187" s="27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5"/>
      <c r="D188" s="26"/>
      <c r="E188" s="27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5"/>
      <c r="D189" s="26"/>
      <c r="E189" s="27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5"/>
      <c r="D190" s="26"/>
      <c r="E190" s="27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5"/>
      <c r="D191" s="26"/>
      <c r="E191" s="27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5"/>
      <c r="D192" s="26"/>
      <c r="E192" s="27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5"/>
      <c r="D193" s="26"/>
      <c r="E193" s="27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5"/>
      <c r="D194" s="26"/>
      <c r="E194" s="27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5"/>
      <c r="D195" s="26"/>
      <c r="E195" s="27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5"/>
      <c r="D196" s="26"/>
      <c r="E196" s="27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5"/>
      <c r="D197" s="26"/>
      <c r="E197" s="27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5"/>
      <c r="D198" s="26"/>
      <c r="E198" s="27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5"/>
      <c r="D199" s="26"/>
      <c r="E199" s="27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5"/>
      <c r="D200" s="26"/>
      <c r="E200" s="27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5"/>
      <c r="D201" s="26"/>
      <c r="E201" s="27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5"/>
      <c r="D202" s="26"/>
      <c r="E202" s="27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5"/>
      <c r="D203" s="26"/>
      <c r="E203" s="27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5"/>
      <c r="D204" s="26"/>
      <c r="E204" s="27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5"/>
      <c r="D205" s="26"/>
      <c r="E205" s="27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5"/>
      <c r="D206" s="26"/>
      <c r="E206" s="27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5"/>
      <c r="D207" s="26"/>
      <c r="E207" s="27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5"/>
      <c r="D208" s="26"/>
      <c r="E208" s="27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5"/>
      <c r="D209" s="26"/>
      <c r="E209" s="27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5"/>
      <c r="D210" s="26"/>
      <c r="E210" s="27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5"/>
      <c r="D211" s="26"/>
      <c r="E211" s="27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5"/>
      <c r="D212" s="26"/>
      <c r="E212" s="27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5"/>
      <c r="D213" s="26"/>
      <c r="E213" s="27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5"/>
      <c r="D214" s="26"/>
      <c r="E214" s="27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5"/>
      <c r="D215" s="26"/>
      <c r="E215" s="27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5"/>
      <c r="D216" s="26"/>
      <c r="E216" s="27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5"/>
      <c r="D217" s="26"/>
      <c r="E217" s="27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5"/>
      <c r="D218" s="26"/>
      <c r="E218" s="27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5"/>
      <c r="D219" s="26"/>
      <c r="E219" s="27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5"/>
      <c r="D220" s="26"/>
      <c r="E220" s="27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5"/>
      <c r="D221" s="26"/>
      <c r="E221" s="27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5"/>
      <c r="D222" s="26"/>
      <c r="E222" s="27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5"/>
      <c r="D223" s="26"/>
      <c r="E223" s="27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5"/>
      <c r="D224" s="26"/>
      <c r="E224" s="27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5"/>
      <c r="D225" s="26"/>
      <c r="E225" s="27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5"/>
      <c r="D226" s="26"/>
      <c r="E226" s="27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5"/>
      <c r="D227" s="26"/>
      <c r="E227" s="27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5"/>
      <c r="D228" s="26"/>
      <c r="E228" s="27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5"/>
      <c r="D229" s="26"/>
      <c r="E229" s="27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5"/>
      <c r="D230" s="26"/>
      <c r="E230" s="27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5"/>
      <c r="D231" s="26"/>
      <c r="E231" s="27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5"/>
      <c r="D232" s="26"/>
      <c r="E232" s="27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5"/>
      <c r="D233" s="26"/>
      <c r="E233" s="27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5"/>
      <c r="D234" s="26"/>
      <c r="E234" s="27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5"/>
      <c r="D235" s="26"/>
      <c r="E235" s="27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5"/>
      <c r="D236" s="26"/>
      <c r="E236" s="27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5"/>
      <c r="D237" s="26"/>
      <c r="E237" s="27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5"/>
      <c r="D238" s="26"/>
      <c r="E238" s="27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5"/>
      <c r="D239" s="26"/>
      <c r="E239" s="27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5"/>
      <c r="D240" s="26"/>
      <c r="E240" s="27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5"/>
      <c r="D241" s="26"/>
      <c r="E241" s="27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5"/>
      <c r="D242" s="26"/>
      <c r="E242" s="27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5"/>
      <c r="D243" s="26"/>
      <c r="E243" s="27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5"/>
      <c r="D244" s="26"/>
      <c r="E244" s="27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5"/>
      <c r="D245" s="26"/>
      <c r="E245" s="27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5"/>
      <c r="D246" s="26"/>
      <c r="E246" s="27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5"/>
      <c r="D247" s="26"/>
      <c r="E247" s="27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5"/>
      <c r="D248" s="26"/>
      <c r="E248" s="27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5"/>
      <c r="D249" s="26"/>
      <c r="E249" s="27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5"/>
      <c r="D250" s="26"/>
      <c r="E250" s="27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5"/>
      <c r="D251" s="26"/>
      <c r="E251" s="27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5"/>
      <c r="D252" s="26"/>
      <c r="E252" s="27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5"/>
      <c r="D253" s="26"/>
      <c r="E253" s="27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5"/>
      <c r="D254" s="26"/>
      <c r="E254" s="27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5"/>
      <c r="D255" s="26"/>
      <c r="E255" s="27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5"/>
      <c r="D256" s="26"/>
      <c r="E256" s="27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5"/>
      <c r="D257" s="26"/>
      <c r="E257" s="27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5"/>
      <c r="D258" s="26"/>
      <c r="E258" s="27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5"/>
      <c r="D259" s="26"/>
      <c r="E259" s="27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5"/>
      <c r="D260" s="26"/>
      <c r="E260" s="27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5"/>
      <c r="D261" s="26"/>
      <c r="E261" s="27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5"/>
      <c r="D262" s="26"/>
      <c r="E262" s="27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5"/>
      <c r="D263" s="26"/>
      <c r="E263" s="27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5"/>
      <c r="D264" s="26"/>
      <c r="E264" s="27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5"/>
      <c r="D265" s="26"/>
      <c r="E265" s="27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5"/>
      <c r="D266" s="26"/>
      <c r="E266" s="27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5"/>
      <c r="D267" s="26"/>
      <c r="E267" s="27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5"/>
      <c r="D268" s="26"/>
      <c r="E268" s="27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5"/>
      <c r="D269" s="26"/>
      <c r="E269" s="27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5"/>
      <c r="D270" s="26"/>
      <c r="E270" s="27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5"/>
      <c r="D271" s="26"/>
      <c r="E271" s="27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5"/>
      <c r="D272" s="26"/>
      <c r="E272" s="27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5"/>
      <c r="D273" s="26"/>
      <c r="E273" s="27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5"/>
      <c r="D274" s="26"/>
      <c r="E274" s="27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5"/>
      <c r="D275" s="26"/>
      <c r="E275" s="27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5"/>
      <c r="D276" s="26"/>
      <c r="E276" s="27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5"/>
      <c r="D277" s="26"/>
      <c r="E277" s="27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5"/>
      <c r="D278" s="26"/>
      <c r="E278" s="27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5"/>
      <c r="D279" s="26"/>
      <c r="E279" s="27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5"/>
      <c r="D280" s="26"/>
      <c r="E280" s="27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5"/>
      <c r="D281" s="26"/>
      <c r="E281" s="27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5"/>
      <c r="D282" s="26"/>
      <c r="E282" s="27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5"/>
      <c r="D283" s="26"/>
      <c r="E283" s="27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5"/>
      <c r="D284" s="26"/>
      <c r="E284" s="27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5"/>
      <c r="D285" s="26"/>
      <c r="E285" s="27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5"/>
      <c r="D286" s="26"/>
      <c r="E286" s="27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5"/>
      <c r="D287" s="26"/>
      <c r="E287" s="27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5"/>
      <c r="D288" s="26"/>
      <c r="E288" s="27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5"/>
      <c r="D289" s="26"/>
      <c r="E289" s="27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5"/>
      <c r="D290" s="26"/>
      <c r="E290" s="27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5"/>
      <c r="D291" s="26"/>
      <c r="E291" s="27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5"/>
      <c r="D292" s="26"/>
      <c r="E292" s="27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5"/>
      <c r="D293" s="26"/>
      <c r="E293" s="27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5"/>
      <c r="D294" s="26"/>
      <c r="E294" s="27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5"/>
      <c r="D295" s="26"/>
      <c r="E295" s="27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5"/>
      <c r="D296" s="26"/>
      <c r="E296" s="27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5"/>
      <c r="D297" s="26"/>
      <c r="E297" s="27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5"/>
      <c r="D298" s="26"/>
      <c r="E298" s="27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5"/>
      <c r="D299" s="26"/>
      <c r="E299" s="27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5"/>
      <c r="D300" s="26"/>
      <c r="E300" s="27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5"/>
      <c r="D301" s="26"/>
      <c r="E301" s="27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