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<sst xmlns="http://schemas.openxmlformats.org/spreadsheetml/2006/main" count="121" uniqueCount="119">
  <si>
    <t>HOJA DE CALCULO FERRETERIA</t>
  </si>
  <si>
    <t>CODIGO</t>
  </si>
  <si>
    <t>CANTIDAD</t>
  </si>
  <si>
    <t>DESCRIPCION</t>
  </si>
  <si>
    <t>TOTAL</t>
  </si>
  <si>
    <t>HORA</t>
  </si>
  <si>
    <t>CUADRAR</t>
  </si>
  <si>
    <t>poxipol metalico</t>
  </si>
  <si>
    <t>chicotillo astra 30</t>
  </si>
  <si>
    <t>MONEDAS</t>
  </si>
  <si>
    <t>CAJA CHICA</t>
  </si>
  <si>
    <t>xhixotillo astra 40</t>
  </si>
  <si>
    <t>BILLETES 10-20</t>
  </si>
  <si>
    <t>TOTAL VENTAS DIA</t>
  </si>
  <si>
    <t>LLAVE PIPA 10</t>
  </si>
  <si>
    <t>BILLETES 50-100-200</t>
  </si>
  <si>
    <t>AUMENTO DE DINERO</t>
  </si>
  <si>
    <t>BROCA ENCASTRE 20MM</t>
  </si>
  <si>
    <t>INGRESOS YAPE</t>
  </si>
  <si>
    <t>DOBLE CONTACTO CRISTAL</t>
  </si>
  <si>
    <t>INGRESOS TARJETA</t>
  </si>
  <si>
    <t>CUCHILLASREPÚESTO</t>
  </si>
  <si>
    <t>GASTOS VARIOS</t>
  </si>
  <si>
    <t>MANGUERA NIVEL 1/2</t>
  </si>
  <si>
    <t>KL CARBURO</t>
  </si>
  <si>
    <t>DINERO GANADO HOY:</t>
  </si>
  <si>
    <t>CANTIDAD DINERO CAJA:</t>
  </si>
  <si>
    <t>KL ELECTRDO</t>
  </si>
  <si>
    <t>DISCO UYUSTOOL 4</t>
  </si>
  <si>
    <t>manguera para gasolina</t>
  </si>
  <si>
    <t>bisagras truepr</t>
  </si>
  <si>
    <t>esquineros yeso</t>
  </si>
  <si>
    <t xml:space="preserve">tornillo </t>
  </si>
  <si>
    <t>caneria 1/2 tigre</t>
  </si>
  <si>
    <t>YAPE MAMÁ</t>
  </si>
  <si>
    <t>YAPE PAPÁ</t>
  </si>
  <si>
    <t>YAPE</t>
  </si>
  <si>
    <t>tee 1/2 tigre</t>
  </si>
  <si>
    <t>Monto Total YAPE (No tocar):</t>
  </si>
  <si>
    <t>union patente 12/2 tigre</t>
  </si>
  <si>
    <t>codo 1/2 tigre</t>
  </si>
  <si>
    <t>Monto Total Registrado en aplicacion</t>
  </si>
  <si>
    <t>copla 1/2 tigre</t>
  </si>
  <si>
    <t>llave de paso 1/2</t>
  </si>
  <si>
    <t>desagua tubo 1 1/2</t>
  </si>
  <si>
    <t>codo desague 11/2</t>
  </si>
  <si>
    <t>pegamento pvc 100</t>
  </si>
  <si>
    <t>desarmador rever chato</t>
  </si>
  <si>
    <t>rodapie</t>
  </si>
  <si>
    <t>broca p/hoyo</t>
  </si>
  <si>
    <t>PAGOS YAPE</t>
  </si>
  <si>
    <t>DESCRIPCION PAGO</t>
  </si>
  <si>
    <t>gangocho</t>
  </si>
  <si>
    <t>prensa esquinera tosen</t>
  </si>
  <si>
    <t>prensa pinza</t>
  </si>
  <si>
    <t>llae combinada 16</t>
  </si>
  <si>
    <t>estilete tr</t>
  </si>
  <si>
    <t>20m</t>
  </si>
  <si>
    <t>perlon 1/4</t>
  </si>
  <si>
    <t>disco aluminio tolsen 10</t>
  </si>
  <si>
    <t>disco scrach</t>
  </si>
  <si>
    <t>disco 4,1/2</t>
  </si>
  <si>
    <t>grifo lavaplastos</t>
  </si>
  <si>
    <t>disco galleta</t>
  </si>
  <si>
    <t>copla 1/2 fg</t>
  </si>
  <si>
    <t>1/2m</t>
  </si>
  <si>
    <t>panel led 18w redonod</t>
  </si>
  <si>
    <t>aldava gancho</t>
  </si>
  <si>
    <t>candado flexible tr</t>
  </si>
  <si>
    <t>carbon 504</t>
  </si>
  <si>
    <t>guante oscaria</t>
  </si>
  <si>
    <t>charola de acero</t>
  </si>
  <si>
    <t>niple fg 1/2</t>
  </si>
  <si>
    <t>corta ceramica uyusttil</t>
  </si>
  <si>
    <t>placas tramonita</t>
  </si>
  <si>
    <t>modulos tomas</t>
  </si>
  <si>
    <t>regleta doble</t>
  </si>
  <si>
    <t xml:space="preserve">cjas de grampa </t>
  </si>
  <si>
    <t>CLAVIJA SHUCO</t>
  </si>
  <si>
    <t>per hex 5/16*3</t>
  </si>
  <si>
    <t>kl alambre galvaniza</t>
  </si>
  <si>
    <t>kl alambre de ammmarre</t>
  </si>
  <si>
    <t>LIMA UYUSTOL</t>
  </si>
  <si>
    <t>BROCA FIERRO IRWIN 2,5</t>
  </si>
  <si>
    <t>BROCA FIERRO IRWIN 3</t>
  </si>
  <si>
    <t xml:space="preserve">DISOC CORTES </t>
  </si>
  <si>
    <t>REPUESTAO TRUPER</t>
  </si>
  <si>
    <t xml:space="preserve">COMBO </t>
  </si>
  <si>
    <t>PLANCHA DENTADAS</t>
  </si>
  <si>
    <t>ESPATULA</t>
  </si>
  <si>
    <t>REPUESTO DE ESTILETE</t>
  </si>
  <si>
    <t>REPSUETO DE CUCHILLA</t>
  </si>
  <si>
    <t>REGATONES DE GOMA</t>
  </si>
  <si>
    <t xml:space="preserve">CINTA AISLANTE </t>
  </si>
  <si>
    <t xml:space="preserve">CODO ASTRA6 </t>
  </si>
  <si>
    <t>2M</t>
  </si>
  <si>
    <t>MANGUERA 1/2 NIVEL</t>
  </si>
  <si>
    <t>JUEGO DE LIMAS ASAKI</t>
  </si>
  <si>
    <t>PERNA TIPO C 6</t>
  </si>
  <si>
    <t>SOQUET</t>
  </si>
  <si>
    <t xml:space="preserve">M CABLE BIPOLAR </t>
  </si>
  <si>
    <t xml:space="preserve">PISTOLA TOLSEN </t>
  </si>
  <si>
    <t>GOTITAS</t>
  </si>
  <si>
    <t>RASPADO TOLSE</t>
  </si>
  <si>
    <t>FOCO TRAMONITA</t>
  </si>
  <si>
    <t>FOCO EVERLEO</t>
  </si>
  <si>
    <t>TONILLO PER HEX</t>
  </si>
  <si>
    <t>TUBO LED</t>
  </si>
  <si>
    <t>AEROSOL</t>
  </si>
  <si>
    <t>GRAMPA TRUPER</t>
  </si>
  <si>
    <t>LALVE CRECETNE 14</t>
  </si>
  <si>
    <t>GOMITA REGATON</t>
  </si>
  <si>
    <t>M ALUBAND 15</t>
  </si>
  <si>
    <t>OMITAS</t>
  </si>
  <si>
    <t>GOTITA</t>
  </si>
  <si>
    <t>CINTADOBLE COANTACTO</t>
  </si>
  <si>
    <t>LLAVERO</t>
  </si>
  <si>
    <t>DESARMADOR IMPACTO</t>
  </si>
  <si>
    <t>GAFAS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</si>
</sst>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38.0</v>
      </c>
      <c r="E8" s="8">
        <v>46245.3632159375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12.5</v>
      </c>
      <c r="E9" s="8">
        <v>46245.37345827546</v>
      </c>
      <c r="F9" s="2"/>
      <c r="G9" s="9" t="s">
        <v>9</v>
      </c>
      <c r="H9" s="10">
        <v>159.0</v>
      </c>
      <c r="I9" s="2"/>
      <c r="J9" s="9" t="s">
        <v>10</v>
      </c>
      <c r="K9" s="10">
        <v>790.0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13.0</v>
      </c>
      <c r="E10" s="8">
        <v>46245.37355585648</v>
      </c>
      <c r="F10" s="2"/>
      <c r="G10" s="9" t="s">
        <v>12</v>
      </c>
      <c r="H10" s="10">
        <v>220.0</v>
      </c>
      <c r="I10" s="2"/>
      <c r="J10" s="9" t="s">
        <v>13</v>
      </c>
      <c r="K10" s="11">
        <f>SUM(PRINCIPAL[TOTAL])</f>
        <v>7432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29.0</v>
      </c>
      <c r="E11" s="8">
        <v>46245.37623577546</v>
      </c>
      <c r="F11" s="2"/>
      <c r="G11" s="9" t="s">
        <v>15</v>
      </c>
      <c r="H11" s="10">
        <v>3300.0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146.0</v>
      </c>
      <c r="E12" s="8">
        <v>46245.39761680555</v>
      </c>
      <c r="F12" s="2"/>
      <c r="G12" s="9" t="s">
        <v>18</v>
      </c>
      <c r="H12" s="12">
        <f>SUM(G24:H361)</f>
        <v>4564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50.0</v>
      </c>
      <c r="E13" s="8">
        <v>46245.39773805556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18.0</v>
      </c>
      <c r="E14" s="8">
        <v>46245.407349270834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9.0</v>
      </c>
      <c r="E15" s="8">
        <v>46245.40898305556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50.0</v>
      </c>
      <c r="E16" s="8">
        <v>46245.43018856482</v>
      </c>
      <c r="F16" s="2"/>
      <c r="G16" s="15" t="s">
        <v>25</v>
      </c>
      <c r="H16" s="16">
        <f>SUM(H9:H14)</f>
        <v>8243</v>
      </c>
      <c r="I16" s="3"/>
      <c r="J16" s="15" t="s">
        <v>26</v>
      </c>
      <c r="K16" s="16">
        <f>SUM(K9:K11)</f>
        <v>8222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56.0</v>
      </c>
      <c r="E17" s="8">
        <v>46245.430467199076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10.0</v>
      </c>
      <c r="C18" s="7" t="s">
        <v>28</v>
      </c>
      <c r="D18" s="6">
        <v>45.0</v>
      </c>
      <c r="E18" s="8">
        <v>46245.430577418985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25.0</v>
      </c>
      <c r="E19" s="8">
        <v>46245.435192743054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30.0</v>
      </c>
      <c r="E20" s="8">
        <v>46245.43534268519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8.0</v>
      </c>
      <c r="C21" s="7" t="s">
        <v>31</v>
      </c>
      <c r="D21" s="6">
        <v>224.0</v>
      </c>
      <c r="E21" s="8">
        <v>46245.43569391203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12.0</v>
      </c>
      <c r="C22" s="7" t="s">
        <v>32</v>
      </c>
      <c r="D22" s="6">
        <v>2.5</v>
      </c>
      <c r="E22" s="8">
        <v>46245.4359271412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49.0</v>
      </c>
      <c r="E23" s="8">
        <v>46245.43681378472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5.5</v>
      </c>
      <c r="E24" s="8">
        <v>46245.43686482639</v>
      </c>
      <c r="F24" s="2"/>
      <c r="G24" s="22">
        <v>38.0</v>
      </c>
      <c r="H24" s="23"/>
      <c r="I24" s="2"/>
      <c r="J24" s="24" t="s">
        <v>38</v>
      </c>
      <c r="K24" s="25">
        <f>SUM(INGRESOS_YAPE[])</f>
        <v>4564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9.0</v>
      </c>
      <c r="E25" s="8">
        <v>46245.437079930554</v>
      </c>
      <c r="F25" s="2"/>
      <c r="G25" s="22">
        <v>146.0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3.0</v>
      </c>
      <c r="C26" s="7" t="s">
        <v>40</v>
      </c>
      <c r="D26" s="6">
        <v>12.0</v>
      </c>
      <c r="E26" s="8">
        <v>46245.43713668981</v>
      </c>
      <c r="F26" s="2"/>
      <c r="G26" s="26">
        <v>101.0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3.5</v>
      </c>
      <c r="E27" s="8">
        <v>46245.43720478009</v>
      </c>
      <c r="F27" s="2"/>
      <c r="G27" s="22">
        <v>200.0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25.0</v>
      </c>
      <c r="E28" s="8">
        <v>46245.43787361111</v>
      </c>
      <c r="F28" s="2"/>
      <c r="G28" s="22">
        <v>265.0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37.0</v>
      </c>
      <c r="E29" s="8">
        <v>46245.43775195602</v>
      </c>
      <c r="F29" s="2"/>
      <c r="G29" s="22">
        <v>86.0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4564,00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45</v>
      </c>
      <c r="D30" s="6">
        <v>12.0</v>
      </c>
      <c r="E30" s="8">
        <v>46245.437674988425</v>
      </c>
      <c r="F30" s="2"/>
      <c r="G30" s="22">
        <v>4.5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16.0</v>
      </c>
      <c r="E31" s="8">
        <v>46245.43794650463</v>
      </c>
      <c r="F31" s="2"/>
      <c r="G31" s="22">
        <v>76.5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8.0</v>
      </c>
      <c r="E32" s="8">
        <v>46245.45501457176</v>
      </c>
      <c r="F32" s="2"/>
      <c r="G32" s="22">
        <v>23.0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8.0</v>
      </c>
      <c r="E33" s="8">
        <v>46245.457229039355</v>
      </c>
      <c r="F33" s="2"/>
      <c r="G33" s="22">
        <v>118.0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30">
        <v>47.0</v>
      </c>
      <c r="E34" s="8">
        <v>46245.46101141204</v>
      </c>
      <c r="F34" s="2"/>
      <c r="G34" s="22">
        <v>14.5</v>
      </c>
      <c r="H34" s="23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6.0</v>
      </c>
      <c r="E35" s="8">
        <v>46245.46849542824</v>
      </c>
      <c r="F35" s="2"/>
      <c r="G35" s="22">
        <v>30.0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53</v>
      </c>
      <c r="D36" s="6">
        <v>116.0</v>
      </c>
      <c r="E36" s="8">
        <v>46245.46967847222</v>
      </c>
      <c r="F36" s="2"/>
      <c r="G36" s="22">
        <v>2675.0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54</v>
      </c>
      <c r="D37" s="6">
        <v>38.0</v>
      </c>
      <c r="E37" s="8">
        <v>46245.46984474537</v>
      </c>
      <c r="F37" s="2"/>
      <c r="G37" s="22">
        <v>18.0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23.0</v>
      </c>
      <c r="E38" s="8">
        <v>46245.47521174769</v>
      </c>
      <c r="F38" s="2"/>
      <c r="G38" s="22">
        <v>18.0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16.0</v>
      </c>
      <c r="E39" s="8">
        <v>46245.47842454861</v>
      </c>
      <c r="F39" s="2"/>
      <c r="G39" s="22">
        <v>156.0</v>
      </c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 t="s">
        <v>57</v>
      </c>
      <c r="C40" s="7" t="s">
        <v>58</v>
      </c>
      <c r="D40" s="6">
        <v>70.0</v>
      </c>
      <c r="E40" s="8">
        <v>46245.47850039352</v>
      </c>
      <c r="F40" s="2"/>
      <c r="G40" s="22">
        <v>100.0</v>
      </c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265.0</v>
      </c>
      <c r="E41" s="8">
        <v>46245.47881951389</v>
      </c>
      <c r="F41" s="2"/>
      <c r="G41" s="22">
        <v>9.0</v>
      </c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23.0</v>
      </c>
      <c r="E42" s="8">
        <v>46245.479546793984</v>
      </c>
      <c r="F42" s="2"/>
      <c r="G42" s="22">
        <v>18.0</v>
      </c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10.0</v>
      </c>
      <c r="C43" s="7" t="s">
        <v>61</v>
      </c>
      <c r="D43" s="6">
        <v>45.0</v>
      </c>
      <c r="E43" s="8">
        <v>46245.498455381945</v>
      </c>
      <c r="F43" s="2"/>
      <c r="G43" s="22">
        <v>348.0</v>
      </c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62</v>
      </c>
      <c r="D44" s="6">
        <v>265.0</v>
      </c>
      <c r="E44" s="8">
        <v>46245.50969582176</v>
      </c>
      <c r="F44" s="2"/>
      <c r="G44" s="22">
        <v>40.0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10.0</v>
      </c>
      <c r="C45" s="7" t="s">
        <v>63</v>
      </c>
      <c r="D45" s="6">
        <v>45.0</v>
      </c>
      <c r="E45" s="8">
        <v>46245.50979296296</v>
      </c>
      <c r="F45" s="2"/>
      <c r="G45" s="22">
        <v>79.5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64</v>
      </c>
      <c r="D46" s="6">
        <v>14.0</v>
      </c>
      <c r="E46" s="8">
        <v>46245.50997289352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65</v>
      </c>
      <c r="C47" s="7" t="s">
        <v>23</v>
      </c>
      <c r="D47" s="6">
        <v>4.5</v>
      </c>
      <c r="E47" s="8">
        <v>46245.51006159722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40.0</v>
      </c>
      <c r="E48" s="8">
        <v>46245.51024944444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67</v>
      </c>
      <c r="D49" s="34">
        <v>4.0</v>
      </c>
      <c r="E49" s="8">
        <v>46245.51897480324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34">
        <v>76.5</v>
      </c>
      <c r="E50" s="8">
        <v>46245.53667686343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23.0</v>
      </c>
      <c r="E51" s="8">
        <v>46245.545125625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70</v>
      </c>
      <c r="D52" s="6">
        <v>48.0</v>
      </c>
      <c r="E52" s="8">
        <v>46245.55123172454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118.0</v>
      </c>
      <c r="E53" s="8">
        <v>46245.56892480324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14.5</v>
      </c>
      <c r="E54" s="8">
        <v>46245.570655613425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900.0</v>
      </c>
      <c r="E55" s="8">
        <v>46245.598267141206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4.0</v>
      </c>
      <c r="C56" s="7" t="s">
        <v>74</v>
      </c>
      <c r="D56" s="6">
        <v>38.0</v>
      </c>
      <c r="E56" s="8">
        <v>46245.62523148148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8.0</v>
      </c>
      <c r="C57" s="7" t="s">
        <v>75</v>
      </c>
      <c r="D57" s="6">
        <v>76.0</v>
      </c>
      <c r="E57" s="8">
        <v>46245.62529138889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18.0</v>
      </c>
      <c r="E58" s="8">
        <v>46245.625355509255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30.0</v>
      </c>
      <c r="C59" s="7" t="s">
        <v>77</v>
      </c>
      <c r="D59" s="6">
        <v>300.0</v>
      </c>
      <c r="E59" s="8">
        <v>46245.62610445602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78</v>
      </c>
      <c r="D60" s="6">
        <v>35.0</v>
      </c>
      <c r="E60" s="8">
        <v>46245.63877023148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50.0</v>
      </c>
      <c r="C61" s="7" t="s">
        <v>79</v>
      </c>
      <c r="D61" s="6">
        <v>125.0</v>
      </c>
      <c r="E61" s="8">
        <v>46245.62805366898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4.0</v>
      </c>
      <c r="C62" s="7" t="s">
        <v>80</v>
      </c>
      <c r="D62" s="6">
        <v>120.0</v>
      </c>
      <c r="E62" s="8">
        <v>46245.62814023148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3.0</v>
      </c>
      <c r="C63" s="7" t="s">
        <v>81</v>
      </c>
      <c r="D63" s="6">
        <v>60.0</v>
      </c>
      <c r="E63" s="8">
        <v>46245.62822591435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40.0</v>
      </c>
      <c r="E64" s="8">
        <v>46245.640251805555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13.0</v>
      </c>
      <c r="E65" s="8">
        <v>46245.64035938657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14.0</v>
      </c>
      <c r="E66" s="8">
        <v>46245.640436331014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5.0</v>
      </c>
      <c r="C67" s="7" t="s">
        <v>85</v>
      </c>
      <c r="D67" s="6">
        <v>490.0</v>
      </c>
      <c r="E67" s="8">
        <v>46245.641604930555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5.0</v>
      </c>
      <c r="C68" s="7" t="s">
        <v>86</v>
      </c>
      <c r="D68" s="6">
        <v>1055.0</v>
      </c>
      <c r="E68" s="8">
        <v>46245.641662118054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75.0</v>
      </c>
      <c r="E69" s="8">
        <v>46245.641809085646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88</v>
      </c>
      <c r="D70" s="6">
        <v>130.0</v>
      </c>
      <c r="E70" s="8">
        <v>46245.64187518519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25.0</v>
      </c>
      <c r="E71" s="8">
        <v>46245.642067673616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3.0</v>
      </c>
      <c r="C72" s="7" t="s">
        <v>90</v>
      </c>
      <c r="D72" s="6">
        <v>36.0</v>
      </c>
      <c r="E72" s="8">
        <v>46245.64291818287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18.0</v>
      </c>
      <c r="E73" s="8">
        <v>46245.64419821759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5.0</v>
      </c>
      <c r="C74" s="7" t="s">
        <v>92</v>
      </c>
      <c r="D74" s="6">
        <v>15.0</v>
      </c>
      <c r="E74" s="8">
        <v>46245.64474829861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28</v>
      </c>
      <c r="D75" s="6">
        <v>10.0</v>
      </c>
      <c r="E75" s="8">
        <v>46245.64557853009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93</v>
      </c>
      <c r="D76" s="6">
        <v>9.0</v>
      </c>
      <c r="E76" s="8">
        <v>46245.64574359954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94</v>
      </c>
      <c r="D77" s="6">
        <v>20.0</v>
      </c>
      <c r="E77" s="8">
        <v>46245.64646747685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 t="s">
        <v>95</v>
      </c>
      <c r="C78" s="7" t="s">
        <v>96</v>
      </c>
      <c r="D78" s="6">
        <v>18.0</v>
      </c>
      <c r="E78" s="8">
        <v>46245.666249953705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6">
        <v>56.0</v>
      </c>
      <c r="E79" s="8">
        <v>46245.68349372685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6">
        <v>100.0</v>
      </c>
      <c r="E80" s="8">
        <v>46245.68358953704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5.0</v>
      </c>
      <c r="C81" s="7" t="s">
        <v>99</v>
      </c>
      <c r="D81" s="6">
        <v>25.0</v>
      </c>
      <c r="E81" s="8">
        <v>46245.69251274306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20.0</v>
      </c>
      <c r="C82" s="7" t="s">
        <v>100</v>
      </c>
      <c r="D82" s="6">
        <v>220.0</v>
      </c>
      <c r="E82" s="8">
        <v>46245.692626724536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101</v>
      </c>
      <c r="D83" s="6">
        <v>255.0</v>
      </c>
      <c r="E83" s="8">
        <v>46245.708152997686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2.0</v>
      </c>
      <c r="C84" s="7" t="s">
        <v>102</v>
      </c>
      <c r="D84" s="6">
        <v>30.0</v>
      </c>
      <c r="E84" s="8">
        <v>46245.70819697916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103</v>
      </c>
      <c r="D85" s="6">
        <v>20.0</v>
      </c>
      <c r="E85" s="8">
        <v>46245.708246863425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3.0</v>
      </c>
      <c r="C86" s="7" t="s">
        <v>104</v>
      </c>
      <c r="D86" s="6">
        <v>75.0</v>
      </c>
      <c r="E86" s="8">
        <v>46245.718130740745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105</v>
      </c>
      <c r="D87" s="6">
        <v>20.0</v>
      </c>
      <c r="E87" s="8">
        <v>46245.71821958333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24.0</v>
      </c>
      <c r="C88" s="7" t="s">
        <v>106</v>
      </c>
      <c r="D88" s="6">
        <v>5.0</v>
      </c>
      <c r="E88" s="8">
        <v>46245.71831340277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107</v>
      </c>
      <c r="D89" s="6">
        <v>20.0</v>
      </c>
      <c r="E89" s="8">
        <v>46245.72843928241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108</v>
      </c>
      <c r="D90" s="6">
        <v>20.0</v>
      </c>
      <c r="E90" s="8">
        <v>46245.72847914352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109</v>
      </c>
      <c r="D91" s="6">
        <v>18.0</v>
      </c>
      <c r="E91" s="8">
        <v>46245.73075565972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2.0</v>
      </c>
      <c r="C92" s="7" t="s">
        <v>110</v>
      </c>
      <c r="D92" s="6">
        <v>276.0</v>
      </c>
      <c r="E92" s="8">
        <v>46245.735883587964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12.0</v>
      </c>
      <c r="C93" s="7" t="s">
        <v>111</v>
      </c>
      <c r="D93" s="6">
        <v>72.0</v>
      </c>
      <c r="E93" s="8">
        <v>46245.735938784725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112</v>
      </c>
      <c r="D94" s="6">
        <v>20.0</v>
      </c>
      <c r="E94" s="8">
        <v>46245.73998210648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4.0</v>
      </c>
      <c r="C95" s="7" t="s">
        <v>113</v>
      </c>
      <c r="D95" s="6">
        <v>20.0</v>
      </c>
      <c r="E95" s="8">
        <v>46245.740056712966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114</v>
      </c>
      <c r="D96" s="6">
        <v>11.0</v>
      </c>
      <c r="E96" s="8">
        <v>46245.739561469905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115</v>
      </c>
      <c r="D97" s="6">
        <v>40.0</v>
      </c>
      <c r="E97" s="8">
        <v>46245.7395134838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116</v>
      </c>
      <c r="D98" s="6">
        <v>20.0</v>
      </c>
      <c r="E98" s="8">
        <v>46245.77437368056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117</v>
      </c>
      <c r="D99" s="6">
        <v>155.0</v>
      </c>
      <c r="E99" s="8">
        <v>46245.77502959491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3.0</v>
      </c>
      <c r="C100" s="7" t="s">
        <v>118</v>
      </c>
      <c r="D100" s="6">
        <v>79.5</v>
      </c>
      <c r="E100" s="8">
        <v>46245.7746625463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