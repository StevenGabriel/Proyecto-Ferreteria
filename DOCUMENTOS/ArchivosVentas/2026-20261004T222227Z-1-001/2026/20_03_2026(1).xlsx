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<sst xmlns="http://schemas.openxmlformats.org/spreadsheetml/2006/main" count="122" uniqueCount="119">
  <si>
    <t>HOJA DE CALCULO FERRETERIA</t>
  </si>
  <si>
    <t>CODIGO</t>
  </si>
  <si>
    <t>CANTIDAD</t>
  </si>
  <si>
    <t>DESCRIPCION</t>
  </si>
  <si>
    <t>TOTAL</t>
  </si>
  <si>
    <t>HORA</t>
  </si>
  <si>
    <t>CUADRAR</t>
  </si>
  <si>
    <t>disco corte uyustool</t>
  </si>
  <si>
    <t xml:space="preserve">kl alambre </t>
  </si>
  <si>
    <t>MONEDAS</t>
  </si>
  <si>
    <t>CAJA CHICA</t>
  </si>
  <si>
    <t>union patente</t>
  </si>
  <si>
    <t>BILLETES 10-20</t>
  </si>
  <si>
    <t>TOTAL VENTAS DIA</t>
  </si>
  <si>
    <t>teflon</t>
  </si>
  <si>
    <t>BILLETES 50-100-200</t>
  </si>
  <si>
    <t>AUMENTO DE DINERO</t>
  </si>
  <si>
    <t>sellarosca</t>
  </si>
  <si>
    <t>INGRESOS YAPE</t>
  </si>
  <si>
    <t>cinta doble contaco</t>
  </si>
  <si>
    <t>INGRESOS TARJETA</t>
  </si>
  <si>
    <t>tee fg 1/2</t>
  </si>
  <si>
    <t>GASTOS VARIOS</t>
  </si>
  <si>
    <t>niple fg 1/2</t>
  </si>
  <si>
    <t>codo fg 1/2</t>
  </si>
  <si>
    <t>DINERO GANADO HOY:</t>
  </si>
  <si>
    <t>CANTIDAD DINERO CAJA:</t>
  </si>
  <si>
    <t>grifo eko 1/2</t>
  </si>
  <si>
    <t>amoladora pretul</t>
  </si>
  <si>
    <t>esquinero plateado</t>
  </si>
  <si>
    <t>codo 1/2 tigre</t>
  </si>
  <si>
    <t>tee 1/2</t>
  </si>
  <si>
    <t>YAPE MAMÁ</t>
  </si>
  <si>
    <t>YAPE PAPÁ</t>
  </si>
  <si>
    <t>pico de grifo</t>
  </si>
  <si>
    <t>ducha lorenzete</t>
  </si>
  <si>
    <t>cinta asilante</t>
  </si>
  <si>
    <t>broca fierro debor 3,5</t>
  </si>
  <si>
    <t>disco galleta</t>
  </si>
  <si>
    <t>fresa</t>
  </si>
  <si>
    <t>clavija plana</t>
  </si>
  <si>
    <t>debor fierro 3.5</t>
  </si>
  <si>
    <t>deor fierro 6,5</t>
  </si>
  <si>
    <t>broca punta flecha 6</t>
  </si>
  <si>
    <t>copla apra compresora</t>
  </si>
  <si>
    <t>termico tramon 32 x 2</t>
  </si>
  <si>
    <t xml:space="preserve">clavija hembra </t>
  </si>
  <si>
    <t>disco cepillo trenzado 4</t>
  </si>
  <si>
    <t>rodapie s/f 3</t>
  </si>
  <si>
    <t>rodapie c/f 3</t>
  </si>
  <si>
    <t>guante anticorte</t>
  </si>
  <si>
    <t>guante oscaria</t>
  </si>
  <si>
    <t>cepillo de acero</t>
  </si>
  <si>
    <t>4m</t>
  </si>
  <si>
    <t>manguera nivel 1/2</t>
  </si>
  <si>
    <t>juego de tarraja perno</t>
  </si>
  <si>
    <t>abrazadera 3/4</t>
  </si>
  <si>
    <t>abrazadera 7/8</t>
  </si>
  <si>
    <t>1kl</t>
  </si>
  <si>
    <t>clavo 1</t>
  </si>
  <si>
    <t>grampas</t>
  </si>
  <si>
    <t>adaptador maket</t>
  </si>
  <si>
    <t>barra estaño</t>
  </si>
  <si>
    <t>asapersor</t>
  </si>
  <si>
    <t>juegos de puntas</t>
  </si>
  <si>
    <t>escalera turper</t>
  </si>
  <si>
    <t>carretilla pretul</t>
  </si>
  <si>
    <t>purgador</t>
  </si>
  <si>
    <t>escobilla pedueña</t>
  </si>
  <si>
    <t>pala pequeña forte</t>
  </si>
  <si>
    <t>candado ion 62</t>
  </si>
  <si>
    <t>pispot imantado</t>
  </si>
  <si>
    <t>ducha loreznter</t>
  </si>
  <si>
    <t>kl alabre</t>
  </si>
  <si>
    <t>modulo  interruptor</t>
  </si>
  <si>
    <t>clavihahembra</t>
  </si>
  <si>
    <t>gomas de trapear</t>
  </si>
  <si>
    <t>trapos</t>
  </si>
  <si>
    <t>escobas</t>
  </si>
  <si>
    <t>scoba de escombro</t>
  </si>
  <si>
    <t>lentes economicos</t>
  </si>
  <si>
    <t>auditivos</t>
  </si>
  <si>
    <t>cautin 150</t>
  </si>
  <si>
    <t>m hilo estaño</t>
  </si>
  <si>
    <t>pegamtno akfi</t>
  </si>
  <si>
    <t xml:space="preserve">desarmador </t>
  </si>
  <si>
    <t>kl alambre gal 16</t>
  </si>
  <si>
    <t>repuesto de estilete</t>
  </si>
  <si>
    <t>guante anaranja</t>
  </si>
  <si>
    <t>silicona negra</t>
  </si>
  <si>
    <t xml:space="preserve">llave combnada 19 </t>
  </si>
  <si>
    <t>broca largas</t>
  </si>
  <si>
    <t>lentes truper</t>
  </si>
  <si>
    <t>grampa truper</t>
  </si>
  <si>
    <t>rollo cadena plastica</t>
  </si>
  <si>
    <t>broca fierro 3</t>
  </si>
  <si>
    <t>picaporte truper</t>
  </si>
  <si>
    <t>sopapa fv</t>
  </si>
  <si>
    <t>alicayte fuerza</t>
  </si>
  <si>
    <t>llave combinada 12</t>
  </si>
  <si>
    <t>llave combinada 14</t>
  </si>
  <si>
    <t>dado 19 largo</t>
  </si>
  <si>
    <t>dao 1/4 10mm</t>
  </si>
  <si>
    <t>flexo 5m jadeber</t>
  </si>
  <si>
    <t>atomizador corona</t>
  </si>
  <si>
    <t>caja de grampas tr0</t>
  </si>
  <si>
    <t>juego de termocontraibles</t>
  </si>
  <si>
    <t>clavadora neomatica</t>
  </si>
  <si>
    <t>adaptdro uyustol</t>
  </si>
  <si>
    <t>adaptdo ultra</t>
  </si>
  <si>
    <t>bonete uyustol 7</t>
  </si>
  <si>
    <t>cja de grampa turp</t>
  </si>
  <si>
    <t>JUEGO DE CUERDAS</t>
  </si>
  <si>
    <t>SILICONA RTV</t>
  </si>
  <si>
    <t xml:space="preserve">ARMELLAS </t>
  </si>
  <si>
    <t>BANDOLA TRUPER</t>
  </si>
  <si>
    <t>clavija macho tramo</t>
  </si>
  <si>
    <t>escobillas</t>
  </si>
  <si>
    <t>pegatanke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</si>
</sst>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45.0</v>
      </c>
      <c r="E8" s="8">
        <v>46073.354152245374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46073.3549259838</v>
      </c>
      <c r="F9" s="2"/>
      <c r="G9" s="9" t="s">
        <v>9</v>
      </c>
      <c r="H9" s="10">
        <v>119.0</v>
      </c>
      <c r="I9" s="2"/>
      <c r="J9" s="9" t="s">
        <v>10</v>
      </c>
      <c r="K9" s="10">
        <v>667.0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18.0</v>
      </c>
      <c r="E10" s="8">
        <v>46073.365773136575</v>
      </c>
      <c r="F10" s="2"/>
      <c r="G10" s="9" t="s">
        <v>12</v>
      </c>
      <c r="H10" s="10">
        <v>370.0</v>
      </c>
      <c r="I10" s="2"/>
      <c r="J10" s="9" t="s">
        <v>13</v>
      </c>
      <c r="K10" s="11">
        <f>SUM(PRINCIPAL[TOTAL])</f>
        <v>7850.5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6.0</v>
      </c>
      <c r="E11" s="8">
        <v>46073.365864363426</v>
      </c>
      <c r="F11" s="2"/>
      <c r="G11" s="9" t="s">
        <v>15</v>
      </c>
      <c r="H11" s="10">
        <v>2800.0</v>
      </c>
      <c r="I11" s="2"/>
      <c r="J11" s="9" t="s">
        <v>16</v>
      </c>
      <c r="K11" s="10">
        <v>200.0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29.0</v>
      </c>
      <c r="E12" s="8">
        <v>46073.366140949074</v>
      </c>
      <c r="F12" s="2"/>
      <c r="G12" s="9" t="s">
        <v>18</v>
      </c>
      <c r="H12" s="12">
        <f>SUM(G24:H361)</f>
        <v>5263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50.0</v>
      </c>
      <c r="E13" s="8">
        <v>46073.37278395833</v>
      </c>
      <c r="F13" s="2"/>
      <c r="G13" s="9" t="s">
        <v>20</v>
      </c>
      <c r="H13" s="10">
        <v>84.0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16.0</v>
      </c>
      <c r="E14" s="8">
        <v>46073.39970770833</v>
      </c>
      <c r="F14" s="2"/>
      <c r="G14" s="9" t="s">
        <v>22</v>
      </c>
      <c r="H14" s="10">
        <v>180.0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23</v>
      </c>
      <c r="D15" s="6">
        <v>37.5</v>
      </c>
      <c r="E15" s="8">
        <v>46073.39982482639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12.0</v>
      </c>
      <c r="E16" s="8">
        <v>46073.39990243055</v>
      </c>
      <c r="F16" s="2"/>
      <c r="G16" s="15" t="s">
        <v>25</v>
      </c>
      <c r="H16" s="16">
        <f>SUM(H9:H14)</f>
        <v>8816</v>
      </c>
      <c r="I16" s="3"/>
      <c r="J16" s="15" t="s">
        <v>26</v>
      </c>
      <c r="K16" s="16">
        <f>SUM(K9:K11)</f>
        <v>8717.5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14</v>
      </c>
      <c r="D17" s="6">
        <v>6.0</v>
      </c>
      <c r="E17" s="8">
        <v>46073.400003483795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120.0</v>
      </c>
      <c r="E18" s="8">
        <v>46073.40020931713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545.0</v>
      </c>
      <c r="E19" s="8">
        <v>46073.400325104165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7</v>
      </c>
      <c r="D20" s="6">
        <v>5.0</v>
      </c>
      <c r="E20" s="8">
        <v>46073.40041266204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29</v>
      </c>
      <c r="D21" s="6">
        <v>78.0</v>
      </c>
      <c r="E21" s="8">
        <v>46073.40711863426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30</v>
      </c>
      <c r="D22" s="6">
        <v>5.5</v>
      </c>
      <c r="E22" s="8">
        <v>46073.424128530096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31</v>
      </c>
      <c r="D23" s="6">
        <v>8.0</v>
      </c>
      <c r="E23" s="8">
        <v>46073.42424165509</v>
      </c>
      <c r="F23" s="2"/>
      <c r="G23" s="19" t="s">
        <v>32</v>
      </c>
      <c r="H23" s="19" t="s">
        <v>33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34</v>
      </c>
      <c r="D24" s="6">
        <v>16.0</v>
      </c>
      <c r="E24" s="8">
        <v>46073.4256228125</v>
      </c>
      <c r="F24" s="2"/>
      <c r="G24" s="20">
        <v>64.0</v>
      </c>
      <c r="H24" s="20">
        <v>190.0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35</v>
      </c>
      <c r="D25" s="6">
        <v>140.0</v>
      </c>
      <c r="E25" s="8">
        <v>46073.425937673615</v>
      </c>
      <c r="F25" s="2"/>
      <c r="G25" s="20">
        <v>53.0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14</v>
      </c>
      <c r="D26" s="6">
        <v>3.0</v>
      </c>
      <c r="E26" s="8">
        <v>46073.42611447917</v>
      </c>
      <c r="F26" s="2"/>
      <c r="G26" s="22">
        <v>50.0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36</v>
      </c>
      <c r="D27" s="6">
        <v>9.0</v>
      </c>
      <c r="E27" s="8">
        <v>46073.42627782407</v>
      </c>
      <c r="F27" s="2"/>
      <c r="G27" s="20">
        <v>191.5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37</v>
      </c>
      <c r="D28" s="6">
        <v>12.0</v>
      </c>
      <c r="E28" s="8">
        <v>46073.430834548606</v>
      </c>
      <c r="F28" s="2"/>
      <c r="G28" s="20">
        <v>152.0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38</v>
      </c>
      <c r="D29" s="6">
        <v>16.0</v>
      </c>
      <c r="E29" s="8">
        <v>46073.43250509259</v>
      </c>
      <c r="F29" s="2"/>
      <c r="G29" s="20">
        <v>157.0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39</v>
      </c>
      <c r="D30" s="6">
        <v>60.0</v>
      </c>
      <c r="E30" s="8">
        <v>46073.43856061343</v>
      </c>
      <c r="F30" s="2"/>
      <c r="G30" s="20">
        <v>349.0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40</v>
      </c>
      <c r="D31" s="6">
        <v>8.0</v>
      </c>
      <c r="E31" s="8">
        <v>46073.4401650463</v>
      </c>
      <c r="F31" s="2"/>
      <c r="G31" s="20">
        <v>117.5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41</v>
      </c>
      <c r="D32" s="6">
        <v>12.0</v>
      </c>
      <c r="E32" s="8">
        <v>46073.46248967593</v>
      </c>
      <c r="F32" s="2"/>
      <c r="G32" s="20">
        <v>926.0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42</v>
      </c>
      <c r="D33" s="6">
        <v>20.0</v>
      </c>
      <c r="E33" s="8">
        <v>46073.4626885301</v>
      </c>
      <c r="F33" s="2"/>
      <c r="G33" s="20">
        <v>670.0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43</v>
      </c>
      <c r="D34" s="6">
        <v>62.0</v>
      </c>
      <c r="E34" s="8">
        <v>46073.46440732639</v>
      </c>
      <c r="F34" s="2"/>
      <c r="G34" s="20">
        <v>19.0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44</v>
      </c>
      <c r="D35" s="6">
        <v>26.0</v>
      </c>
      <c r="E35" s="8">
        <v>46073.47642131944</v>
      </c>
      <c r="F35" s="2"/>
      <c r="G35" s="20">
        <v>1062.0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45</v>
      </c>
      <c r="D36" s="6">
        <v>106.0</v>
      </c>
      <c r="E36" s="8">
        <v>46073.47660623843</v>
      </c>
      <c r="F36" s="2"/>
      <c r="G36" s="20">
        <v>105.0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46</v>
      </c>
      <c r="D37" s="6">
        <v>25.0</v>
      </c>
      <c r="E37" s="8">
        <v>46073.47674067129</v>
      </c>
      <c r="F37" s="2"/>
      <c r="G37" s="20">
        <v>200.0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47</v>
      </c>
      <c r="D38" s="6">
        <v>39.0</v>
      </c>
      <c r="E38" s="8">
        <v>46073.479896296296</v>
      </c>
      <c r="F38" s="2"/>
      <c r="G38" s="20">
        <v>48.0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4.0</v>
      </c>
      <c r="C39" s="7" t="s">
        <v>48</v>
      </c>
      <c r="D39" s="6">
        <v>168.0</v>
      </c>
      <c r="E39" s="8">
        <v>46073.48228049769</v>
      </c>
      <c r="F39" s="2"/>
      <c r="G39" s="20">
        <v>30.0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49</v>
      </c>
      <c r="D40" s="6">
        <v>181.0</v>
      </c>
      <c r="E40" s="8">
        <v>46073.48250525463</v>
      </c>
      <c r="F40" s="2"/>
      <c r="G40" s="20">
        <v>717.0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50</v>
      </c>
      <c r="D41" s="6">
        <v>64.0</v>
      </c>
      <c r="E41" s="8">
        <v>46073.50769403935</v>
      </c>
      <c r="F41" s="2"/>
      <c r="G41" s="20">
        <v>65.0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51</v>
      </c>
      <c r="D42" s="6">
        <v>36.0</v>
      </c>
      <c r="E42" s="8">
        <v>46073.5077583449</v>
      </c>
      <c r="F42" s="2"/>
      <c r="G42" s="20">
        <v>97.0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52</v>
      </c>
      <c r="D43" s="6">
        <v>17.5</v>
      </c>
      <c r="E43" s="8">
        <v>46073.50782924768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 t="s">
        <v>53</v>
      </c>
      <c r="C44" s="7" t="s">
        <v>54</v>
      </c>
      <c r="D44" s="6">
        <v>44.0</v>
      </c>
      <c r="E44" s="8">
        <v>46073.50843814814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55</v>
      </c>
      <c r="D45" s="6">
        <v>84.0</v>
      </c>
      <c r="E45" s="8">
        <v>46073.5089497338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56</v>
      </c>
      <c r="D46" s="6">
        <v>5.0</v>
      </c>
      <c r="E46" s="8">
        <v>46073.50985488426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57</v>
      </c>
      <c r="D47" s="6">
        <v>6.0</v>
      </c>
      <c r="E47" s="8">
        <v>46073.510034618055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58</v>
      </c>
      <c r="C48" s="7" t="s">
        <v>59</v>
      </c>
      <c r="D48" s="6">
        <v>20.0</v>
      </c>
      <c r="E48" s="8">
        <v>46073.56506178241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12.0</v>
      </c>
      <c r="E49" s="8">
        <v>46073.57690516204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61</v>
      </c>
      <c r="D50" s="6">
        <v>15.0</v>
      </c>
      <c r="E50" s="8">
        <v>46073.58163269676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62</v>
      </c>
      <c r="D51" s="6">
        <v>25.0</v>
      </c>
      <c r="E51" s="8">
        <v>46073.602736932866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63</v>
      </c>
      <c r="D52" s="6">
        <v>48.0</v>
      </c>
      <c r="E52" s="8">
        <v>46073.60672298611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64</v>
      </c>
      <c r="D53" s="6">
        <v>29.0</v>
      </c>
      <c r="E53" s="8">
        <v>46073.606787094905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850.0</v>
      </c>
      <c r="E54" s="8">
        <v>46073.60686811343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66</v>
      </c>
      <c r="D55" s="6">
        <v>670.0</v>
      </c>
      <c r="E55" s="8">
        <v>46073.60754511574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70.0</v>
      </c>
      <c r="E56" s="8">
        <v>46073.6205506713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19.0</v>
      </c>
      <c r="E57" s="8">
        <v>46073.63039247685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69</v>
      </c>
      <c r="D58" s="6">
        <v>52.0</v>
      </c>
      <c r="E58" s="8">
        <v>46073.64729976852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70</v>
      </c>
      <c r="D59" s="6">
        <v>32.0</v>
      </c>
      <c r="E59" s="8">
        <v>46073.65368135417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71</v>
      </c>
      <c r="D60" s="6">
        <v>15.0</v>
      </c>
      <c r="E60" s="8">
        <v>46073.653806180555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72</v>
      </c>
      <c r="D61" s="6">
        <v>132.0</v>
      </c>
      <c r="E61" s="8">
        <v>46073.65755202546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10.0</v>
      </c>
      <c r="C62" s="7" t="s">
        <v>73</v>
      </c>
      <c r="D62" s="6">
        <v>150.0</v>
      </c>
      <c r="E62" s="8">
        <v>46073.65763313657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74</v>
      </c>
      <c r="D63" s="6">
        <v>13.0</v>
      </c>
      <c r="E63" s="8">
        <v>46073.65829564814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75</v>
      </c>
      <c r="D64" s="6">
        <v>40.0</v>
      </c>
      <c r="E64" s="8">
        <v>46073.65872914351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5.0</v>
      </c>
      <c r="C65" s="7" t="s">
        <v>76</v>
      </c>
      <c r="D65" s="6">
        <v>125.0</v>
      </c>
      <c r="E65" s="8">
        <v>46073.65889305556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24.0</v>
      </c>
      <c r="C66" s="7" t="s">
        <v>77</v>
      </c>
      <c r="D66" s="6">
        <v>170.0</v>
      </c>
      <c r="E66" s="8">
        <v>46073.659000775464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5.0</v>
      </c>
      <c r="C67" s="7" t="s">
        <v>78</v>
      </c>
      <c r="D67" s="6">
        <v>125.0</v>
      </c>
      <c r="E67" s="8">
        <v>46073.659120219905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100.0</v>
      </c>
      <c r="E68" s="8">
        <v>46073.659223194445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36.0</v>
      </c>
      <c r="C69" s="7" t="s">
        <v>80</v>
      </c>
      <c r="D69" s="6">
        <v>342.0</v>
      </c>
      <c r="E69" s="8">
        <v>46073.66056160879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20.0</v>
      </c>
      <c r="C70" s="7" t="s">
        <v>81</v>
      </c>
      <c r="D70" s="6">
        <v>160.0</v>
      </c>
      <c r="E70" s="8">
        <v>46073.66091841435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78.0</v>
      </c>
      <c r="E71" s="8">
        <v>46073.66123770834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5.0</v>
      </c>
      <c r="C72" s="7" t="s">
        <v>83</v>
      </c>
      <c r="D72" s="6">
        <v>40.0</v>
      </c>
      <c r="E72" s="8">
        <v>46073.661315613426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40.0</v>
      </c>
      <c r="E73" s="8">
        <v>46073.661488171296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85</v>
      </c>
      <c r="D74" s="6">
        <v>15.0</v>
      </c>
      <c r="E74" s="8">
        <v>46073.66975753472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86</v>
      </c>
      <c r="D75" s="6">
        <v>30.0</v>
      </c>
      <c r="E75" s="8">
        <v>46073.67487707176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3.0</v>
      </c>
      <c r="C76" s="7" t="s">
        <v>87</v>
      </c>
      <c r="D76" s="6">
        <v>54.0</v>
      </c>
      <c r="E76" s="8">
        <v>46073.67502347223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4.0</v>
      </c>
      <c r="C77" s="7" t="s">
        <v>88</v>
      </c>
      <c r="D77" s="6">
        <v>52.0</v>
      </c>
      <c r="E77" s="8">
        <v>46073.675120925924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89</v>
      </c>
      <c r="D78" s="6">
        <v>54.0</v>
      </c>
      <c r="E78" s="8">
        <v>46073.67525189815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90</v>
      </c>
      <c r="D79" s="6">
        <v>72.0</v>
      </c>
      <c r="E79" s="8">
        <v>46073.67544697916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91</v>
      </c>
      <c r="D80" s="6">
        <v>95.0</v>
      </c>
      <c r="E80" s="8">
        <v>46073.679484479166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5.0</v>
      </c>
      <c r="C81" s="7" t="s">
        <v>92</v>
      </c>
      <c r="D81" s="6">
        <v>100.0</v>
      </c>
      <c r="E81" s="8">
        <v>46073.67960824074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4.0</v>
      </c>
      <c r="C82" s="7" t="s">
        <v>93</v>
      </c>
      <c r="D82" s="6">
        <v>52.0</v>
      </c>
      <c r="E82" s="8">
        <v>46073.68965586806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94</v>
      </c>
      <c r="D83" s="6">
        <v>323.0</v>
      </c>
      <c r="E83" s="8">
        <v>46073.69476810185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95</v>
      </c>
      <c r="D84" s="6">
        <v>10.0</v>
      </c>
      <c r="E84" s="8">
        <v>46073.694876319445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96</v>
      </c>
      <c r="D85" s="6">
        <v>23.0</v>
      </c>
      <c r="E85" s="8">
        <v>46073.69641344907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97</v>
      </c>
      <c r="D86" s="6">
        <v>50.0</v>
      </c>
      <c r="E86" s="8">
        <v>46073.69748097222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98</v>
      </c>
      <c r="D87" s="6">
        <v>73.0</v>
      </c>
      <c r="E87" s="8">
        <v>46073.70385534722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99</v>
      </c>
      <c r="D88" s="6">
        <v>23.0</v>
      </c>
      <c r="E88" s="8">
        <v>46073.70396709491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100</v>
      </c>
      <c r="D89" s="6">
        <v>25.0</v>
      </c>
      <c r="E89" s="8">
        <v>46073.70402643518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101</v>
      </c>
      <c r="D90" s="6">
        <v>61.0</v>
      </c>
      <c r="E90" s="8">
        <v>46073.70414212963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102</v>
      </c>
      <c r="D91" s="6">
        <v>26.0</v>
      </c>
      <c r="E91" s="8">
        <v>46073.7043030787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103</v>
      </c>
      <c r="D92" s="6">
        <v>20.0</v>
      </c>
      <c r="E92" s="8">
        <v>46073.70457216435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104</v>
      </c>
      <c r="D93" s="6">
        <v>48.0</v>
      </c>
      <c r="E93" s="8">
        <v>46073.70532219908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105</v>
      </c>
      <c r="D94" s="6">
        <v>7.0</v>
      </c>
      <c r="E94" s="8">
        <v>46073.70952560185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106</v>
      </c>
      <c r="D95" s="6">
        <v>30.0</v>
      </c>
      <c r="E95" s="8">
        <v>46073.7155005324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107</v>
      </c>
      <c r="D96" s="6">
        <v>717.0</v>
      </c>
      <c r="E96" s="8">
        <v>46073.722964189816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108</v>
      </c>
      <c r="D97" s="6">
        <v>17.0</v>
      </c>
      <c r="E97" s="8">
        <v>46073.72474597223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109</v>
      </c>
      <c r="D98" s="6">
        <v>8.0</v>
      </c>
      <c r="E98" s="8">
        <v>46073.724795601855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110</v>
      </c>
      <c r="D99" s="6">
        <v>65.0</v>
      </c>
      <c r="E99" s="8">
        <v>46073.72596471065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4.0</v>
      </c>
      <c r="C100" s="7" t="s">
        <v>111</v>
      </c>
      <c r="D100" s="6">
        <v>100.0</v>
      </c>
      <c r="E100" s="8">
        <v>46073.726296759254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112</v>
      </c>
      <c r="D101" s="6">
        <v>19.0</v>
      </c>
      <c r="E101" s="8">
        <v>46073.73744398148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113</v>
      </c>
      <c r="D102" s="6">
        <v>15.0</v>
      </c>
      <c r="E102" s="8">
        <v>46073.737511134255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8.0</v>
      </c>
      <c r="C103" s="7" t="s">
        <v>114</v>
      </c>
      <c r="D103" s="6">
        <v>3.0</v>
      </c>
      <c r="E103" s="8">
        <v>46073.73766935185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115</v>
      </c>
      <c r="D104" s="6">
        <v>15.0</v>
      </c>
      <c r="E104" s="8">
        <v>46073.73779414352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116</v>
      </c>
      <c r="D105" s="6">
        <v>15.0</v>
      </c>
      <c r="E105" s="8">
        <v>46073.74675738426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117</v>
      </c>
      <c r="D106" s="6">
        <v>12.0</v>
      </c>
      <c r="E106" s="8">
        <v>46073.7606015162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118</v>
      </c>
      <c r="D107" s="6">
        <v>90.0</v>
      </c>
      <c r="E107" s="8">
        <v>46073.760651006945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