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<sst xmlns="http://schemas.openxmlformats.org/spreadsheetml/2006/main" count="109" uniqueCount="106">
  <si>
    <t>HOJA DE CALCULO FERRETERIA</t>
  </si>
  <si>
    <t>CODIGO</t>
  </si>
  <si>
    <t>CANTIDAD</t>
  </si>
  <si>
    <t>DESCRIPCION</t>
  </si>
  <si>
    <t>TOTAL</t>
  </si>
  <si>
    <t>HORA</t>
  </si>
  <si>
    <t>CUADRAR</t>
  </si>
  <si>
    <t>escamocita 1/2kl</t>
  </si>
  <si>
    <t>cionta anildeslizante</t>
  </si>
  <si>
    <t>MONEDAS</t>
  </si>
  <si>
    <t>CAJA CHICA</t>
  </si>
  <si>
    <t>cinta antideslizante t ruper</t>
  </si>
  <si>
    <t>BILLETES 10-20</t>
  </si>
  <si>
    <t>TOTAL VENTAS DIA</t>
  </si>
  <si>
    <t>brokca palesta</t>
  </si>
  <si>
    <t>BILLETES 50-100-200</t>
  </si>
  <si>
    <t>AUMENTO DE DINERO</t>
  </si>
  <si>
    <t>broca palesta</t>
  </si>
  <si>
    <t>INGRESOS YAPE</t>
  </si>
  <si>
    <t>discoc epillo 5</t>
  </si>
  <si>
    <t>INGRESOS TARJETA</t>
  </si>
  <si>
    <t>lentes de proteccion</t>
  </si>
  <si>
    <t>GASTOS VARIOS</t>
  </si>
  <si>
    <t>disco cocnreto 7</t>
  </si>
  <si>
    <t>guate ferrawy</t>
  </si>
  <si>
    <t>DINERO GANADO HOY:</t>
  </si>
  <si>
    <t>CANTIDAD DINERO CAJA:</t>
  </si>
  <si>
    <t xml:space="preserve">puco de manguera </t>
  </si>
  <si>
    <t>copla 1 tigre</t>
  </si>
  <si>
    <t>espica 1</t>
  </si>
  <si>
    <t>hilo 8</t>
  </si>
  <si>
    <t>clavija h</t>
  </si>
  <si>
    <t>filtro de compresora</t>
  </si>
  <si>
    <t>broca irwin 6</t>
  </si>
  <si>
    <t>YAPE MAMÁ</t>
  </si>
  <si>
    <t>YAPE PAPÁ</t>
  </si>
  <si>
    <t>YAPE</t>
  </si>
  <si>
    <t>serrucho jadever</t>
  </si>
  <si>
    <t>Monto Total YAPE (No tocar):</t>
  </si>
  <si>
    <t>llave dpaso 1/2 imitacio</t>
  </si>
  <si>
    <t>cono 90cm</t>
  </si>
  <si>
    <t>Monto Total Registrado en aplicacion</t>
  </si>
  <si>
    <t>candado 25mm</t>
  </si>
  <si>
    <t>aldava 1</t>
  </si>
  <si>
    <t>codo 1/2</t>
  </si>
  <si>
    <t>copla 1/2</t>
  </si>
  <si>
    <t>adaptador 1/2</t>
  </si>
  <si>
    <t>cañeria 1/2</t>
  </si>
  <si>
    <t>2m</t>
  </si>
  <si>
    <t>mabuera nible 1/4</t>
  </si>
  <si>
    <t>polifur</t>
  </si>
  <si>
    <t>PAGOS YAPE</t>
  </si>
  <si>
    <t>DESCRIPCION PAGO</t>
  </si>
  <si>
    <t>lebte de segridad</t>
  </si>
  <si>
    <t>acople rapido 3/4</t>
  </si>
  <si>
    <t>pico tr</t>
  </si>
  <si>
    <t>brocha 3</t>
  </si>
  <si>
    <t>broca 6 debor</t>
  </si>
  <si>
    <t>semciod 3/4 pvc</t>
  </si>
  <si>
    <t>reduccion 3/4*1/2 tigre</t>
  </si>
  <si>
    <t>codo 3/4 pvc</t>
  </si>
  <si>
    <t>copla 3/4 pvc</t>
  </si>
  <si>
    <t>adaptador m 3/4</t>
  </si>
  <si>
    <t>adaptador h 3/4</t>
  </si>
  <si>
    <t>flaper</t>
  </si>
  <si>
    <t>flaper con cadena</t>
  </si>
  <si>
    <t>25m</t>
  </si>
  <si>
    <t>bipolar 10</t>
  </si>
  <si>
    <t xml:space="preserve">regleta </t>
  </si>
  <si>
    <t>clavija redonda</t>
  </si>
  <si>
    <t>disco resina 200</t>
  </si>
  <si>
    <t>disco resina 1500</t>
  </si>
  <si>
    <t>disco schach</t>
  </si>
  <si>
    <t>grampa 6</t>
  </si>
  <si>
    <t>grifo fv mescladora</t>
  </si>
  <si>
    <t>presintouyus</t>
  </si>
  <si>
    <t>clavija tramon</t>
  </si>
  <si>
    <t>docema autoperdorante</t>
  </si>
  <si>
    <t>armellas</t>
  </si>
  <si>
    <t>autoerforante 12x2/12</t>
  </si>
  <si>
    <t>tapa inodoro plastica</t>
  </si>
  <si>
    <t>broca fierro irwin</t>
  </si>
  <si>
    <t>tapon  1 tigre</t>
  </si>
  <si>
    <t>aerosol</t>
  </si>
  <si>
    <t>1m</t>
  </si>
  <si>
    <t>manguera 3/8</t>
  </si>
  <si>
    <t>alargador 3m</t>
  </si>
  <si>
    <t>unin de maguera</t>
  </si>
  <si>
    <t>adaptador grifo manguera</t>
  </si>
  <si>
    <t>acople rapido 1/2</t>
  </si>
  <si>
    <t>pico 1/2</t>
  </si>
  <si>
    <t>acople de riego</t>
  </si>
  <si>
    <t>lente de proteccion tr</t>
  </si>
  <si>
    <t>mascara doble filtro</t>
  </si>
  <si>
    <t xml:space="preserve">cemento cola </t>
  </si>
  <si>
    <t>chip 4.5x60</t>
  </si>
  <si>
    <t>arandela 5/16</t>
  </si>
  <si>
    <t>grifo fv lavaplatos</t>
  </si>
  <si>
    <t>tijera</t>
  </si>
  <si>
    <t>teflon</t>
  </si>
  <si>
    <t xml:space="preserve">brocas fierro </t>
  </si>
  <si>
    <t>BROCA TRUPER</t>
  </si>
  <si>
    <t>CANDOO HERMEX</t>
  </si>
  <si>
    <t>CINA ASILANE</t>
  </si>
  <si>
    <t xml:space="preserve">CLAVIJA ULTRA </t>
  </si>
  <si>
    <t>MANGUERA SALIDA LAV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</si>
</sst>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25.0</v>
      </c>
      <c r="E8" s="8">
        <v>46290.36388554398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70.0</v>
      </c>
      <c r="E9" s="8">
        <v>46290.36878326389</v>
      </c>
      <c r="F9" s="2"/>
      <c r="G9" s="9" t="s">
        <v>9</v>
      </c>
      <c r="H9" s="10">
        <v>114.0</v>
      </c>
      <c r="I9" s="2"/>
      <c r="J9" s="9" t="s">
        <v>10</v>
      </c>
      <c r="K9" s="10">
        <v>601.0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123.0</v>
      </c>
      <c r="E10" s="8">
        <v>46290.36884195602</v>
      </c>
      <c r="F10" s="2"/>
      <c r="G10" s="9" t="s">
        <v>12</v>
      </c>
      <c r="H10" s="10">
        <v>250.0</v>
      </c>
      <c r="I10" s="2"/>
      <c r="J10" s="9" t="s">
        <v>13</v>
      </c>
      <c r="K10" s="11">
        <f>SUM(PRINCIPAL[TOTAL])</f>
        <v>4835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27.0</v>
      </c>
      <c r="E11" s="8">
        <v>46290.369568888884</v>
      </c>
      <c r="F11" s="2"/>
      <c r="G11" s="9" t="s">
        <v>15</v>
      </c>
      <c r="H11" s="10">
        <v>1800.0</v>
      </c>
      <c r="I11" s="2"/>
      <c r="J11" s="9" t="s">
        <v>16</v>
      </c>
      <c r="K11" s="10">
        <v>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28.0</v>
      </c>
      <c r="E12" s="8">
        <v>46290.36960104167</v>
      </c>
      <c r="F12" s="2"/>
      <c r="G12" s="9" t="s">
        <v>18</v>
      </c>
      <c r="H12" s="12">
        <f>SUM(G24:H361)</f>
        <v>3239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29.0</v>
      </c>
      <c r="E13" s="8">
        <v>46290.37306878473</v>
      </c>
      <c r="F13" s="2"/>
      <c r="G13" s="9" t="s">
        <v>20</v>
      </c>
      <c r="H13" s="10">
        <v>149.0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58.0</v>
      </c>
      <c r="E14" s="8">
        <v>46290.38625848379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57.0</v>
      </c>
      <c r="E15" s="8">
        <v>46290.38630627315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30.0</v>
      </c>
      <c r="E16" s="8">
        <v>46290.38713607639</v>
      </c>
      <c r="F16" s="2"/>
      <c r="G16" s="15" t="s">
        <v>25</v>
      </c>
      <c r="H16" s="16">
        <f>SUM(H9:H14)</f>
        <v>5552</v>
      </c>
      <c r="I16" s="3"/>
      <c r="J16" s="15" t="s">
        <v>26</v>
      </c>
      <c r="K16" s="16">
        <f>SUM(K9:K11)</f>
        <v>5516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30.0</v>
      </c>
      <c r="E17" s="8">
        <v>46290.407357476855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8.0</v>
      </c>
      <c r="E18" s="8">
        <v>46290.41020752315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36,00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18">
        <v>8.0</v>
      </c>
      <c r="E19" s="8">
        <v>46290.41026065972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18">
        <v>26.0</v>
      </c>
      <c r="E20" s="8">
        <v>46290.416959525464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11.0</v>
      </c>
      <c r="E21" s="8">
        <v>46290.41756453704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71.0</v>
      </c>
      <c r="E22" s="8">
        <v>46290.42069402778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34.0</v>
      </c>
      <c r="E23" s="8">
        <v>46290.42436322916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48.0</v>
      </c>
      <c r="E24" s="8">
        <v>46290.42733744213</v>
      </c>
      <c r="F24" s="2"/>
      <c r="G24" s="23">
        <v>55.0</v>
      </c>
      <c r="H24" s="24"/>
      <c r="I24" s="2"/>
      <c r="J24" s="25" t="s">
        <v>38</v>
      </c>
      <c r="K24" s="26">
        <f>SUM(INGRESOS_YAPE[])</f>
        <v>3239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49.0</v>
      </c>
      <c r="E25" s="8">
        <v>46290.43339607639</v>
      </c>
      <c r="F25" s="2"/>
      <c r="G25" s="23">
        <v>16.0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10.0</v>
      </c>
      <c r="C26" s="7" t="s">
        <v>40</v>
      </c>
      <c r="D26" s="6">
        <v>2100.0</v>
      </c>
      <c r="E26" s="8">
        <v>46290.44111629629</v>
      </c>
      <c r="F26" s="2"/>
      <c r="G26" s="27">
        <v>71.0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6.0</v>
      </c>
      <c r="C27" s="7" t="s">
        <v>42</v>
      </c>
      <c r="D27" s="18">
        <v>126.0</v>
      </c>
      <c r="E27" s="8">
        <v>46290.45329934028</v>
      </c>
      <c r="F27" s="2"/>
      <c r="G27" s="23">
        <v>49.0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6.0</v>
      </c>
      <c r="C28" s="7" t="s">
        <v>43</v>
      </c>
      <c r="D28" s="6">
        <v>27.0</v>
      </c>
      <c r="E28" s="8">
        <v>46290.45322675926</v>
      </c>
      <c r="F28" s="2"/>
      <c r="G28" s="23">
        <v>2100.0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4.0</v>
      </c>
      <c r="E29" s="8">
        <v>46290.45317653935</v>
      </c>
      <c r="F29" s="2"/>
      <c r="G29" s="23">
        <v>174.0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3239,00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4.0</v>
      </c>
      <c r="E30" s="8">
        <v>46290.453136446755</v>
      </c>
      <c r="F30" s="2"/>
      <c r="G30" s="23">
        <v>28.0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3.0</v>
      </c>
      <c r="E31" s="8">
        <v>46290.45311333334</v>
      </c>
      <c r="F31" s="2"/>
      <c r="G31" s="23">
        <v>89.0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10.0</v>
      </c>
      <c r="E32" s="8">
        <v>46290.4530490162</v>
      </c>
      <c r="F32" s="2"/>
      <c r="G32" s="23">
        <v>70.0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48</v>
      </c>
      <c r="C33" s="7" t="s">
        <v>49</v>
      </c>
      <c r="D33" s="6">
        <v>20.0</v>
      </c>
      <c r="E33" s="8">
        <v>46290.45759685185</v>
      </c>
      <c r="F33" s="2"/>
      <c r="G33" s="23">
        <v>5.0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40.0</v>
      </c>
      <c r="E34" s="8">
        <v>46290.46721584491</v>
      </c>
      <c r="F34" s="2"/>
      <c r="G34" s="23">
        <v>79.0</v>
      </c>
      <c r="H34" s="24"/>
      <c r="I34" s="2"/>
      <c r="J34" s="31" t="s">
        <v>51</v>
      </c>
      <c r="K34" s="31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12.0</v>
      </c>
      <c r="E35" s="8">
        <v>46290.467273229166</v>
      </c>
      <c r="F35" s="2"/>
      <c r="G35" s="23">
        <v>266.0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35.0</v>
      </c>
      <c r="E36" s="8">
        <v>46290.49073625</v>
      </c>
      <c r="F36" s="2"/>
      <c r="G36" s="23">
        <v>148.0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8.0</v>
      </c>
      <c r="E37" s="8">
        <v>46290.49077449074</v>
      </c>
      <c r="F37" s="2"/>
      <c r="G37" s="23">
        <v>45.0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13.0</v>
      </c>
      <c r="E38" s="8">
        <v>46290.49175793982</v>
      </c>
      <c r="F38" s="2"/>
      <c r="G38" s="23">
        <v>30.0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25.0</v>
      </c>
      <c r="E39" s="8">
        <v>46290.492111377316</v>
      </c>
      <c r="F39" s="2"/>
      <c r="G39" s="23">
        <v>14.0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58</v>
      </c>
      <c r="D40" s="6">
        <v>16.0</v>
      </c>
      <c r="E40" s="8">
        <v>46290.510566006946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59</v>
      </c>
      <c r="D41" s="6">
        <v>4.0</v>
      </c>
      <c r="E41" s="8">
        <v>46290.49994524306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10.0</v>
      </c>
      <c r="C42" s="7" t="s">
        <v>60</v>
      </c>
      <c r="D42" s="6">
        <v>50.0</v>
      </c>
      <c r="E42" s="8">
        <v>46290.4997834838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10.0</v>
      </c>
      <c r="C43" s="7" t="s">
        <v>61</v>
      </c>
      <c r="D43" s="6">
        <v>30.0</v>
      </c>
      <c r="E43" s="8">
        <v>46290.499680636574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62</v>
      </c>
      <c r="D44" s="6">
        <v>8.0</v>
      </c>
      <c r="E44" s="8">
        <v>46290.49959637731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5.0</v>
      </c>
      <c r="E45" s="8">
        <v>46290.49952063657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64</v>
      </c>
      <c r="D46" s="6">
        <v>10.0</v>
      </c>
      <c r="E46" s="8">
        <v>46290.510597789355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65</v>
      </c>
      <c r="D47" s="6">
        <v>18.0</v>
      </c>
      <c r="E47" s="8">
        <v>46290.51094237268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66</v>
      </c>
      <c r="C48" s="7" t="s">
        <v>67</v>
      </c>
      <c r="D48" s="6">
        <v>125.0</v>
      </c>
      <c r="E48" s="8">
        <v>46290.51777349537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18.0</v>
      </c>
      <c r="E49" s="8">
        <v>46290.51784756944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6.0</v>
      </c>
      <c r="E50" s="8">
        <v>46290.51793100694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32.0</v>
      </c>
      <c r="E51" s="8">
        <v>46290.518355277774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32.0</v>
      </c>
      <c r="E52" s="8">
        <v>46290.51829721065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25.0</v>
      </c>
      <c r="E53" s="8">
        <v>46290.51820157407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8.0</v>
      </c>
      <c r="E54" s="8">
        <v>46290.52467899305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205.0</v>
      </c>
      <c r="E55" s="8">
        <v>46290.53106728009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15.0</v>
      </c>
      <c r="E56" s="8">
        <v>46290.537807939814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31</v>
      </c>
      <c r="D57" s="6">
        <v>11.0</v>
      </c>
      <c r="E57" s="8">
        <v>46290.53793366898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8.0</v>
      </c>
      <c r="E58" s="8">
        <v>46290.53803214121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8.5</v>
      </c>
      <c r="C59" s="7" t="s">
        <v>77</v>
      </c>
      <c r="D59" s="6">
        <v>17.0</v>
      </c>
      <c r="E59" s="8">
        <v>46290.538137627314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78</v>
      </c>
      <c r="D60" s="6">
        <v>5.5</v>
      </c>
      <c r="E60" s="8">
        <v>46290.544555625005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24.0</v>
      </c>
      <c r="C61" s="7" t="s">
        <v>79</v>
      </c>
      <c r="D61" s="6">
        <v>22.0</v>
      </c>
      <c r="E61" s="8">
        <v>46290.57821601852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70.0</v>
      </c>
      <c r="E62" s="8">
        <v>46290.60860190973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36.0</v>
      </c>
      <c r="E63" s="8">
        <v>46290.62058861111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16.0</v>
      </c>
      <c r="E64" s="8">
        <v>46290.62065024306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5.0</v>
      </c>
      <c r="E65" s="8">
        <v>46290.63061133102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20.0</v>
      </c>
      <c r="E66" s="8">
        <v>46290.641996342594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84</v>
      </c>
      <c r="C67" s="7" t="s">
        <v>85</v>
      </c>
      <c r="D67" s="6">
        <v>10.5</v>
      </c>
      <c r="E67" s="8">
        <v>46290.643356875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79.0</v>
      </c>
      <c r="E68" s="8">
        <v>46290.643460231484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87</v>
      </c>
      <c r="D69" s="6">
        <v>16.0</v>
      </c>
      <c r="E69" s="8">
        <v>46290.65954872685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8.0</v>
      </c>
      <c r="E70" s="8">
        <v>46290.65971153935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3.0</v>
      </c>
      <c r="C71" s="7" t="s">
        <v>89</v>
      </c>
      <c r="D71" s="6">
        <v>24.0</v>
      </c>
      <c r="E71" s="8">
        <v>46290.659840671295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90</v>
      </c>
      <c r="D72" s="6">
        <v>14.0</v>
      </c>
      <c r="E72" s="8">
        <v>46290.65999635417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12.0</v>
      </c>
      <c r="E73" s="8">
        <v>46290.66006768518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142.0</v>
      </c>
      <c r="E74" s="8">
        <v>46290.6724631713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124.0</v>
      </c>
      <c r="E75" s="8">
        <v>46290.672608912035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32.0</v>
      </c>
      <c r="E76" s="8">
        <v>46290.679333657405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12.0</v>
      </c>
      <c r="C77" s="7" t="s">
        <v>95</v>
      </c>
      <c r="D77" s="6">
        <v>4.0</v>
      </c>
      <c r="E77" s="8">
        <v>46290.68205877315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12.0</v>
      </c>
      <c r="C78" s="7" t="s">
        <v>96</v>
      </c>
      <c r="D78" s="6">
        <v>3.0</v>
      </c>
      <c r="E78" s="8">
        <v>46290.682146562496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145.0</v>
      </c>
      <c r="E79" s="8">
        <v>46290.690323622686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20.0</v>
      </c>
      <c r="E80" s="8">
        <v>46290.69039791667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3.0</v>
      </c>
      <c r="E81" s="8">
        <v>46290.69043803241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100</v>
      </c>
      <c r="D82" s="6">
        <v>21.0</v>
      </c>
      <c r="E82" s="8">
        <v>46290.69797501157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81</v>
      </c>
      <c r="D83" s="6">
        <v>24.0</v>
      </c>
      <c r="E83" s="8">
        <v>46290.69802444444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45.0</v>
      </c>
      <c r="E84" s="8">
        <v>46290.70588891204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21.0</v>
      </c>
      <c r="E85" s="8">
        <v>46290.71357476852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14.0</v>
      </c>
      <c r="E86" s="8">
        <v>46290.72064295139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7.0</v>
      </c>
      <c r="E87" s="8">
        <v>46290.72457335648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90.0</v>
      </c>
      <c r="E88" s="8">
        <v>46290.77755881945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