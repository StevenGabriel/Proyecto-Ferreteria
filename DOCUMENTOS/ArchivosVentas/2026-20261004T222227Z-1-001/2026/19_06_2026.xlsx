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<sst xmlns="http://schemas.openxmlformats.org/spreadsheetml/2006/main" count="114" uniqueCount="112">
  <si>
    <t>HOJA DE CALCULO FERRETERIA</t>
  </si>
  <si>
    <t>CODIGO</t>
  </si>
  <si>
    <t>CANTIDAD</t>
  </si>
  <si>
    <t>DESCRIPCION</t>
  </si>
  <si>
    <t>TOTAL</t>
  </si>
  <si>
    <t>HORA</t>
  </si>
  <si>
    <t>CUADRAR</t>
  </si>
  <si>
    <t>mariposa de gas</t>
  </si>
  <si>
    <t>1M</t>
  </si>
  <si>
    <t>MAGUERA 1/2</t>
  </si>
  <si>
    <t>MONEDAS</t>
  </si>
  <si>
    <t>CAJA CHICA</t>
  </si>
  <si>
    <t>BROC A CONCRETO 6</t>
  </si>
  <si>
    <t>BILLETES 10-20</t>
  </si>
  <si>
    <t>TOTAL VENTAS DIA</t>
  </si>
  <si>
    <t>ESTILETE</t>
  </si>
  <si>
    <t>BILLETES 50-100-200</t>
  </si>
  <si>
    <t>AUMENTO DE DINERO</t>
  </si>
  <si>
    <t>TEGATON 11/2</t>
  </si>
  <si>
    <t>INGRESOS YAPE</t>
  </si>
  <si>
    <t>LLAVE COMBINADA 10</t>
  </si>
  <si>
    <t>INGRESOS TARJETA</t>
  </si>
  <si>
    <t>MANGUERA NIVEL 5/16</t>
  </si>
  <si>
    <t>GASTOS VARIOS</t>
  </si>
  <si>
    <t>SILIONA DELGAD</t>
  </si>
  <si>
    <t>SILICONA GRUESA</t>
  </si>
  <si>
    <t>DINERO GANADO HOY:</t>
  </si>
  <si>
    <t>CANTIDAD DINERO CAJA:</t>
  </si>
  <si>
    <t>PISTOLA CALIAENT DELGAD</t>
  </si>
  <si>
    <t>PISTOLA CALIENTE GRUESA</t>
  </si>
  <si>
    <t>AZADON</t>
  </si>
  <si>
    <t>PALO DE AZADON</t>
  </si>
  <si>
    <t>TENSOR</t>
  </si>
  <si>
    <t>RIEL DE BARRA</t>
  </si>
  <si>
    <t>RAMPLU 6 LH</t>
  </si>
  <si>
    <t>YAPE MAMÁ</t>
  </si>
  <si>
    <t>YAPE PAPÁ</t>
  </si>
  <si>
    <t>YAPE</t>
  </si>
  <si>
    <t>CIERRA DE DRYWALL</t>
  </si>
  <si>
    <t>Monto Total YAPE (No tocar):</t>
  </si>
  <si>
    <t>PILAS DURACEL AA</t>
  </si>
  <si>
    <t>Monto Total Registrado en aplicacion</t>
  </si>
  <si>
    <t>COPLA HM 1/2</t>
  </si>
  <si>
    <t>1,5M</t>
  </si>
  <si>
    <t>CADENA 3/16</t>
  </si>
  <si>
    <t>FLOTADOR 3/4</t>
  </si>
  <si>
    <t>TEFLON</t>
  </si>
  <si>
    <t>LIJA 240</t>
  </si>
  <si>
    <t>ASACABLE BATERIA 400A 3M</t>
  </si>
  <si>
    <t>GANCHO</t>
  </si>
  <si>
    <t>LIGAS MOTO</t>
  </si>
  <si>
    <t>PAGOS YAPE</t>
  </si>
  <si>
    <t>DESCRIPCION PAGO</t>
  </si>
  <si>
    <t>ESLINGA</t>
  </si>
  <si>
    <t>LIJADORA</t>
  </si>
  <si>
    <t>16M</t>
  </si>
  <si>
    <t>MANGUERA 3/8</t>
  </si>
  <si>
    <t>AROOSOL NEGRO MATE</t>
  </si>
  <si>
    <t>1 DOC</t>
  </si>
  <si>
    <t>CINTA</t>
  </si>
  <si>
    <t>TESADOR</t>
  </si>
  <si>
    <t>SUJETA CABLES</t>
  </si>
  <si>
    <t>DADO LARGO 21</t>
  </si>
  <si>
    <t>PICO DE LORO TR</t>
  </si>
  <si>
    <t>JUEGO ALICATE DE PRECION</t>
  </si>
  <si>
    <t>BARROTE 1/2</t>
  </si>
  <si>
    <t>ALARGADOR 1/2</t>
  </si>
  <si>
    <t>ALARGADOR 1/2 CORTA</t>
  </si>
  <si>
    <t>GUEICH</t>
  </si>
  <si>
    <t>JUEGO DE DEXARMADOR</t>
  </si>
  <si>
    <t>DESARMADOR DE GOLPE</t>
  </si>
  <si>
    <t>JUEG DE ACOPLES 6P</t>
  </si>
  <si>
    <t>JUEGO DE ACIPLES 4P</t>
  </si>
  <si>
    <t>LLAVE STILSON18</t>
  </si>
  <si>
    <t>NIPLE 1/2</t>
  </si>
  <si>
    <t>REDUCION 3/4*/2</t>
  </si>
  <si>
    <t>1kl</t>
  </si>
  <si>
    <t>alambre de ammare</t>
  </si>
  <si>
    <t>desarmador reversible</t>
  </si>
  <si>
    <t>acople ara compresora</t>
  </si>
  <si>
    <t>brocha 4</t>
  </si>
  <si>
    <t>rmplu ladrigunhueco 10</t>
  </si>
  <si>
    <t>tirafaon dio  1/4*21/2</t>
  </si>
  <si>
    <t>aranderla 1/4</t>
  </si>
  <si>
    <t>grifio leato tolls</t>
  </si>
  <si>
    <t>abrazaera 3/4</t>
  </si>
  <si>
    <t>4doc</t>
  </si>
  <si>
    <t>remache 4.8x12</t>
  </si>
  <si>
    <t>tornollos m6x30</t>
  </si>
  <si>
    <t>arandela 1/4</t>
  </si>
  <si>
    <t>broca madera 6</t>
  </si>
  <si>
    <t>broca fierro 5</t>
  </si>
  <si>
    <t>broca fierro 6</t>
  </si>
  <si>
    <t>CIERRA DE JARDIN</t>
  </si>
  <si>
    <t>DESARMADOR</t>
  </si>
  <si>
    <t>PLACA SIMPLE INTERRUPTOR</t>
  </si>
  <si>
    <t>CHAPA TRAVEX 370</t>
  </si>
  <si>
    <t>FLEXO 3M</t>
  </si>
  <si>
    <t>toma epen si</t>
  </si>
  <si>
    <t>escuadras maqnaeeic</t>
  </si>
  <si>
    <t>escuadfa magneti</t>
  </si>
  <si>
    <t>DECRUSBE</t>
  </si>
  <si>
    <t>PICO TOSEN 3/4</t>
  </si>
  <si>
    <t>ADAPTDRO TOLSEN 3/4</t>
  </si>
  <si>
    <t>CUBRE CABLE 26*15</t>
  </si>
  <si>
    <t>AEROSOL</t>
  </si>
  <si>
    <t>UNIONN DE MANGUERA</t>
  </si>
  <si>
    <t xml:space="preserve">CINA AISLANE </t>
  </si>
  <si>
    <t>BOLSA DE PREECINTOS</t>
  </si>
  <si>
    <t>LIMA</t>
  </si>
  <si>
    <t>BOSLA ADE PREECINO</t>
  </si>
  <si>
    <t>canddo hermaex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</si>
</sst>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4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  <font>
      <color rgb="FFEFEFE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1" fillId="0" fontId="2" numFmtId="0" xfId="0" applyAlignment="1" applyBorder="1" applyFont="1">
      <alignment shrinkToFit="0" vertical="center" wrapText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13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12.5</v>
      </c>
      <c r="E8" s="8">
        <v>46192.355871875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 t="s">
        <v>8</v>
      </c>
      <c r="C9" s="7" t="s">
        <v>9</v>
      </c>
      <c r="D9" s="6">
        <v>10.0</v>
      </c>
      <c r="E9" s="8">
        <v>46192.36025084491</v>
      </c>
      <c r="F9" s="2"/>
      <c r="G9" s="9" t="s">
        <v>10</v>
      </c>
      <c r="H9" s="10">
        <v>71.5</v>
      </c>
      <c r="I9" s="2"/>
      <c r="J9" s="9" t="s">
        <v>11</v>
      </c>
      <c r="K9" s="10">
        <v>711.5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12</v>
      </c>
      <c r="D10" s="6">
        <v>16.0</v>
      </c>
      <c r="E10" s="8">
        <v>46192.36803744213</v>
      </c>
      <c r="F10" s="2"/>
      <c r="G10" s="9" t="s">
        <v>13</v>
      </c>
      <c r="H10" s="10">
        <v>650.0</v>
      </c>
      <c r="I10" s="2"/>
      <c r="J10" s="9" t="s">
        <v>14</v>
      </c>
      <c r="K10" s="11">
        <f>SUM(PRINCIPAL[TOTAL])</f>
        <v>4814.5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15</v>
      </c>
      <c r="D11" s="6">
        <v>40.0</v>
      </c>
      <c r="E11" s="8">
        <v>46192.368082430556</v>
      </c>
      <c r="F11" s="2"/>
      <c r="G11" s="9" t="s">
        <v>16</v>
      </c>
      <c r="H11" s="10">
        <v>2050.0</v>
      </c>
      <c r="I11" s="2"/>
      <c r="J11" s="9" t="s">
        <v>17</v>
      </c>
      <c r="K11" s="10">
        <v>200.0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4.0</v>
      </c>
      <c r="C12" s="7" t="s">
        <v>18</v>
      </c>
      <c r="D12" s="6">
        <v>24.0</v>
      </c>
      <c r="E12" s="8">
        <v>46192.4115815625</v>
      </c>
      <c r="F12" s="2"/>
      <c r="G12" s="9" t="s">
        <v>19</v>
      </c>
      <c r="H12" s="12">
        <f>SUM(G24:H361)</f>
        <v>2921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23.0</v>
      </c>
      <c r="E13" s="8">
        <v>46192.41374532407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3.0</v>
      </c>
      <c r="C14" s="7" t="s">
        <v>22</v>
      </c>
      <c r="D14" s="6">
        <v>15.0</v>
      </c>
      <c r="E14" s="8">
        <v>46192.42298650463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5.0</v>
      </c>
      <c r="C15" s="7" t="s">
        <v>24</v>
      </c>
      <c r="D15" s="6">
        <v>12.5</v>
      </c>
      <c r="E15" s="8">
        <v>46192.42384484954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5.0</v>
      </c>
      <c r="C16" s="7" t="s">
        <v>25</v>
      </c>
      <c r="D16" s="6">
        <v>15.0</v>
      </c>
      <c r="E16" s="8">
        <v>46192.423928020835</v>
      </c>
      <c r="F16" s="2"/>
      <c r="G16" s="15" t="s">
        <v>26</v>
      </c>
      <c r="H16" s="16">
        <f>SUM(H9:H14)</f>
        <v>5692.5</v>
      </c>
      <c r="I16" s="3"/>
      <c r="J16" s="15" t="s">
        <v>27</v>
      </c>
      <c r="K16" s="16">
        <f>SUM(K9:K11)</f>
        <v>5726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63.0</v>
      </c>
      <c r="E17" s="8">
        <v>46192.42370108796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90.0</v>
      </c>
      <c r="E18" s="8">
        <v>46192.42378440972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33,50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30</v>
      </c>
      <c r="D19" s="6">
        <v>132.0</v>
      </c>
      <c r="E19" s="8">
        <v>46192.42569065972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31</v>
      </c>
      <c r="D20" s="6">
        <v>30.0</v>
      </c>
      <c r="E20" s="8">
        <v>46192.42577835648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11.0</v>
      </c>
      <c r="E21" s="8">
        <v>46192.434346875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45.0</v>
      </c>
      <c r="E22" s="8">
        <v>46192.43822458333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12.0</v>
      </c>
      <c r="C23" s="7" t="s">
        <v>34</v>
      </c>
      <c r="D23" s="6">
        <v>3.0</v>
      </c>
      <c r="E23" s="8">
        <v>46192.440739363425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55.0</v>
      </c>
      <c r="E24" s="8">
        <v>46192.44774752315</v>
      </c>
      <c r="F24" s="2"/>
      <c r="G24" s="22">
        <v>10.0</v>
      </c>
      <c r="H24" s="22">
        <v>340.0</v>
      </c>
      <c r="I24" s="2"/>
      <c r="J24" s="23" t="s">
        <v>39</v>
      </c>
      <c r="K24" s="24">
        <f>SUM(INGRESOS_YAPE[])</f>
        <v>2921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53.0</v>
      </c>
      <c r="E25" s="8">
        <v>46192.456505671296</v>
      </c>
      <c r="F25" s="2"/>
      <c r="G25" s="22">
        <v>24.0</v>
      </c>
      <c r="H25" s="22">
        <v>1394.0</v>
      </c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15</v>
      </c>
      <c r="D26" s="6">
        <v>10.0</v>
      </c>
      <c r="E26" s="8">
        <v>46192.45656733796</v>
      </c>
      <c r="F26" s="2"/>
      <c r="G26" s="25">
        <v>162.0</v>
      </c>
      <c r="H26" s="22"/>
      <c r="I26" s="2"/>
      <c r="J26" s="26" t="s">
        <v>41</v>
      </c>
      <c r="K26" s="27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4.0</v>
      </c>
      <c r="E27" s="8">
        <v>46192.456629224536</v>
      </c>
      <c r="F27" s="2"/>
      <c r="G27" s="22">
        <v>15.0</v>
      </c>
      <c r="H27" s="28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 t="s">
        <v>43</v>
      </c>
      <c r="C28" s="7" t="s">
        <v>44</v>
      </c>
      <c r="D28" s="6">
        <v>30.0</v>
      </c>
      <c r="E28" s="8">
        <v>46192.46484748843</v>
      </c>
      <c r="F28" s="2"/>
      <c r="G28" s="22">
        <v>98.0</v>
      </c>
      <c r="H28" s="28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110.0</v>
      </c>
      <c r="E29" s="8">
        <v>46192.466965405096</v>
      </c>
      <c r="F29" s="2"/>
      <c r="G29" s="22">
        <v>68.0</v>
      </c>
      <c r="H29" s="28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2921,00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2.5</v>
      </c>
      <c r="E30" s="8">
        <v>46192.467025046295</v>
      </c>
      <c r="F30" s="2"/>
      <c r="G30" s="22">
        <v>104.0</v>
      </c>
      <c r="H30" s="28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5.0</v>
      </c>
      <c r="E31" s="8">
        <v>46192.46713609954</v>
      </c>
      <c r="F31" s="2"/>
      <c r="G31" s="22">
        <v>5.0</v>
      </c>
      <c r="H31" s="28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98.0</v>
      </c>
      <c r="E32" s="8">
        <v>46192.47392527778</v>
      </c>
      <c r="F32" s="2"/>
      <c r="G32" s="22">
        <v>60.0</v>
      </c>
      <c r="H32" s="28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6.0</v>
      </c>
      <c r="C33" s="7" t="s">
        <v>49</v>
      </c>
      <c r="D33" s="6">
        <v>68.0</v>
      </c>
      <c r="E33" s="8">
        <v>46192.48681686343</v>
      </c>
      <c r="F33" s="2"/>
      <c r="G33" s="22">
        <v>41.0</v>
      </c>
      <c r="H33" s="28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50</v>
      </c>
      <c r="D34" s="6">
        <v>40.0</v>
      </c>
      <c r="E34" s="8">
        <v>46192.487158379634</v>
      </c>
      <c r="F34" s="2"/>
      <c r="G34" s="22">
        <v>32.0</v>
      </c>
      <c r="H34" s="28"/>
      <c r="I34" s="2"/>
      <c r="J34" s="30" t="s">
        <v>51</v>
      </c>
      <c r="K34" s="30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49.0</v>
      </c>
      <c r="E35" s="8">
        <v>46192.489767384264</v>
      </c>
      <c r="F35" s="2"/>
      <c r="G35" s="22">
        <v>91.0</v>
      </c>
      <c r="H35" s="28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445.0</v>
      </c>
      <c r="E36" s="8">
        <v>46192.501900347226</v>
      </c>
      <c r="F36" s="2"/>
      <c r="G36" s="22">
        <v>117.0</v>
      </c>
      <c r="H36" s="28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 t="s">
        <v>55</v>
      </c>
      <c r="C37" s="7" t="s">
        <v>56</v>
      </c>
      <c r="D37" s="6">
        <v>104.0</v>
      </c>
      <c r="E37" s="8">
        <v>46192.51950658565</v>
      </c>
      <c r="F37" s="2"/>
      <c r="G37" s="22">
        <v>205.0</v>
      </c>
      <c r="H37" s="28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3.0</v>
      </c>
      <c r="C38" s="7" t="s">
        <v>57</v>
      </c>
      <c r="D38" s="6">
        <v>60.0</v>
      </c>
      <c r="E38" s="8">
        <v>46192.51970099537</v>
      </c>
      <c r="F38" s="2"/>
      <c r="G38" s="22">
        <v>65.0</v>
      </c>
      <c r="H38" s="28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 t="s">
        <v>58</v>
      </c>
      <c r="C39" s="7" t="s">
        <v>34</v>
      </c>
      <c r="D39" s="6">
        <v>2.0</v>
      </c>
      <c r="E39" s="8">
        <v>46192.528677685186</v>
      </c>
      <c r="F39" s="2"/>
      <c r="G39" s="22">
        <v>26.0</v>
      </c>
      <c r="H39" s="28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59</v>
      </c>
      <c r="D40" s="6">
        <v>9.0</v>
      </c>
      <c r="E40" s="8">
        <v>46192.52889431713</v>
      </c>
      <c r="F40" s="2"/>
      <c r="G40" s="22">
        <v>34.0</v>
      </c>
      <c r="H40" s="28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60</v>
      </c>
      <c r="D41" s="6">
        <v>11.0</v>
      </c>
      <c r="E41" s="8">
        <v>46192.52906917824</v>
      </c>
      <c r="F41" s="2"/>
      <c r="G41" s="28"/>
      <c r="H41" s="28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4.0</v>
      </c>
      <c r="C42" s="7" t="s">
        <v>61</v>
      </c>
      <c r="D42" s="6">
        <v>12.0</v>
      </c>
      <c r="E42" s="8">
        <v>46192.53438578703</v>
      </c>
      <c r="F42" s="2"/>
      <c r="G42" s="28"/>
      <c r="H42" s="28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51.0</v>
      </c>
      <c r="E43" s="8">
        <v>46192.55808996528</v>
      </c>
      <c r="F43" s="2"/>
      <c r="G43" s="28"/>
      <c r="H43" s="28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63</v>
      </c>
      <c r="D44" s="6">
        <v>98.0</v>
      </c>
      <c r="E44" s="8">
        <v>46192.55823579861</v>
      </c>
      <c r="F44" s="2"/>
      <c r="G44" s="28"/>
      <c r="H44" s="28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210.0</v>
      </c>
      <c r="E45" s="8">
        <v>46192.55837212963</v>
      </c>
      <c r="F45" s="2"/>
      <c r="G45" s="28"/>
      <c r="H45" s="28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65</v>
      </c>
      <c r="D46" s="6">
        <v>225.0</v>
      </c>
      <c r="E46" s="8">
        <v>46192.558562499995</v>
      </c>
      <c r="F46" s="2"/>
      <c r="G46" s="28"/>
      <c r="H46" s="28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66</v>
      </c>
      <c r="D47" s="6">
        <v>58.0</v>
      </c>
      <c r="E47" s="8">
        <v>46192.55865179398</v>
      </c>
      <c r="F47" s="2"/>
      <c r="G47" s="28"/>
      <c r="H47" s="28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67</v>
      </c>
      <c r="D48" s="6">
        <v>32.0</v>
      </c>
      <c r="E48" s="8">
        <v>46192.55880321759</v>
      </c>
      <c r="F48" s="2"/>
      <c r="G48" s="28"/>
      <c r="H48" s="28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68</v>
      </c>
      <c r="D49" s="6">
        <v>46.0</v>
      </c>
      <c r="E49" s="8">
        <v>46192.558901909724</v>
      </c>
      <c r="F49" s="2"/>
      <c r="G49" s="28"/>
      <c r="H49" s="28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69</v>
      </c>
      <c r="D50" s="6">
        <v>119.0</v>
      </c>
      <c r="E50" s="8">
        <v>46192.55902648148</v>
      </c>
      <c r="F50" s="2"/>
      <c r="G50" s="28"/>
      <c r="H50" s="28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70</v>
      </c>
      <c r="D51" s="6">
        <v>161.0</v>
      </c>
      <c r="E51" s="8">
        <v>46192.559146562504</v>
      </c>
      <c r="F51" s="2"/>
      <c r="G51" s="28"/>
      <c r="H51" s="28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71</v>
      </c>
      <c r="D52" s="6">
        <v>126.0</v>
      </c>
      <c r="E52" s="8">
        <v>46192.55935984953</v>
      </c>
      <c r="F52" s="2"/>
      <c r="G52" s="28"/>
      <c r="H52" s="28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72</v>
      </c>
      <c r="D53" s="6">
        <v>106.0</v>
      </c>
      <c r="E53" s="8">
        <v>46192.55949225694</v>
      </c>
      <c r="F53" s="2"/>
      <c r="G53" s="28"/>
      <c r="H53" s="28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73</v>
      </c>
      <c r="D54" s="6">
        <v>162.0</v>
      </c>
      <c r="E54" s="8">
        <v>46192.5596030787</v>
      </c>
      <c r="F54" s="2"/>
      <c r="G54" s="28"/>
      <c r="H54" s="28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74</v>
      </c>
      <c r="D55" s="6">
        <v>2.0</v>
      </c>
      <c r="E55" s="8">
        <v>46192.568340682876</v>
      </c>
      <c r="F55" s="2"/>
      <c r="G55" s="28"/>
      <c r="H55" s="28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75</v>
      </c>
      <c r="D56" s="6">
        <v>3.0</v>
      </c>
      <c r="E56" s="8">
        <v>46192.56842971065</v>
      </c>
      <c r="F56" s="2"/>
      <c r="G56" s="28"/>
      <c r="H56" s="28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 t="s">
        <v>76</v>
      </c>
      <c r="C57" s="7" t="s">
        <v>77</v>
      </c>
      <c r="D57" s="6">
        <v>19.0</v>
      </c>
      <c r="E57" s="8">
        <v>46192.58771527778</v>
      </c>
      <c r="F57" s="2"/>
      <c r="G57" s="28"/>
      <c r="H57" s="28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78</v>
      </c>
      <c r="D58" s="6">
        <v>7.0</v>
      </c>
      <c r="E58" s="8">
        <v>46192.610968912035</v>
      </c>
      <c r="F58" s="2"/>
      <c r="G58" s="28"/>
      <c r="H58" s="28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79</v>
      </c>
      <c r="D59" s="6">
        <v>41.0</v>
      </c>
      <c r="E59" s="8">
        <v>46192.61260414352</v>
      </c>
      <c r="F59" s="2"/>
      <c r="G59" s="28"/>
      <c r="H59" s="28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80</v>
      </c>
      <c r="D60" s="6">
        <v>32.0</v>
      </c>
      <c r="E60" s="8">
        <v>46192.623781041664</v>
      </c>
      <c r="F60" s="2"/>
      <c r="G60" s="28"/>
      <c r="H60" s="28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18.0</v>
      </c>
      <c r="C61" s="7" t="s">
        <v>81</v>
      </c>
      <c r="D61" s="6">
        <v>18.0</v>
      </c>
      <c r="E61" s="8">
        <v>46192.64217371528</v>
      </c>
      <c r="F61" s="2"/>
      <c r="G61" s="28"/>
      <c r="H61" s="28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18.0</v>
      </c>
      <c r="C62" s="7" t="s">
        <v>82</v>
      </c>
      <c r="D62" s="6">
        <v>12.0</v>
      </c>
      <c r="E62" s="8">
        <v>46192.64226663194</v>
      </c>
      <c r="F62" s="2"/>
      <c r="G62" s="28"/>
      <c r="H62" s="28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18.0</v>
      </c>
      <c r="C63" s="7" t="s">
        <v>83</v>
      </c>
      <c r="D63" s="6">
        <v>3.0</v>
      </c>
      <c r="E63" s="8">
        <v>46192.64232949074</v>
      </c>
      <c r="F63" s="2"/>
      <c r="G63" s="28"/>
      <c r="H63" s="28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84</v>
      </c>
      <c r="D64" s="6">
        <v>30.0</v>
      </c>
      <c r="E64" s="8">
        <v>46192.642419606476</v>
      </c>
      <c r="F64" s="2"/>
      <c r="G64" s="28"/>
      <c r="H64" s="33">
        <v>30.0</v>
      </c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85</v>
      </c>
      <c r="D65" s="6">
        <v>5.0</v>
      </c>
      <c r="E65" s="8">
        <v>46192.64328900463</v>
      </c>
      <c r="F65" s="2"/>
      <c r="G65" s="28"/>
      <c r="H65" s="28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 t="s">
        <v>86</v>
      </c>
      <c r="C66" s="7" t="s">
        <v>87</v>
      </c>
      <c r="D66" s="6">
        <v>16.0</v>
      </c>
      <c r="E66" s="8">
        <v>46192.64352174768</v>
      </c>
      <c r="F66" s="2"/>
      <c r="G66" s="28"/>
      <c r="H66" s="28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24.0</v>
      </c>
      <c r="C67" s="7" t="s">
        <v>88</v>
      </c>
      <c r="D67" s="6">
        <v>16.0</v>
      </c>
      <c r="E67" s="8">
        <v>46192.64481315972</v>
      </c>
      <c r="F67" s="2"/>
      <c r="G67" s="28"/>
      <c r="H67" s="28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24.0</v>
      </c>
      <c r="C68" s="7" t="s">
        <v>89</v>
      </c>
      <c r="D68" s="6">
        <v>4.0</v>
      </c>
      <c r="E68" s="8">
        <v>46192.6450490625</v>
      </c>
      <c r="F68" s="2"/>
      <c r="G68" s="28"/>
      <c r="H68" s="28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90</v>
      </c>
      <c r="D69" s="6">
        <v>8.0</v>
      </c>
      <c r="E69" s="8">
        <v>46192.64554666667</v>
      </c>
      <c r="F69" s="2"/>
      <c r="G69" s="28"/>
      <c r="H69" s="28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91</v>
      </c>
      <c r="D70" s="6">
        <v>30.0</v>
      </c>
      <c r="E70" s="8">
        <v>46192.645598125004</v>
      </c>
      <c r="F70" s="2"/>
      <c r="G70" s="28"/>
      <c r="H70" s="28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92</v>
      </c>
      <c r="D71" s="6">
        <v>17.0</v>
      </c>
      <c r="E71" s="8">
        <v>46192.64569240741</v>
      </c>
      <c r="F71" s="2"/>
      <c r="G71" s="28"/>
      <c r="H71" s="28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93</v>
      </c>
      <c r="D72" s="6">
        <v>117.0</v>
      </c>
      <c r="E72" s="8">
        <v>46192.647662407406</v>
      </c>
      <c r="F72" s="2"/>
      <c r="G72" s="28"/>
      <c r="H72" s="28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94</v>
      </c>
      <c r="D73" s="6">
        <v>26.0</v>
      </c>
      <c r="E73" s="8">
        <v>46192.65041310185</v>
      </c>
      <c r="F73" s="2"/>
      <c r="G73" s="28"/>
      <c r="H73" s="28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95</v>
      </c>
      <c r="D74" s="6">
        <v>19.0</v>
      </c>
      <c r="E74" s="8">
        <v>46192.652023483795</v>
      </c>
      <c r="F74" s="2"/>
      <c r="G74" s="28"/>
      <c r="H74" s="28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96</v>
      </c>
      <c r="D75" s="6">
        <v>190.0</v>
      </c>
      <c r="E75" s="8">
        <v>46192.652458819444</v>
      </c>
      <c r="F75" s="2"/>
      <c r="G75" s="28"/>
      <c r="H75" s="28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97</v>
      </c>
      <c r="D76" s="6">
        <v>14.0</v>
      </c>
      <c r="E76" s="8">
        <v>46192.65396737268</v>
      </c>
      <c r="F76" s="2"/>
      <c r="G76" s="28"/>
      <c r="H76" s="28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98</v>
      </c>
      <c r="D77" s="6">
        <v>16.0</v>
      </c>
      <c r="E77" s="8">
        <v>46192.66406667824</v>
      </c>
      <c r="F77" s="2"/>
      <c r="G77" s="28"/>
      <c r="H77" s="28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99</v>
      </c>
      <c r="D78" s="6">
        <v>184.0</v>
      </c>
      <c r="E78" s="8">
        <v>46192.66841293982</v>
      </c>
      <c r="F78" s="2"/>
      <c r="G78" s="28"/>
      <c r="H78" s="28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100</v>
      </c>
      <c r="D79" s="6">
        <v>156.0</v>
      </c>
      <c r="E79" s="8">
        <v>46192.66847438658</v>
      </c>
      <c r="F79" s="2"/>
      <c r="G79" s="28"/>
      <c r="H79" s="28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101</v>
      </c>
      <c r="D80" s="6">
        <v>65.0</v>
      </c>
      <c r="E80" s="8">
        <v>46192.696211620365</v>
      </c>
      <c r="F80" s="2"/>
      <c r="G80" s="28"/>
      <c r="H80" s="28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102</v>
      </c>
      <c r="D81" s="6">
        <v>10.0</v>
      </c>
      <c r="E81" s="8">
        <v>46192.69660019676</v>
      </c>
      <c r="F81" s="2"/>
      <c r="G81" s="28"/>
      <c r="H81" s="28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103</v>
      </c>
      <c r="D82" s="6">
        <v>13.0</v>
      </c>
      <c r="E82" s="8">
        <v>46192.69667335648</v>
      </c>
      <c r="F82" s="2"/>
      <c r="G82" s="28"/>
      <c r="H82" s="28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3.0</v>
      </c>
      <c r="C83" s="7" t="s">
        <v>104</v>
      </c>
      <c r="D83" s="6">
        <v>42.0</v>
      </c>
      <c r="E83" s="8">
        <v>46192.696965324074</v>
      </c>
      <c r="F83" s="2"/>
      <c r="G83" s="28"/>
      <c r="H83" s="28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7.0</v>
      </c>
      <c r="C84" s="7" t="s">
        <v>105</v>
      </c>
      <c r="D84" s="6">
        <v>140.0</v>
      </c>
      <c r="E84" s="8">
        <v>46192.69730988426</v>
      </c>
      <c r="F84" s="2"/>
      <c r="G84" s="28"/>
      <c r="H84" s="28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106</v>
      </c>
      <c r="D85" s="6">
        <v>8.0</v>
      </c>
      <c r="E85" s="8">
        <v>46192.69861221065</v>
      </c>
      <c r="F85" s="2"/>
      <c r="G85" s="28"/>
      <c r="H85" s="28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16.0</v>
      </c>
      <c r="C86" s="7" t="s">
        <v>107</v>
      </c>
      <c r="D86" s="6">
        <v>192.0</v>
      </c>
      <c r="E86" s="8">
        <v>46192.71108789352</v>
      </c>
      <c r="F86" s="2"/>
      <c r="G86" s="28"/>
      <c r="H86" s="28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3.0</v>
      </c>
      <c r="C87" s="7" t="s">
        <v>108</v>
      </c>
      <c r="D87" s="6">
        <v>90.0</v>
      </c>
      <c r="E87" s="8">
        <v>46192.711143796296</v>
      </c>
      <c r="F87" s="2"/>
      <c r="G87" s="28"/>
      <c r="H87" s="28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109</v>
      </c>
      <c r="D88" s="6">
        <v>23.0</v>
      </c>
      <c r="E88" s="8">
        <v>46192.72070607639</v>
      </c>
      <c r="F88" s="2"/>
      <c r="G88" s="28"/>
      <c r="H88" s="28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110</v>
      </c>
      <c r="D89" s="6">
        <v>12.0</v>
      </c>
      <c r="E89" s="8">
        <v>46192.72701040509</v>
      </c>
      <c r="F89" s="2"/>
      <c r="G89" s="28"/>
      <c r="H89" s="28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111</v>
      </c>
      <c r="D90" s="6">
        <v>131.0</v>
      </c>
      <c r="E90" s="8">
        <v>46192.74291909722</v>
      </c>
      <c r="F90" s="2"/>
      <c r="G90" s="28"/>
      <c r="H90" s="28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8"/>
      <c r="F91" s="2"/>
      <c r="G91" s="28"/>
      <c r="H91" s="28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8"/>
      <c r="H92" s="28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8"/>
      <c r="H93" s="28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8"/>
      <c r="H94" s="28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8"/>
      <c r="H95" s="28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8"/>
      <c r="H96" s="28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8"/>
      <c r="H97" s="28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8"/>
      <c r="H98" s="28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8"/>
      <c r="H99" s="28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8"/>
      <c r="H100" s="28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8"/>
      <c r="H101" s="28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8"/>
      <c r="H102" s="28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8"/>
      <c r="H103" s="28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8"/>
      <c r="H104" s="28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8"/>
      <c r="H105" s="28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8"/>
      <c r="H106" s="28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8"/>
      <c r="H107" s="28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8"/>
      <c r="H108" s="28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8"/>
      <c r="H109" s="28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8"/>
      <c r="H110" s="28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8"/>
      <c r="H111" s="28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8"/>
      <c r="H112" s="28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8"/>
      <c r="H113" s="28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8"/>
      <c r="H114" s="28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8"/>
      <c r="H115" s="28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8"/>
      <c r="H116" s="28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8"/>
      <c r="H117" s="28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8"/>
      <c r="H118" s="28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8"/>
      <c r="H119" s="28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8"/>
      <c r="H120" s="28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8"/>
      <c r="H121" s="28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8"/>
      <c r="H122" s="28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8"/>
      <c r="H123" s="28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8"/>
      <c r="H124" s="28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8"/>
      <c r="H125" s="28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8"/>
      <c r="H126" s="28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8"/>
      <c r="H127" s="28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8"/>
      <c r="H128" s="28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8"/>
      <c r="H129" s="28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8"/>
      <c r="H130" s="28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8"/>
      <c r="H131" s="28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8"/>
      <c r="H132" s="28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8"/>
      <c r="H133" s="28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8"/>
      <c r="H134" s="28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8"/>
      <c r="H135" s="28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8"/>
      <c r="H136" s="28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8"/>
      <c r="H137" s="28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8"/>
      <c r="H138" s="28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8"/>
      <c r="H139" s="28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8"/>
      <c r="H140" s="28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8"/>
      <c r="H141" s="28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8"/>
      <c r="H142" s="28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8"/>
      <c r="H143" s="28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8"/>
      <c r="H144" s="28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8"/>
      <c r="H145" s="28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8"/>
      <c r="H146" s="28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8"/>
      <c r="H147" s="28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8"/>
      <c r="H148" s="28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8"/>
      <c r="H149" s="28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8"/>
      <c r="H150" s="28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8"/>
      <c r="H151" s="28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8"/>
      <c r="H152" s="28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8"/>
      <c r="H153" s="28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8"/>
      <c r="H154" s="28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8"/>
      <c r="H155" s="28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8"/>
      <c r="H156" s="28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8"/>
      <c r="H157" s="28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8"/>
      <c r="H158" s="28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8"/>
      <c r="H159" s="28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8"/>
      <c r="H160" s="28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8"/>
      <c r="H161" s="28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8"/>
      <c r="H162" s="28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8"/>
      <c r="H163" s="28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8"/>
      <c r="H164" s="28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8"/>
      <c r="H165" s="28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8"/>
      <c r="H166" s="28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8"/>
      <c r="H167" s="28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8"/>
      <c r="H168" s="28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8"/>
      <c r="H169" s="28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8"/>
      <c r="H170" s="28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8"/>
      <c r="H171" s="28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8"/>
      <c r="H172" s="28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8"/>
      <c r="H173" s="28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8"/>
      <c r="H174" s="28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8"/>
      <c r="H175" s="28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8"/>
      <c r="H176" s="28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8"/>
      <c r="H177" s="28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8"/>
      <c r="H178" s="28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8"/>
      <c r="H179" s="28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8"/>
      <c r="H180" s="28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8"/>
      <c r="H181" s="28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8"/>
      <c r="H182" s="28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8"/>
      <c r="H183" s="28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8"/>
      <c r="H184" s="28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8"/>
      <c r="H185" s="28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8"/>
      <c r="H186" s="28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8"/>
      <c r="H187" s="28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8"/>
      <c r="H188" s="28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8"/>
      <c r="H189" s="28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8"/>
      <c r="H190" s="28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8"/>
      <c r="H191" s="28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8"/>
      <c r="H192" s="28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8"/>
      <c r="H193" s="28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8"/>
      <c r="H194" s="28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8"/>
      <c r="H195" s="28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8"/>
      <c r="H196" s="28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8"/>
      <c r="H197" s="28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8"/>
      <c r="H198" s="28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8"/>
      <c r="H199" s="28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8"/>
      <c r="H200" s="28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8"/>
      <c r="H201" s="28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8"/>
      <c r="H202" s="28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8"/>
      <c r="H203" s="28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8"/>
      <c r="H204" s="28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8"/>
      <c r="H205" s="28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8"/>
      <c r="H206" s="28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8"/>
      <c r="H207" s="28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8"/>
      <c r="H208" s="28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8"/>
      <c r="H209" s="28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8"/>
      <c r="H210" s="28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8"/>
      <c r="H211" s="28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8"/>
      <c r="H212" s="28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8"/>
      <c r="H213" s="28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8"/>
      <c r="H214" s="28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8"/>
      <c r="H215" s="28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8"/>
      <c r="H216" s="28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8"/>
      <c r="H217" s="28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8"/>
      <c r="H218" s="28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8"/>
      <c r="H219" s="28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8"/>
      <c r="H220" s="28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8"/>
      <c r="H221" s="28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8"/>
      <c r="H222" s="28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8"/>
      <c r="H223" s="28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8"/>
      <c r="H224" s="28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8"/>
      <c r="H225" s="28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8"/>
      <c r="H226" s="28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8"/>
      <c r="H227" s="28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8"/>
      <c r="H228" s="28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8"/>
      <c r="H229" s="28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8"/>
      <c r="H230" s="28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8"/>
      <c r="H231" s="28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8"/>
      <c r="H232" s="28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8"/>
      <c r="H233" s="28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8"/>
      <c r="H234" s="28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8"/>
      <c r="H235" s="28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8"/>
      <c r="H236" s="28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8"/>
      <c r="H237" s="28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8"/>
      <c r="H238" s="28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8"/>
      <c r="H239" s="28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8"/>
      <c r="H240" s="28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8"/>
      <c r="H241" s="28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8"/>
      <c r="H242" s="28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8"/>
      <c r="H243" s="28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8"/>
      <c r="H244" s="28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8"/>
      <c r="H245" s="28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8"/>
      <c r="H246" s="28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8"/>
      <c r="H247" s="28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8"/>
      <c r="H248" s="28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8"/>
      <c r="H249" s="28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8"/>
      <c r="H250" s="28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8"/>
      <c r="H251" s="28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8"/>
      <c r="H252" s="28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8"/>
      <c r="H253" s="28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8"/>
      <c r="H254" s="28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8"/>
      <c r="H255" s="28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8"/>
      <c r="H256" s="28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8"/>
      <c r="H257" s="28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8"/>
      <c r="H258" s="28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8"/>
      <c r="H259" s="28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8"/>
      <c r="H260" s="28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8"/>
      <c r="H261" s="28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8"/>
      <c r="H262" s="28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8"/>
      <c r="H263" s="28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8"/>
      <c r="H264" s="28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8"/>
      <c r="H265" s="28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8"/>
      <c r="H266" s="28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8"/>
      <c r="H267" s="28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8"/>
      <c r="H268" s="28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8"/>
      <c r="H269" s="28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8"/>
      <c r="H270" s="28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8"/>
      <c r="H271" s="28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8"/>
      <c r="H272" s="28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8"/>
      <c r="H273" s="28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8"/>
      <c r="H274" s="28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8"/>
      <c r="H275" s="28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8"/>
      <c r="H276" s="28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8"/>
      <c r="H277" s="28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8"/>
      <c r="H278" s="28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8"/>
      <c r="H279" s="28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8"/>
      <c r="H280" s="28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8"/>
      <c r="H281" s="28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8"/>
      <c r="H282" s="28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8"/>
      <c r="H283" s="28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8"/>
      <c r="H284" s="28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8"/>
      <c r="H285" s="28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8"/>
      <c r="H286" s="28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8"/>
      <c r="H287" s="28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8"/>
      <c r="H288" s="28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8"/>
      <c r="H289" s="28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8"/>
      <c r="H290" s="28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8"/>
      <c r="H291" s="28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8"/>
      <c r="H292" s="28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8"/>
      <c r="H293" s="28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8"/>
      <c r="H294" s="28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8"/>
      <c r="H295" s="28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8"/>
      <c r="H296" s="28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8"/>
      <c r="H297" s="28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8"/>
      <c r="H298" s="28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8"/>
      <c r="H299" s="28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8"/>
      <c r="H300" s="28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8"/>
      <c r="H301" s="28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