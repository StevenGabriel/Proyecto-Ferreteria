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<sst xmlns="http://schemas.openxmlformats.org/spreadsheetml/2006/main" count="112" uniqueCount="111">
  <si>
    <t>HOJA DE CALCULO FERRETERIA</t>
  </si>
  <si>
    <t>CODIGO</t>
  </si>
  <si>
    <t>CANTIDAD</t>
  </si>
  <si>
    <t>DESCRIPCION</t>
  </si>
  <si>
    <t>TOTAL</t>
  </si>
  <si>
    <t>HORA</t>
  </si>
  <si>
    <t>CUADRAR</t>
  </si>
  <si>
    <t>flexo 5m</t>
  </si>
  <si>
    <t>lentes tr</t>
  </si>
  <si>
    <t>MONEDAS</t>
  </si>
  <si>
    <t>CAJA CHICA</t>
  </si>
  <si>
    <t>1kl</t>
  </si>
  <si>
    <t>clavo 3</t>
  </si>
  <si>
    <t>BILLETES 10-20</t>
  </si>
  <si>
    <t>TOTAL VENTAS DIA</t>
  </si>
  <si>
    <t>chio 3,2*12</t>
  </si>
  <si>
    <t>BILLETES 50-100-200</t>
  </si>
  <si>
    <t>AUMENTO DE DINERO</t>
  </si>
  <si>
    <t>tubo 11/2</t>
  </si>
  <si>
    <t>INGRESOS YAPE</t>
  </si>
  <si>
    <t>brocas</t>
  </si>
  <si>
    <t>INGRESOS TARJETA</t>
  </si>
  <si>
    <t>grampas 1/7</t>
  </si>
  <si>
    <t>GASTOS VARIOS</t>
  </si>
  <si>
    <t>kl alambre de amarre</t>
  </si>
  <si>
    <t>kl alambvre galvanica</t>
  </si>
  <si>
    <t>DINERO GANADO HOY:</t>
  </si>
  <si>
    <t>CANTIDAD DINERO CAJA:</t>
  </si>
  <si>
    <t>emgrampas</t>
  </si>
  <si>
    <t>kl electrdo delgado</t>
  </si>
  <si>
    <t>lente negro</t>
  </si>
  <si>
    <t xml:space="preserve">DOBLADOR DE TUBO CONDTI </t>
  </si>
  <si>
    <t>MALLA MILIMETRA</t>
  </si>
  <si>
    <t>LLAVE CRCERN TOSLE</t>
  </si>
  <si>
    <t>RODILLO TOSLENS</t>
  </si>
  <si>
    <t>YAPE MAMÁ</t>
  </si>
  <si>
    <t>YAPE PAPÁ</t>
  </si>
  <si>
    <t>YAPE</t>
  </si>
  <si>
    <t>PEGMENTO PVC</t>
  </si>
  <si>
    <t>Monto Total YAPE (No tocar):</t>
  </si>
  <si>
    <t>TERMICO</t>
  </si>
  <si>
    <t>PICAPORTE 2.5</t>
  </si>
  <si>
    <t>Monto Total Registrado en aplicacion</t>
  </si>
  <si>
    <t>SACABOCADO 25</t>
  </si>
  <si>
    <t>PLACA SIMPLE</t>
  </si>
  <si>
    <t>MODULO INTERRUPTOR</t>
  </si>
  <si>
    <t>DISCO CERAMICA</t>
  </si>
  <si>
    <t>BROCA ATLAS 11/2</t>
  </si>
  <si>
    <t>CEPILLO DIAMANTE</t>
  </si>
  <si>
    <t>ALICATE PRECION TICO C</t>
  </si>
  <si>
    <t>PAGOS YAPE</t>
  </si>
  <si>
    <t>DESCRIPCION PAGO</t>
  </si>
  <si>
    <t>escaostas 1kl</t>
  </si>
  <si>
    <t>oatey</t>
  </si>
  <si>
    <t>jaladores boton</t>
  </si>
  <si>
    <t>ramplu lh6</t>
  </si>
  <si>
    <t>conduit 5/8 tubo</t>
  </si>
  <si>
    <t>codo 5/8 conduit</t>
  </si>
  <si>
    <t>grifo fv</t>
  </si>
  <si>
    <t>valbulade retencion v 1</t>
  </si>
  <si>
    <t>union patente 1 fh</t>
  </si>
  <si>
    <t>tee fg 1</t>
  </si>
  <si>
    <t>reduccion 1 x 3/4 fg</t>
  </si>
  <si>
    <t>niple fg 1</t>
  </si>
  <si>
    <t>adaptador pvc 1</t>
  </si>
  <si>
    <t>niple fg 3/4</t>
  </si>
  <si>
    <t>llaved e paso 3/4</t>
  </si>
  <si>
    <t>adaptador pvc 3/4</t>
  </si>
  <si>
    <t>2m</t>
  </si>
  <si>
    <t>cañeria 3/4</t>
  </si>
  <si>
    <t>tee pvc 3/4</t>
  </si>
  <si>
    <t>codo pvc 34</t>
  </si>
  <si>
    <t>teflon</t>
  </si>
  <si>
    <t>valvula de retencion h 3/4</t>
  </si>
  <si>
    <t>parabon</t>
  </si>
  <si>
    <t>limpiador tigre</t>
  </si>
  <si>
    <t>grifo atlas</t>
  </si>
  <si>
    <t>aerosol rojo</t>
  </si>
  <si>
    <t>aerosol amarllo</t>
  </si>
  <si>
    <t>aerosol negro</t>
  </si>
  <si>
    <t>masquin 2</t>
  </si>
  <si>
    <t>masquin 1</t>
  </si>
  <si>
    <t>chip</t>
  </si>
  <si>
    <t>silicona sika</t>
  </si>
  <si>
    <t>juego llaves tork</t>
  </si>
  <si>
    <t>fresa 1/2</t>
  </si>
  <si>
    <t>chip 4 x 50</t>
  </si>
  <si>
    <t>pistola de silcona</t>
  </si>
  <si>
    <t>pegamento akfix</t>
  </si>
  <si>
    <t>tijera tr</t>
  </si>
  <si>
    <t>broca ceramica 6</t>
  </si>
  <si>
    <t>cubre cable</t>
  </si>
  <si>
    <t>ENGRAMPADORA</t>
  </si>
  <si>
    <t>GUANES ASATEX</t>
  </si>
  <si>
    <t>DISCO COPA 4</t>
  </si>
  <si>
    <t>CHOCLERA</t>
  </si>
  <si>
    <t>OCRE</t>
  </si>
  <si>
    <t>CLEFA 100</t>
  </si>
  <si>
    <t>LENTE PRETUL</t>
  </si>
  <si>
    <t>BARBIJOS</t>
  </si>
  <si>
    <t>HIDROPISTLA TRPER</t>
  </si>
  <si>
    <t>HIDORPISTL</t>
  </si>
  <si>
    <t>PICO YRUPER</t>
  </si>
  <si>
    <t>ABRAZADERA</t>
  </si>
  <si>
    <t>CONECTOR RAPIDS</t>
  </si>
  <si>
    <t xml:space="preserve">pilas duracel </t>
  </si>
  <si>
    <t>CINTA ANTIDESLICAAER</t>
  </si>
  <si>
    <t>CHAPA</t>
  </si>
  <si>
    <t>gotita</t>
  </si>
  <si>
    <t>alicatr</t>
  </si>
  <si>
    <t>pernos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</si>
</sst>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50.0</v>
      </c>
      <c r="E8" s="8">
        <v>46203.366460405094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19.0</v>
      </c>
      <c r="E9" s="8">
        <v>46203.36655873843</v>
      </c>
      <c r="F9" s="2"/>
      <c r="G9" s="9" t="s">
        <v>9</v>
      </c>
      <c r="H9" s="10">
        <v>62.0</v>
      </c>
      <c r="I9" s="2"/>
      <c r="J9" s="9" t="s">
        <v>10</v>
      </c>
      <c r="K9" s="10">
        <v>363.0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11</v>
      </c>
      <c r="C10" s="7" t="s">
        <v>12</v>
      </c>
      <c r="D10" s="6">
        <v>20.0</v>
      </c>
      <c r="E10" s="8">
        <v>46203.388025127315</v>
      </c>
      <c r="F10" s="2"/>
      <c r="G10" s="9" t="s">
        <v>13</v>
      </c>
      <c r="H10" s="10">
        <v>70.0</v>
      </c>
      <c r="I10" s="2"/>
      <c r="J10" s="9" t="s">
        <v>14</v>
      </c>
      <c r="K10" s="11">
        <f>SUM(PRINCIPAL[TOTAL])</f>
        <v>5014.5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12.0</v>
      </c>
      <c r="C11" s="7" t="s">
        <v>15</v>
      </c>
      <c r="D11" s="6">
        <v>1.0</v>
      </c>
      <c r="E11" s="8">
        <v>46203.40942199074</v>
      </c>
      <c r="F11" s="2"/>
      <c r="G11" s="9" t="s">
        <v>16</v>
      </c>
      <c r="H11" s="10">
        <v>3650.0</v>
      </c>
      <c r="I11" s="2"/>
      <c r="J11" s="9" t="s">
        <v>17</v>
      </c>
      <c r="K11" s="10">
        <v>340.0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32.0</v>
      </c>
      <c r="E12" s="8">
        <v>46203.409544849535</v>
      </c>
      <c r="F12" s="2"/>
      <c r="G12" s="9" t="s">
        <v>19</v>
      </c>
      <c r="H12" s="12">
        <f>SUM(G24:H361)</f>
        <v>2077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20</v>
      </c>
      <c r="D13" s="6">
        <v>36.0</v>
      </c>
      <c r="E13" s="8">
        <v>46203.422225208335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30.0</v>
      </c>
      <c r="C14" s="7" t="s">
        <v>22</v>
      </c>
      <c r="D14" s="6">
        <v>210.0</v>
      </c>
      <c r="E14" s="8">
        <v>46203.43211054398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4.0</v>
      </c>
      <c r="C15" s="7" t="s">
        <v>24</v>
      </c>
      <c r="D15" s="6">
        <v>76.0</v>
      </c>
      <c r="E15" s="8">
        <v>46203.43231924769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25</v>
      </c>
      <c r="D16" s="6">
        <v>180.0</v>
      </c>
      <c r="E16" s="8">
        <v>46203.43239828704</v>
      </c>
      <c r="F16" s="2"/>
      <c r="G16" s="15" t="s">
        <v>26</v>
      </c>
      <c r="H16" s="16">
        <f>SUM(H9:H14)</f>
        <v>5859</v>
      </c>
      <c r="I16" s="3"/>
      <c r="J16" s="15" t="s">
        <v>27</v>
      </c>
      <c r="K16" s="16">
        <f>SUM(K9:K11)</f>
        <v>5717.5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210.0</v>
      </c>
      <c r="E17" s="8">
        <v>46203.43263734954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58.0</v>
      </c>
      <c r="E18" s="8">
        <v>46203.43296041667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141,50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12.0</v>
      </c>
      <c r="E19" s="8">
        <v>46203.43305194445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374.0</v>
      </c>
      <c r="E20" s="8">
        <v>46203.43649641203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1.8</v>
      </c>
      <c r="C21" s="7" t="s">
        <v>32</v>
      </c>
      <c r="D21" s="6">
        <v>54.0</v>
      </c>
      <c r="E21" s="8">
        <v>46203.440543599536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99.0</v>
      </c>
      <c r="E22" s="8">
        <v>46203.44753380787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10.0</v>
      </c>
      <c r="E23" s="8">
        <v>46203.44969238426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75.0</v>
      </c>
      <c r="E24" s="8">
        <v>46203.45063068287</v>
      </c>
      <c r="F24" s="2"/>
      <c r="G24" s="22">
        <v>69.0</v>
      </c>
      <c r="H24" s="22">
        <v>862.0</v>
      </c>
      <c r="I24" s="2"/>
      <c r="J24" s="23" t="s">
        <v>39</v>
      </c>
      <c r="K24" s="24">
        <f>SUM(INGRESOS_YAPE[])</f>
        <v>2077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55.0</v>
      </c>
      <c r="E25" s="8">
        <v>46203.46186408565</v>
      </c>
      <c r="F25" s="2"/>
      <c r="G25" s="22">
        <v>33.0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41</v>
      </c>
      <c r="D26" s="6">
        <v>16.0</v>
      </c>
      <c r="E26" s="8">
        <v>46203.463074803236</v>
      </c>
      <c r="F26" s="2"/>
      <c r="G26" s="26">
        <v>374.0</v>
      </c>
      <c r="H26" s="25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61.0</v>
      </c>
      <c r="E27" s="8">
        <v>46203.46413148148</v>
      </c>
      <c r="F27" s="2"/>
      <c r="G27" s="22">
        <v>89.0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15.5</v>
      </c>
      <c r="E28" s="8">
        <v>46203.47387789351</v>
      </c>
      <c r="F28" s="2"/>
      <c r="G28" s="22">
        <v>75.0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10.0</v>
      </c>
      <c r="E29" s="8">
        <v>46203.473973472224</v>
      </c>
      <c r="F29" s="2"/>
      <c r="G29" s="22">
        <v>55.0</v>
      </c>
      <c r="H29" s="25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2077,00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/>
      <c r="D30" s="6">
        <v>190.0</v>
      </c>
      <c r="E30" s="8"/>
      <c r="F30" s="2"/>
      <c r="G30" s="22">
        <v>25.5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92.0</v>
      </c>
      <c r="E31" s="8">
        <v>46203.48336184028</v>
      </c>
      <c r="F31" s="2"/>
      <c r="G31" s="22">
        <v>18.0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8.0</v>
      </c>
      <c r="E32" s="8">
        <v>46203.498208159726</v>
      </c>
      <c r="F32" s="2"/>
      <c r="G32" s="22">
        <v>30.0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10.0</v>
      </c>
      <c r="E33" s="8">
        <v>46203.498288981486</v>
      </c>
      <c r="F33" s="2"/>
      <c r="G33" s="22">
        <v>100.0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88.0</v>
      </c>
      <c r="E34" s="8">
        <v>46203.50497998843</v>
      </c>
      <c r="F34" s="2"/>
      <c r="G34" s="22">
        <v>22.0</v>
      </c>
      <c r="H34" s="25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88.0</v>
      </c>
      <c r="E35" s="8">
        <v>46203.50501783565</v>
      </c>
      <c r="F35" s="2"/>
      <c r="G35" s="22">
        <v>296.0</v>
      </c>
      <c r="H35" s="25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52</v>
      </c>
      <c r="D36" s="6">
        <v>140.0</v>
      </c>
      <c r="E36" s="8">
        <v>46203.524678842594</v>
      </c>
      <c r="F36" s="2"/>
      <c r="G36" s="22">
        <v>28.5</v>
      </c>
      <c r="H36" s="25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40.0</v>
      </c>
      <c r="E37" s="8">
        <v>46203.52473967592</v>
      </c>
      <c r="F37" s="2"/>
      <c r="G37" s="25"/>
      <c r="H37" s="25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3.0</v>
      </c>
      <c r="C38" s="7" t="s">
        <v>54</v>
      </c>
      <c r="D38" s="6">
        <v>24.0</v>
      </c>
      <c r="E38" s="8">
        <v>46203.52485457176</v>
      </c>
      <c r="F38" s="2"/>
      <c r="G38" s="25"/>
      <c r="H38" s="25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24.0</v>
      </c>
      <c r="C39" s="7" t="s">
        <v>55</v>
      </c>
      <c r="D39" s="6">
        <v>4.0</v>
      </c>
      <c r="E39" s="8">
        <v>46203.52499109953</v>
      </c>
      <c r="F39" s="2"/>
      <c r="G39" s="25"/>
      <c r="H39" s="25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56</v>
      </c>
      <c r="D40" s="6">
        <v>26.0</v>
      </c>
      <c r="E40" s="8">
        <v>46203.54636548611</v>
      </c>
      <c r="F40" s="2"/>
      <c r="G40" s="25"/>
      <c r="H40" s="25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4.0</v>
      </c>
      <c r="C41" s="7" t="s">
        <v>57</v>
      </c>
      <c r="D41" s="6">
        <v>4.0</v>
      </c>
      <c r="E41" s="8">
        <v>46203.54648293981</v>
      </c>
      <c r="F41" s="2"/>
      <c r="G41" s="25"/>
      <c r="H41" s="25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120.0</v>
      </c>
      <c r="E42" s="8">
        <v>46203.574525069445</v>
      </c>
      <c r="F42" s="2"/>
      <c r="G42" s="25"/>
      <c r="H42" s="25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59</v>
      </c>
      <c r="D43" s="6">
        <v>95.0</v>
      </c>
      <c r="E43" s="8">
        <v>46203.61396393519</v>
      </c>
      <c r="F43" s="2"/>
      <c r="G43" s="25"/>
      <c r="H43" s="25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66.0</v>
      </c>
      <c r="E44" s="8">
        <v>46203.61407045139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61</v>
      </c>
      <c r="D45" s="6">
        <v>40.0</v>
      </c>
      <c r="E45" s="8">
        <v>46203.61413609954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40.0</v>
      </c>
      <c r="E46" s="8">
        <v>46203.61426244213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63</v>
      </c>
      <c r="D47" s="6">
        <v>50.0</v>
      </c>
      <c r="E47" s="8">
        <v>46203.6143462037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4.0</v>
      </c>
      <c r="C48" s="7" t="s">
        <v>64</v>
      </c>
      <c r="D48" s="6">
        <v>20.0</v>
      </c>
      <c r="E48" s="8">
        <v>46203.61446106482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3.0</v>
      </c>
      <c r="C49" s="7" t="s">
        <v>65</v>
      </c>
      <c r="D49" s="6">
        <v>48.0</v>
      </c>
      <c r="E49" s="8">
        <v>46203.614563194446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95.0</v>
      </c>
      <c r="E50" s="8">
        <v>46203.614681122686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3.0</v>
      </c>
      <c r="C51" s="7" t="s">
        <v>67</v>
      </c>
      <c r="D51" s="6">
        <v>15.0</v>
      </c>
      <c r="E51" s="8">
        <v>46203.61486015047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68</v>
      </c>
      <c r="C52" s="7" t="s">
        <v>69</v>
      </c>
      <c r="D52" s="6">
        <v>32.0</v>
      </c>
      <c r="E52" s="8">
        <v>46203.61505155092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9.0</v>
      </c>
      <c r="E53" s="8">
        <v>46203.615137430555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71</v>
      </c>
      <c r="D54" s="6">
        <v>12.0</v>
      </c>
      <c r="E54" s="8">
        <v>46203.61527003472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72</v>
      </c>
      <c r="D55" s="6">
        <v>12.0</v>
      </c>
      <c r="E55" s="8">
        <v>46203.61533649305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105.0</v>
      </c>
      <c r="E56" s="8">
        <v>46203.61549577546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33">
        <v>46113.0</v>
      </c>
      <c r="C57" s="7" t="s">
        <v>74</v>
      </c>
      <c r="D57" s="6">
        <v>115.0</v>
      </c>
      <c r="E57" s="8">
        <v>46203.615645300924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60.0</v>
      </c>
      <c r="E58" s="8">
        <v>46203.61577722222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110.0</v>
      </c>
      <c r="E59" s="8">
        <v>46203.62736060185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13"/>
      <c r="C60" s="34"/>
      <c r="D60" s="35"/>
      <c r="E60" s="36"/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20.0</v>
      </c>
      <c r="E61" s="8">
        <v>46203.63358034722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20.0</v>
      </c>
      <c r="E62" s="8">
        <v>46203.63367555555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20.0</v>
      </c>
      <c r="E63" s="8">
        <v>46203.633726886575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22.0</v>
      </c>
      <c r="E64" s="8">
        <v>46203.633776539355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16.5</v>
      </c>
      <c r="E65" s="8">
        <v>46203.63389123842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6.0</v>
      </c>
      <c r="C66" s="7" t="s">
        <v>82</v>
      </c>
      <c r="D66" s="6">
        <v>3.0</v>
      </c>
      <c r="E66" s="8">
        <v>46203.643329479164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39.0</v>
      </c>
      <c r="E67" s="8">
        <v>46203.6496200463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84</v>
      </c>
      <c r="D68" s="6">
        <v>39.0</v>
      </c>
      <c r="E68" s="8">
        <v>46203.669921469904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37">
        <v>59.0</v>
      </c>
      <c r="E69" s="8">
        <v>46203.67654666667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108.0</v>
      </c>
      <c r="C70" s="7" t="s">
        <v>86</v>
      </c>
      <c r="D70" s="6">
        <v>31.5</v>
      </c>
      <c r="E70" s="8">
        <v>46203.67663494213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104.0</v>
      </c>
      <c r="E71" s="8">
        <v>46203.68411758102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34.0</v>
      </c>
      <c r="E72" s="8">
        <v>46203.68422386574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49.0</v>
      </c>
      <c r="E73" s="8">
        <v>46203.684325925926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90</v>
      </c>
      <c r="D74" s="6">
        <v>60.0</v>
      </c>
      <c r="E74" s="8">
        <v>46203.69118326389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7.0</v>
      </c>
      <c r="E75" s="8">
        <v>46203.69241762732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92</v>
      </c>
      <c r="D76" s="6">
        <v>118.0</v>
      </c>
      <c r="E76" s="8">
        <v>46203.69875618056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93</v>
      </c>
      <c r="D77" s="6">
        <v>20.0</v>
      </c>
      <c r="E77" s="8">
        <v>46203.71180844908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94</v>
      </c>
      <c r="D78" s="6">
        <v>68.0</v>
      </c>
      <c r="E78" s="8">
        <v>46203.72427877315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30.0</v>
      </c>
      <c r="E79" s="8">
        <v>46203.7243316088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96</v>
      </c>
      <c r="D80" s="6">
        <v>5.0</v>
      </c>
      <c r="E80" s="8">
        <v>46203.72437152777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97</v>
      </c>
      <c r="D81" s="6">
        <v>16.0</v>
      </c>
      <c r="E81" s="8">
        <v>46203.736679131944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98</v>
      </c>
      <c r="D82" s="6">
        <v>14.0</v>
      </c>
      <c r="E82" s="8">
        <v>46203.73673503472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99</v>
      </c>
      <c r="D83" s="6">
        <v>6.0</v>
      </c>
      <c r="E83" s="8">
        <v>46203.73679872685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2.0</v>
      </c>
      <c r="C84" s="7" t="s">
        <v>100</v>
      </c>
      <c r="D84" s="6">
        <v>216.0</v>
      </c>
      <c r="E84" s="8">
        <v>46203.73692506945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101</v>
      </c>
      <c r="D85" s="6">
        <v>80.0</v>
      </c>
      <c r="E85" s="8">
        <v>46203.73708539351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3.0</v>
      </c>
      <c r="C86" s="7" t="s">
        <v>102</v>
      </c>
      <c r="D86" s="6">
        <v>18.0</v>
      </c>
      <c r="E86" s="8">
        <v>46203.737183414356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103</v>
      </c>
      <c r="D87" s="6">
        <v>3.0</v>
      </c>
      <c r="E87" s="8">
        <v>46203.73729827546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104</v>
      </c>
      <c r="D88" s="6">
        <v>7.0</v>
      </c>
      <c r="E88" s="8">
        <v>46203.73744237269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105</v>
      </c>
      <c r="D89" s="6">
        <v>48.0</v>
      </c>
      <c r="E89" s="8">
        <v>46203.74525439815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3.0</v>
      </c>
      <c r="C90" s="7" t="s">
        <v>106</v>
      </c>
      <c r="D90" s="6">
        <v>204.0</v>
      </c>
      <c r="E90" s="8">
        <v>46203.74931853009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107</v>
      </c>
      <c r="D91" s="6">
        <v>160.0</v>
      </c>
      <c r="E91" s="8">
        <v>46203.761899317135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108</v>
      </c>
      <c r="D92" s="6">
        <v>3.0</v>
      </c>
      <c r="E92" s="8">
        <v>46203.77219472222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109</v>
      </c>
      <c r="D93" s="6">
        <v>31.0</v>
      </c>
      <c r="E93" s="8">
        <v>46203.77230150463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8.0</v>
      </c>
      <c r="C94" s="7" t="s">
        <v>110</v>
      </c>
      <c r="D94" s="6">
        <v>12.0</v>
      </c>
      <c r="E94" s="8">
        <v>46203.77246975694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8"/>
      <c r="E95" s="36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8"/>
      <c r="E96" s="36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8"/>
      <c r="E97" s="36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8"/>
      <c r="E98" s="36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8"/>
      <c r="E99" s="36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8"/>
      <c r="E100" s="36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8"/>
      <c r="E101" s="36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8"/>
      <c r="E102" s="36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8"/>
      <c r="E103" s="36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8"/>
      <c r="E104" s="36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8"/>
      <c r="E105" s="36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8"/>
      <c r="E106" s="36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8"/>
      <c r="E107" s="36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8"/>
      <c r="E108" s="36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8"/>
      <c r="E109" s="36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8"/>
      <c r="E110" s="36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8"/>
      <c r="E111" s="36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8"/>
      <c r="E112" s="36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8"/>
      <c r="E113" s="36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8"/>
      <c r="E114" s="36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8"/>
      <c r="E115" s="36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8"/>
      <c r="E116" s="36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8"/>
      <c r="E117" s="36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8"/>
      <c r="E118" s="36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8"/>
      <c r="E119" s="36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8"/>
      <c r="E120" s="36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8"/>
      <c r="E121" s="36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8"/>
      <c r="E122" s="36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8"/>
      <c r="E123" s="36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8"/>
      <c r="E124" s="36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8"/>
      <c r="E125" s="36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8"/>
      <c r="E126" s="36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8"/>
      <c r="E127" s="36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8"/>
      <c r="E128" s="36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8"/>
      <c r="E129" s="36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8"/>
      <c r="E130" s="36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8"/>
      <c r="E131" s="36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8"/>
      <c r="E132" s="36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8"/>
      <c r="E133" s="36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8"/>
      <c r="E134" s="36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8"/>
      <c r="E135" s="36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8"/>
      <c r="E136" s="36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8"/>
      <c r="E137" s="36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8"/>
      <c r="E138" s="36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8"/>
      <c r="E139" s="36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8"/>
      <c r="E140" s="36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8"/>
      <c r="E141" s="36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8"/>
      <c r="E142" s="36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8"/>
      <c r="E143" s="36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8"/>
      <c r="E144" s="36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8"/>
      <c r="E145" s="36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8"/>
      <c r="E146" s="36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8"/>
      <c r="E147" s="36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8"/>
      <c r="E148" s="36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8"/>
      <c r="E149" s="36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8"/>
      <c r="E150" s="36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8"/>
      <c r="E151" s="36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8"/>
      <c r="E152" s="36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8"/>
      <c r="E153" s="36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8"/>
      <c r="E154" s="36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8"/>
      <c r="E155" s="36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8"/>
      <c r="E156" s="36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8"/>
      <c r="E157" s="36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8"/>
      <c r="E158" s="36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8"/>
      <c r="E159" s="36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8"/>
      <c r="E160" s="36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8"/>
      <c r="E161" s="36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8"/>
      <c r="E162" s="36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8"/>
      <c r="E163" s="36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8"/>
      <c r="E164" s="36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8"/>
      <c r="E165" s="36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8"/>
      <c r="E166" s="36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8"/>
      <c r="E167" s="36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8"/>
      <c r="E168" s="36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8"/>
      <c r="E169" s="36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8"/>
      <c r="E170" s="36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8"/>
      <c r="E171" s="36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8"/>
      <c r="E172" s="36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8"/>
      <c r="E173" s="36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8"/>
      <c r="E174" s="36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8"/>
      <c r="E175" s="36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8"/>
      <c r="E176" s="36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8"/>
      <c r="E177" s="36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8"/>
      <c r="E178" s="36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8"/>
      <c r="E179" s="36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8"/>
      <c r="E180" s="36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8"/>
      <c r="E181" s="36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8"/>
      <c r="E182" s="36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8"/>
      <c r="E183" s="36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8"/>
      <c r="E184" s="36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8"/>
      <c r="E185" s="36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8"/>
      <c r="E186" s="36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8"/>
      <c r="E187" s="36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8"/>
      <c r="E188" s="36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8"/>
      <c r="E189" s="36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8"/>
      <c r="E190" s="36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8"/>
      <c r="E191" s="36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8"/>
      <c r="E192" s="36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8"/>
      <c r="E193" s="36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8"/>
      <c r="E194" s="36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8"/>
      <c r="E195" s="36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8"/>
      <c r="E196" s="36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8"/>
      <c r="E197" s="36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8"/>
      <c r="E198" s="36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8"/>
      <c r="E199" s="36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8"/>
      <c r="E200" s="36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8"/>
      <c r="E201" s="36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8"/>
      <c r="E202" s="36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8"/>
      <c r="E203" s="36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8"/>
      <c r="E204" s="36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8"/>
      <c r="E205" s="36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8"/>
      <c r="E206" s="36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8"/>
      <c r="E207" s="36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8"/>
      <c r="E208" s="36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8"/>
      <c r="E209" s="36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8"/>
      <c r="E210" s="36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8"/>
      <c r="E211" s="36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8"/>
      <c r="E212" s="36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8"/>
      <c r="E213" s="36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8"/>
      <c r="E214" s="36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8"/>
      <c r="E215" s="36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8"/>
      <c r="E216" s="36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8"/>
      <c r="E217" s="36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8"/>
      <c r="E218" s="36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8"/>
      <c r="E219" s="36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8"/>
      <c r="E220" s="36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8"/>
      <c r="E221" s="36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8"/>
      <c r="E222" s="36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8"/>
      <c r="E223" s="36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8"/>
      <c r="E224" s="36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8"/>
      <c r="E225" s="36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8"/>
      <c r="E226" s="36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8"/>
      <c r="E227" s="36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8"/>
      <c r="E228" s="36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8"/>
      <c r="E229" s="36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8"/>
      <c r="E230" s="36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8"/>
      <c r="E231" s="36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8"/>
      <c r="E232" s="36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8"/>
      <c r="E233" s="36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8"/>
      <c r="E234" s="36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8"/>
      <c r="E235" s="36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8"/>
      <c r="E236" s="36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8"/>
      <c r="E237" s="36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8"/>
      <c r="E238" s="36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8"/>
      <c r="E239" s="36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8"/>
      <c r="E240" s="36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8"/>
      <c r="E241" s="36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8"/>
      <c r="E242" s="36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8"/>
      <c r="E243" s="36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8"/>
      <c r="E244" s="36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8"/>
      <c r="E245" s="36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8"/>
      <c r="E246" s="36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8"/>
      <c r="E247" s="36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8"/>
      <c r="E248" s="36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8"/>
      <c r="E249" s="36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8"/>
      <c r="E250" s="36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8"/>
      <c r="E251" s="36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8"/>
      <c r="E252" s="36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8"/>
      <c r="E253" s="36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8"/>
      <c r="E254" s="36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8"/>
      <c r="E255" s="36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8"/>
      <c r="E256" s="36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8"/>
      <c r="E257" s="36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8"/>
      <c r="E258" s="36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8"/>
      <c r="E259" s="36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8"/>
      <c r="E260" s="36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8"/>
      <c r="E261" s="36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8"/>
      <c r="E262" s="36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8"/>
      <c r="E263" s="36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8"/>
      <c r="E264" s="36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8"/>
      <c r="E265" s="36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8"/>
      <c r="E266" s="36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8"/>
      <c r="E267" s="36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8"/>
      <c r="E268" s="36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8"/>
      <c r="E269" s="36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8"/>
      <c r="E270" s="36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8"/>
      <c r="E271" s="36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8"/>
      <c r="E272" s="36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8"/>
      <c r="E273" s="36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8"/>
      <c r="E274" s="36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8"/>
      <c r="E275" s="36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8"/>
      <c r="E276" s="36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8"/>
      <c r="E277" s="36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8"/>
      <c r="E278" s="36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8"/>
      <c r="E279" s="36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8"/>
      <c r="E280" s="36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8"/>
      <c r="E281" s="36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8"/>
      <c r="E282" s="36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8"/>
      <c r="E283" s="36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8"/>
      <c r="E284" s="36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8"/>
      <c r="E285" s="36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8"/>
      <c r="E286" s="36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8"/>
      <c r="E287" s="36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8"/>
      <c r="E288" s="36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8"/>
      <c r="E289" s="36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8"/>
      <c r="E290" s="36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8"/>
      <c r="E291" s="36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8"/>
      <c r="E292" s="36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8"/>
      <c r="E293" s="36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8"/>
      <c r="E294" s="36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8"/>
      <c r="E295" s="36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8"/>
      <c r="E296" s="36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8"/>
      <c r="E297" s="36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8"/>
      <c r="E298" s="36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8"/>
      <c r="E299" s="36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8"/>
      <c r="E300" s="36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8"/>
      <c r="E301" s="36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