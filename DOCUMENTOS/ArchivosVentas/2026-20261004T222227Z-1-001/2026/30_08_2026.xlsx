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<sst xmlns="http://schemas.openxmlformats.org/spreadsheetml/2006/main" count="77" uniqueCount="74">
  <si>
    <t>HOJA DE CALCULO FERRETERIA</t>
  </si>
  <si>
    <t>CODIGO</t>
  </si>
  <si>
    <t>CANTIDAD</t>
  </si>
  <si>
    <t>DESCRIPCION</t>
  </si>
  <si>
    <t>TOTAL</t>
  </si>
  <si>
    <t>HORA</t>
  </si>
  <si>
    <t>CUADRAR</t>
  </si>
  <si>
    <t>rem pop 4*8</t>
  </si>
  <si>
    <t>broca fierro debor 4</t>
  </si>
  <si>
    <t>MONEDAS</t>
  </si>
  <si>
    <t>CAJA CHICA</t>
  </si>
  <si>
    <t>grifo</t>
  </si>
  <si>
    <t>BILLETES 10-20</t>
  </si>
  <si>
    <t>TOTAL VENTAS DIA</t>
  </si>
  <si>
    <t>lijas  mt</t>
  </si>
  <si>
    <t>BILLETES 50-100-200</t>
  </si>
  <si>
    <t>AUMENTO DE DINERO</t>
  </si>
  <si>
    <t>citna asialnte</t>
  </si>
  <si>
    <t>INGRESOS YAPE</t>
  </si>
  <si>
    <t>foco tramonta</t>
  </si>
  <si>
    <t>INGRESOS TARJETA</t>
  </si>
  <si>
    <t>GASTOS VARIOS</t>
  </si>
  <si>
    <t>remachadora uyustos</t>
  </si>
  <si>
    <t>cota tub</t>
  </si>
  <si>
    <t>DINERO GANADO HOY:</t>
  </si>
  <si>
    <t>CANTIDAD DINERO CAJA:</t>
  </si>
  <si>
    <t>tijera de podar</t>
  </si>
  <si>
    <t>disco corte</t>
  </si>
  <si>
    <t>cemento blanco</t>
  </si>
  <si>
    <t>soquet</t>
  </si>
  <si>
    <t>barniz</t>
  </si>
  <si>
    <t>lija 280</t>
  </si>
  <si>
    <t>broca coacret</t>
  </si>
  <si>
    <t>YAPE MAMÁ</t>
  </si>
  <si>
    <t>YAPE PAPÁ</t>
  </si>
  <si>
    <t>YAPE</t>
  </si>
  <si>
    <t>ramplus 8</t>
  </si>
  <si>
    <t>Monto Total YAPE (No tocar):</t>
  </si>
  <si>
    <t>chip 6*50</t>
  </si>
  <si>
    <t>dado tramona</t>
  </si>
  <si>
    <t>Monto Total Registrado en aplicacion</t>
  </si>
  <si>
    <t>TALADRO JADEVER</t>
  </si>
  <si>
    <t>ARA I/4</t>
  </si>
  <si>
    <t xml:space="preserve">AUTOMATICO </t>
  </si>
  <si>
    <t xml:space="preserve">CAÑERIA </t>
  </si>
  <si>
    <t>TEFLON</t>
  </si>
  <si>
    <t xml:space="preserve">ADAPTADOR </t>
  </si>
  <si>
    <t>AUNO PATNETE</t>
  </si>
  <si>
    <t>PAGOS YAPE</t>
  </si>
  <si>
    <t>DESCRIPCION PAGO</t>
  </si>
  <si>
    <t>PEGATANKE</t>
  </si>
  <si>
    <t>LLAVE CRECEN</t>
  </si>
  <si>
    <t>LLAVE STELSON</t>
  </si>
  <si>
    <t>MANGEURA DE COPRESORA</t>
  </si>
  <si>
    <t>MANGUERA DE COMPRESOSA</t>
  </si>
  <si>
    <t>JUSEGO DE ACOLES</t>
  </si>
  <si>
    <t xml:space="preserve">MEDIODR DE PRESION </t>
  </si>
  <si>
    <t>INFLADOR DE PRESRION</t>
  </si>
  <si>
    <t>PSITOLA PARA SOPLETER</t>
  </si>
  <si>
    <t xml:space="preserve">ALICATE DEPRESION </t>
  </si>
  <si>
    <t>REDUCON 1*34</t>
  </si>
  <si>
    <t>WD40</t>
  </si>
  <si>
    <t>REMOVEDOR DE STICKER</t>
  </si>
  <si>
    <t>LIMPA CONTACTO</t>
  </si>
  <si>
    <t>PERNOS</t>
  </si>
  <si>
    <t xml:space="preserve">M ALAMBRES </t>
  </si>
  <si>
    <t>CINA SILANTE</t>
  </si>
  <si>
    <t xml:space="preserve">SILICONA SIKA </t>
  </si>
  <si>
    <t>ALARGADROC ORREITEN 5</t>
  </si>
  <si>
    <t>ADAPTADOT  VOLTECK</t>
  </si>
  <si>
    <t>PINCEL</t>
  </si>
  <si>
    <t>M LIJA</t>
  </si>
  <si>
    <t>LATEX IDEAL</t>
  </si>
  <si>
    <t>L THINER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</si>
</sst>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24.0</v>
      </c>
      <c r="C8" s="7" t="s">
        <v>7</v>
      </c>
      <c r="D8" s="6">
        <v>5.0</v>
      </c>
      <c r="E8" s="8">
        <v>46264.40363634259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19.0</v>
      </c>
      <c r="E9" s="8">
        <v>46264.403705335644</v>
      </c>
      <c r="F9" s="2"/>
      <c r="G9" s="9" t="s">
        <v>9</v>
      </c>
      <c r="H9" s="10">
        <v>70.0</v>
      </c>
      <c r="I9" s="2"/>
      <c r="J9" s="9" t="s">
        <v>10</v>
      </c>
      <c r="K9" s="10">
        <v>601.0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79.0</v>
      </c>
      <c r="E10" s="8">
        <v>46264.40657119213</v>
      </c>
      <c r="F10" s="2"/>
      <c r="G10" s="9" t="s">
        <v>12</v>
      </c>
      <c r="H10" s="10">
        <v>100.0</v>
      </c>
      <c r="I10" s="2"/>
      <c r="J10" s="9" t="s">
        <v>13</v>
      </c>
      <c r="K10" s="11">
        <f>SUM(PRINCIPAL[TOTAL])</f>
        <v>3750.8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26.0</v>
      </c>
      <c r="E11" s="8">
        <v>46264.43929905092</v>
      </c>
      <c r="F11" s="2"/>
      <c r="G11" s="9" t="s">
        <v>15</v>
      </c>
      <c r="H11" s="10">
        <v>3200.0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9.0</v>
      </c>
      <c r="E12" s="8">
        <v>46264.46270549769</v>
      </c>
      <c r="F12" s="2"/>
      <c r="G12" s="9" t="s">
        <v>18</v>
      </c>
      <c r="H12" s="12">
        <f>SUM(G24:H361)</f>
        <v>995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38.0</v>
      </c>
      <c r="E13" s="8">
        <v>46264.46278758102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7</v>
      </c>
      <c r="D14" s="6">
        <v>6.0</v>
      </c>
      <c r="E14" s="8">
        <v>46264.46381460648</v>
      </c>
      <c r="F14" s="2"/>
      <c r="G14" s="9" t="s">
        <v>21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22</v>
      </c>
      <c r="D15" s="6">
        <v>55.0</v>
      </c>
      <c r="E15" s="8">
        <v>46264.46386325231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23</v>
      </c>
      <c r="D16" s="6">
        <v>70.0</v>
      </c>
      <c r="E16" s="8">
        <v>46264.46398530093</v>
      </c>
      <c r="F16" s="2"/>
      <c r="G16" s="15" t="s">
        <v>24</v>
      </c>
      <c r="H16" s="16">
        <f>SUM(H9:H14)</f>
        <v>4365</v>
      </c>
      <c r="I16" s="3"/>
      <c r="J16" s="15" t="s">
        <v>25</v>
      </c>
      <c r="K16" s="16">
        <f>SUM(K9:K11)</f>
        <v>4351.8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61.0</v>
      </c>
      <c r="E17" s="8">
        <v>46264.46438524306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30.0</v>
      </c>
      <c r="E18" s="8">
        <v>46264.46564313657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13,20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28</v>
      </c>
      <c r="D19" s="6">
        <v>13.0</v>
      </c>
      <c r="E19" s="8">
        <v>46264.46591370371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29</v>
      </c>
      <c r="D20" s="6">
        <v>10.0</v>
      </c>
      <c r="E20" s="8">
        <v>46264.466572199075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15.0</v>
      </c>
      <c r="E21" s="8">
        <v>46264.46665916667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1.5</v>
      </c>
      <c r="C22" s="7" t="s">
        <v>31</v>
      </c>
      <c r="D22" s="6">
        <v>5.0</v>
      </c>
      <c r="E22" s="8">
        <v>46264.46647934028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23.0</v>
      </c>
      <c r="E23" s="8">
        <v>46264.50077451389</v>
      </c>
      <c r="F23" s="2"/>
      <c r="G23" s="19" t="s">
        <v>33</v>
      </c>
      <c r="H23" s="19" t="s">
        <v>34</v>
      </c>
      <c r="I23" s="2"/>
      <c r="J23" s="20" t="s">
        <v>35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12.0</v>
      </c>
      <c r="C24" s="7" t="s">
        <v>36</v>
      </c>
      <c r="D24" s="6">
        <v>2.0</v>
      </c>
      <c r="E24" s="8">
        <v>46264.500822256945</v>
      </c>
      <c r="F24" s="2"/>
      <c r="G24" s="22">
        <v>79.0</v>
      </c>
      <c r="H24" s="23"/>
      <c r="I24" s="2"/>
      <c r="J24" s="24" t="s">
        <v>37</v>
      </c>
      <c r="K24" s="25">
        <f>SUM(INGRESOS_YAPE[])</f>
        <v>995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12.0</v>
      </c>
      <c r="C25" s="7" t="s">
        <v>38</v>
      </c>
      <c r="D25" s="6">
        <v>6.0</v>
      </c>
      <c r="E25" s="8">
        <v>46264.50087915509</v>
      </c>
      <c r="F25" s="2"/>
      <c r="G25" s="22">
        <v>29.0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28.0</v>
      </c>
      <c r="E26" s="8">
        <v>46264.501035671296</v>
      </c>
      <c r="F26" s="2"/>
      <c r="G26" s="26">
        <v>760.0</v>
      </c>
      <c r="H26" s="23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750.0</v>
      </c>
      <c r="E27" s="8">
        <v>46264.506638067134</v>
      </c>
      <c r="F27" s="2"/>
      <c r="G27" s="22">
        <v>127.0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36.0</v>
      </c>
      <c r="C28" s="7" t="s">
        <v>42</v>
      </c>
      <c r="D28" s="6">
        <v>10.0</v>
      </c>
      <c r="E28" s="8">
        <v>46264.50683806713</v>
      </c>
      <c r="F28" s="2"/>
      <c r="G28" s="22"/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43</v>
      </c>
      <c r="D29" s="6">
        <v>255.0</v>
      </c>
      <c r="E29" s="8">
        <v>46264.50771506944</v>
      </c>
      <c r="F29" s="2"/>
      <c r="G29" s="22"/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995,00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265.0</v>
      </c>
      <c r="E30" s="8">
        <v>46264.50776084491</v>
      </c>
      <c r="F30" s="2"/>
      <c r="G30" s="23"/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0.5</v>
      </c>
      <c r="C31" s="7" t="s">
        <v>44</v>
      </c>
      <c r="D31" s="6">
        <v>12.0</v>
      </c>
      <c r="E31" s="8">
        <v>46264.50901188658</v>
      </c>
      <c r="F31" s="2"/>
      <c r="G31" s="23"/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6.0</v>
      </c>
      <c r="C32" s="7" t="s">
        <v>45</v>
      </c>
      <c r="D32" s="6">
        <v>18.0</v>
      </c>
      <c r="E32" s="8">
        <v>46264.50904855324</v>
      </c>
      <c r="F32" s="2"/>
      <c r="G32" s="23"/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4.0</v>
      </c>
      <c r="E33" s="8">
        <v>46264.50920153935</v>
      </c>
      <c r="F33" s="2"/>
      <c r="G33" s="23"/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29.0</v>
      </c>
      <c r="E34" s="8">
        <v>46264.50923795139</v>
      </c>
      <c r="F34" s="2"/>
      <c r="G34" s="23"/>
      <c r="H34" s="23"/>
      <c r="I34" s="2"/>
      <c r="J34" s="30" t="s">
        <v>48</v>
      </c>
      <c r="K34" s="30" t="s">
        <v>49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50</v>
      </c>
      <c r="D35" s="6">
        <v>38.0</v>
      </c>
      <c r="E35" s="8">
        <v>46264.50930503472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51</v>
      </c>
      <c r="D36" s="6">
        <v>174.0</v>
      </c>
      <c r="E36" s="8">
        <v>46264.509439016205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258.0</v>
      </c>
      <c r="E37" s="8">
        <v>46264.509507627314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53</v>
      </c>
      <c r="D38" s="6">
        <v>210.0</v>
      </c>
      <c r="E38" s="8">
        <v>46264.509663159726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54</v>
      </c>
      <c r="D39" s="6">
        <v>102.0</v>
      </c>
      <c r="E39" s="8">
        <v>46264.50973518519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55</v>
      </c>
      <c r="D40" s="6">
        <v>162.0</v>
      </c>
      <c r="E40" s="8">
        <v>46264.509786400464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56</v>
      </c>
      <c r="D41" s="6">
        <v>61.0</v>
      </c>
      <c r="E41" s="8">
        <v>46264.509915057875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57</v>
      </c>
      <c r="D42" s="6">
        <v>50.0</v>
      </c>
      <c r="E42" s="8">
        <v>46264.51000775463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58</v>
      </c>
      <c r="D43" s="6">
        <v>99.0</v>
      </c>
      <c r="E43" s="8">
        <v>46264.5101959375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59</v>
      </c>
      <c r="D44" s="6">
        <v>204.0</v>
      </c>
      <c r="E44" s="8">
        <v>46264.51024717593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3.8</v>
      </c>
      <c r="E45" s="8">
        <v>46264.510436655095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90.0</v>
      </c>
      <c r="E46" s="8">
        <v>46264.51052121528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155.0</v>
      </c>
      <c r="E47" s="8">
        <v>46264.51058112268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34.0</v>
      </c>
      <c r="E48" s="8">
        <v>46264.510767534724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30.0</v>
      </c>
      <c r="E49" s="8">
        <v>46264.51082686342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64</v>
      </c>
      <c r="D50" s="6">
        <v>5.0</v>
      </c>
      <c r="E50" s="8">
        <v>46264.522990868056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16.0</v>
      </c>
      <c r="E51" s="8">
        <v>46264.52303510417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9.0</v>
      </c>
      <c r="E52" s="8">
        <v>46264.523088182876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42.0</v>
      </c>
      <c r="E53" s="8">
        <v>46264.523325393515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58.0</v>
      </c>
      <c r="E54" s="8">
        <v>46264.52415604166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14.0</v>
      </c>
      <c r="E55" s="8">
        <v>46264.52401878472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17.0</v>
      </c>
      <c r="E56" s="8">
        <v>46264.52393390046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10.0</v>
      </c>
      <c r="E57" s="8">
        <v>46264.523890833334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27.0</v>
      </c>
      <c r="E58" s="8">
        <v>46264.52385034722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39.0</v>
      </c>
      <c r="E59" s="8">
        <v>46264.52378844908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13"/>
      <c r="C60" s="33"/>
      <c r="D60" s="34"/>
      <c r="E60" s="35"/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13"/>
      <c r="C61" s="33"/>
      <c r="D61" s="34"/>
      <c r="E61" s="35"/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13"/>
      <c r="C62" s="33"/>
      <c r="D62" s="34"/>
      <c r="E62" s="35"/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33"/>
      <c r="D63" s="34"/>
      <c r="E63" s="35"/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33"/>
      <c r="D64" s="34"/>
      <c r="E64" s="35"/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33"/>
      <c r="D65" s="34"/>
      <c r="E65" s="35"/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33"/>
      <c r="D66" s="34"/>
      <c r="E66" s="35"/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3"/>
      <c r="D67" s="34"/>
      <c r="E67" s="35"/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3"/>
      <c r="D68" s="34"/>
      <c r="E68" s="35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3"/>
      <c r="D69" s="34"/>
      <c r="E69" s="35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3"/>
      <c r="D70" s="34"/>
      <c r="E70" s="35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3"/>
      <c r="D71" s="34"/>
      <c r="E71" s="35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3"/>
      <c r="D72" s="34"/>
      <c r="E72" s="35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3"/>
      <c r="D73" s="34"/>
      <c r="E73" s="35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3"/>
      <c r="D74" s="34"/>
      <c r="E74" s="35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3"/>
      <c r="D75" s="34"/>
      <c r="E75" s="35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3"/>
      <c r="D76" s="34"/>
      <c r="E76" s="35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3"/>
      <c r="D77" s="34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