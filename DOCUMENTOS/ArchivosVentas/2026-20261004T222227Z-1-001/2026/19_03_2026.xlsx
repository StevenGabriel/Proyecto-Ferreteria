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<sst xmlns="http://schemas.openxmlformats.org/spreadsheetml/2006/main" count="86" uniqueCount="85">
  <si>
    <t>HOJA DE CALCULO FERRETERIA</t>
  </si>
  <si>
    <t>CODIGO</t>
  </si>
  <si>
    <t>CANTIDAD</t>
  </si>
  <si>
    <t>DESCRIPCION</t>
  </si>
  <si>
    <t>TOTAL</t>
  </si>
  <si>
    <t>HORA</t>
  </si>
  <si>
    <t>CUADRAR</t>
  </si>
  <si>
    <t>juego sacabocado tolsen</t>
  </si>
  <si>
    <t>akfi a40</t>
  </si>
  <si>
    <t>MONEDAS</t>
  </si>
  <si>
    <t>CAJA CHICA</t>
  </si>
  <si>
    <t>kl carburo</t>
  </si>
  <si>
    <t>BILLETES 10-20</t>
  </si>
  <si>
    <t>TOTAL VENTAS DIA</t>
  </si>
  <si>
    <t xml:space="preserve">disco kamas </t>
  </si>
  <si>
    <t>BILLETES 50-100-200</t>
  </si>
  <si>
    <t>AUMENTO DE DINERO</t>
  </si>
  <si>
    <t>dado tork truper</t>
  </si>
  <si>
    <t>INGRESOS YAPE</t>
  </si>
  <si>
    <t>adaptador de dado truper</t>
  </si>
  <si>
    <t>INGRESOS TARJETA</t>
  </si>
  <si>
    <t>cemetno cola  redilmix</t>
  </si>
  <si>
    <t>GASTOS VARIOS</t>
  </si>
  <si>
    <t>caja rectangualr</t>
  </si>
  <si>
    <t>sopladora jadever</t>
  </si>
  <si>
    <t>DINERO GANADO HOY:</t>
  </si>
  <si>
    <t>CANTIDAD DINERO CAJA:</t>
  </si>
  <si>
    <t>cepillo para taladro</t>
  </si>
  <si>
    <t>cepillo tr</t>
  </si>
  <si>
    <t>unioon patrn1</t>
  </si>
  <si>
    <t>cinta doble contac</t>
  </si>
  <si>
    <t>silicon american nrg</t>
  </si>
  <si>
    <t>resistencia corona</t>
  </si>
  <si>
    <t>silicona negra</t>
  </si>
  <si>
    <t>YAPE MAMÁ</t>
  </si>
  <si>
    <t>YAPE PAPÁ</t>
  </si>
  <si>
    <t>llave combijada 12</t>
  </si>
  <si>
    <t>broca encastre 8</t>
  </si>
  <si>
    <t>disco galleta</t>
  </si>
  <si>
    <t>tubo condit 1/2</t>
  </si>
  <si>
    <t>arandela 1/2</t>
  </si>
  <si>
    <t>broca encastre 6</t>
  </si>
  <si>
    <t>poxipol metalica</t>
  </si>
  <si>
    <t>guante goma l</t>
  </si>
  <si>
    <t>disco madera 10</t>
  </si>
  <si>
    <t>cinta embalaje</t>
  </si>
  <si>
    <t>8m</t>
  </si>
  <si>
    <t>plastico 1.2</t>
  </si>
  <si>
    <t>sellarosca</t>
  </si>
  <si>
    <t>m plastico 1,5</t>
  </si>
  <si>
    <t>duscha corona</t>
  </si>
  <si>
    <t>cdod fg 2</t>
  </si>
  <si>
    <t>copla 2 pvc</t>
  </si>
  <si>
    <t>adaptador 2 pvc</t>
  </si>
  <si>
    <t>limpiador</t>
  </si>
  <si>
    <t>pegamento tigre</t>
  </si>
  <si>
    <t>pegamento para parchar</t>
  </si>
  <si>
    <t>boquilla</t>
  </si>
  <si>
    <t>redcucion 3/4x1/2</t>
  </si>
  <si>
    <t>niple 1/2</t>
  </si>
  <si>
    <t>codo 3/4</t>
  </si>
  <si>
    <t>embudo</t>
  </si>
  <si>
    <t>broca concreto 10</t>
  </si>
  <si>
    <t>tirafondo1/4x21/2</t>
  </si>
  <si>
    <t>ramplu 10</t>
  </si>
  <si>
    <t>cuchillas de esilete</t>
  </si>
  <si>
    <t>debor concreto 6</t>
  </si>
  <si>
    <t>irwin concreto 6</t>
  </si>
  <si>
    <t>resistencia lorenzety</t>
  </si>
  <si>
    <t>mini alicate</t>
  </si>
  <si>
    <t>tapon pvc 3/4</t>
  </si>
  <si>
    <t>terico 32 x 1</t>
  </si>
  <si>
    <t>chicotillo 60 coflex</t>
  </si>
  <si>
    <t>teflon</t>
  </si>
  <si>
    <t>chip 4x60</t>
  </si>
  <si>
    <t>bolsita de clavos</t>
  </si>
  <si>
    <t>silicon polifur</t>
  </si>
  <si>
    <t>manguera con regulad</t>
  </si>
  <si>
    <t>abrazadera</t>
  </si>
  <si>
    <t>flexo de 5 mm</t>
  </si>
  <si>
    <t>broca de ckoncro 10</t>
  </si>
  <si>
    <t>alicate tramonta</t>
  </si>
  <si>
    <t>alicte tramonta</t>
  </si>
  <si>
    <t>rampliud y tyorinillo</t>
  </si>
  <si>
    <t>alargador de corriente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</si>
</sst>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50.0</v>
      </c>
      <c r="E8" s="8">
        <v>46100.37903802084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65.0</v>
      </c>
      <c r="E9" s="8">
        <v>46100.38781666667</v>
      </c>
      <c r="F9" s="2"/>
      <c r="G9" s="9" t="s">
        <v>9</v>
      </c>
      <c r="H9" s="10">
        <v>166.0</v>
      </c>
      <c r="I9" s="2"/>
      <c r="J9" s="9" t="s">
        <v>10</v>
      </c>
      <c r="K9" s="10">
        <v>583.0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25.0</v>
      </c>
      <c r="E10" s="8">
        <v>46100.398812280095</v>
      </c>
      <c r="F10" s="2"/>
      <c r="G10" s="9" t="s">
        <v>12</v>
      </c>
      <c r="H10" s="10">
        <v>240.0</v>
      </c>
      <c r="I10" s="2"/>
      <c r="J10" s="9" t="s">
        <v>13</v>
      </c>
      <c r="K10" s="11">
        <f>SUM(PRINCIPAL[TOTAL])</f>
        <v>2485.5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77.0</v>
      </c>
      <c r="E11" s="8">
        <v>46100.412478819446</v>
      </c>
      <c r="F11" s="2"/>
      <c r="G11" s="9" t="s">
        <v>15</v>
      </c>
      <c r="H11" s="10">
        <v>1850.0</v>
      </c>
      <c r="I11" s="2"/>
      <c r="J11" s="9" t="s">
        <v>16</v>
      </c>
      <c r="K11" s="10">
        <v>163.0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61.0</v>
      </c>
      <c r="E12" s="8">
        <v>46100.412592939814</v>
      </c>
      <c r="F12" s="2"/>
      <c r="G12" s="9" t="s">
        <v>18</v>
      </c>
      <c r="H12" s="12">
        <f>SUM(G24:H361)</f>
        <v>1084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75.0</v>
      </c>
      <c r="E13" s="8">
        <v>46100.412707048614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4.0</v>
      </c>
      <c r="C14" s="7" t="s">
        <v>21</v>
      </c>
      <c r="D14" s="6">
        <v>84.0</v>
      </c>
      <c r="E14" s="8">
        <v>46100.413650393515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20.0</v>
      </c>
      <c r="C15" s="7" t="s">
        <v>23</v>
      </c>
      <c r="D15" s="6">
        <v>60.0</v>
      </c>
      <c r="E15" s="8">
        <v>46100.417361678235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170.0</v>
      </c>
      <c r="E16" s="8">
        <v>46100.42056024306</v>
      </c>
      <c r="F16" s="2"/>
      <c r="G16" s="15" t="s">
        <v>25</v>
      </c>
      <c r="H16" s="16">
        <f>SUM(H9:H14)</f>
        <v>3340</v>
      </c>
      <c r="I16" s="3"/>
      <c r="J16" s="15" t="s">
        <v>26</v>
      </c>
      <c r="K16" s="16">
        <f>SUM(K9:K11)</f>
        <v>3231.5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17.0</v>
      </c>
      <c r="E17" s="8">
        <v>46100.42079396991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15.0</v>
      </c>
      <c r="E18" s="8">
        <v>46100.420859074075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18.0</v>
      </c>
      <c r="E19" s="8">
        <v>46100.43006695602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20.0</v>
      </c>
      <c r="E20" s="8">
        <v>46100.434291122685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28.0</v>
      </c>
      <c r="E21" s="8">
        <v>46100.43450181713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23.0</v>
      </c>
      <c r="E22" s="8">
        <v>46100.44680929398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27.0</v>
      </c>
      <c r="E23" s="8">
        <v>46100.447757685186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14.0</v>
      </c>
      <c r="E24" s="8">
        <v>46100.452036504634</v>
      </c>
      <c r="F24" s="2"/>
      <c r="G24" s="20">
        <v>65.0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18.0</v>
      </c>
      <c r="E25" s="8">
        <v>46100.463609872684</v>
      </c>
      <c r="F25" s="2"/>
      <c r="G25" s="20">
        <v>25.0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38</v>
      </c>
      <c r="D26" s="6">
        <v>10.0</v>
      </c>
      <c r="E26" s="8">
        <v>46100.463692997684</v>
      </c>
      <c r="F26" s="2"/>
      <c r="G26" s="22">
        <v>245.0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5.5</v>
      </c>
      <c r="E27" s="8">
        <v>46100.464426562496</v>
      </c>
      <c r="F27" s="2"/>
      <c r="G27" s="20">
        <v>27.0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12.0</v>
      </c>
      <c r="C28" s="7" t="s">
        <v>40</v>
      </c>
      <c r="D28" s="6">
        <v>7.0</v>
      </c>
      <c r="E28" s="8">
        <v>46100.47007119213</v>
      </c>
      <c r="F28" s="2"/>
      <c r="G28" s="20">
        <v>120.0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20.0</v>
      </c>
      <c r="E29" s="8">
        <v>46100.470178981486</v>
      </c>
      <c r="F29" s="2"/>
      <c r="G29" s="20">
        <v>288.0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38.0</v>
      </c>
      <c r="E30" s="8">
        <v>46100.47385430556</v>
      </c>
      <c r="F30" s="2"/>
      <c r="G30" s="20">
        <v>38.0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43</v>
      </c>
      <c r="D31" s="6">
        <v>26.0</v>
      </c>
      <c r="E31" s="8">
        <v>46100.47526600695</v>
      </c>
      <c r="F31" s="2"/>
      <c r="G31" s="20">
        <v>33.0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44</v>
      </c>
      <c r="D32" s="6">
        <v>200.0</v>
      </c>
      <c r="E32" s="8">
        <v>46100.4980015162</v>
      </c>
      <c r="F32" s="2"/>
      <c r="G32" s="20">
        <v>35.0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3.0</v>
      </c>
      <c r="C33" s="7" t="s">
        <v>38</v>
      </c>
      <c r="D33" s="6">
        <v>15.0</v>
      </c>
      <c r="E33" s="8">
        <v>46100.49805756945</v>
      </c>
      <c r="F33" s="2"/>
      <c r="G33" s="20">
        <v>138.0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45</v>
      </c>
      <c r="D34" s="6">
        <v>12.0</v>
      </c>
      <c r="E34" s="8">
        <v>46100.52959586805</v>
      </c>
      <c r="F34" s="2"/>
      <c r="G34" s="20">
        <v>70.0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 t="s">
        <v>46</v>
      </c>
      <c r="C35" s="7" t="s">
        <v>47</v>
      </c>
      <c r="D35" s="6">
        <v>72.0</v>
      </c>
      <c r="E35" s="8">
        <v>46100.52967118056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21.0</v>
      </c>
      <c r="E36" s="8">
        <v>46100.561347442126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18.0</v>
      </c>
      <c r="E37" s="8">
        <v>46100.57103232639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120.0</v>
      </c>
      <c r="E38" s="8">
        <v>46100.583225462964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99.0</v>
      </c>
      <c r="E39" s="8">
        <v>46100.62194795139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52</v>
      </c>
      <c r="D40" s="6">
        <v>36.0</v>
      </c>
      <c r="E40" s="8">
        <v>46100.622741921296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18.0</v>
      </c>
      <c r="E41" s="8">
        <v>46100.62283400463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55.0</v>
      </c>
      <c r="E42" s="8">
        <v>46100.62313638889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68.0</v>
      </c>
      <c r="E43" s="8">
        <v>46100.62333047454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5.0</v>
      </c>
      <c r="E44" s="8">
        <v>46100.62400804398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12.0</v>
      </c>
      <c r="E45" s="8">
        <v>46100.63945983796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2.0</v>
      </c>
      <c r="E46" s="8">
        <v>46100.63960135417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2.0</v>
      </c>
      <c r="E47" s="8">
        <v>46100.63971166666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5.5</v>
      </c>
      <c r="E48" s="8">
        <v>46100.639795173614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31.0</v>
      </c>
      <c r="E49" s="8">
        <v>46100.652760625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26.0</v>
      </c>
      <c r="E50" s="8">
        <v>46100.65587271991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12.0</v>
      </c>
      <c r="C51" s="7" t="s">
        <v>63</v>
      </c>
      <c r="D51" s="6">
        <v>8.0</v>
      </c>
      <c r="E51" s="8">
        <v>46100.65600739583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12.0</v>
      </c>
      <c r="C52" s="7" t="s">
        <v>64</v>
      </c>
      <c r="D52" s="6">
        <v>4.0</v>
      </c>
      <c r="E52" s="8">
        <v>46100.65606519676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3.0</v>
      </c>
      <c r="C53" s="7" t="s">
        <v>65</v>
      </c>
      <c r="D53" s="6">
        <v>33.0</v>
      </c>
      <c r="E53" s="8">
        <v>46100.66366142361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19.0</v>
      </c>
      <c r="E54" s="8">
        <v>46100.671576458335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16.0</v>
      </c>
      <c r="E55" s="8">
        <v>46100.67170615741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25.0</v>
      </c>
      <c r="E56" s="8">
        <v>46100.67450946759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30.0</v>
      </c>
      <c r="E57" s="8">
        <v>46100.67857658565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4.0</v>
      </c>
      <c r="E58" s="8">
        <v>46100.67939556713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26.0</v>
      </c>
      <c r="E59" s="8">
        <v>46100.68541503472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3.0</v>
      </c>
      <c r="C60" s="7" t="s">
        <v>72</v>
      </c>
      <c r="D60" s="6">
        <v>174.0</v>
      </c>
      <c r="E60" s="8">
        <v>46100.701039872685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5.0</v>
      </c>
      <c r="C61" s="7" t="s">
        <v>73</v>
      </c>
      <c r="D61" s="6">
        <v>12.5</v>
      </c>
      <c r="E61" s="8">
        <v>46100.70122028935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36.0</v>
      </c>
      <c r="C62" s="7" t="s">
        <v>74</v>
      </c>
      <c r="D62" s="6">
        <v>10.5</v>
      </c>
      <c r="E62" s="8">
        <v>46100.70927497685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4.0</v>
      </c>
      <c r="E63" s="8">
        <v>46100.71296070602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48.0</v>
      </c>
      <c r="E64" s="8">
        <v>46100.714898101854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65.0</v>
      </c>
      <c r="E65" s="8">
        <v>46100.725467372686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3.0</v>
      </c>
      <c r="E66" s="8">
        <v>46100.725591979164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24.0</v>
      </c>
      <c r="E67" s="8">
        <v>46100.72959103009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80</v>
      </c>
      <c r="D68" s="6">
        <v>22.0</v>
      </c>
      <c r="E68" s="8">
        <v>46100.737015810184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56.0</v>
      </c>
      <c r="E69" s="8">
        <v>46100.737133449074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56.0</v>
      </c>
      <c r="E70" s="8">
        <v>46100.73717451389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83</v>
      </c>
      <c r="D71" s="6">
        <v>4.5</v>
      </c>
      <c r="E71" s="8">
        <v>46100.73752068287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84</v>
      </c>
      <c r="D72" s="6">
        <v>70.0</v>
      </c>
      <c r="E72" s="8">
        <v>46100.75032690972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