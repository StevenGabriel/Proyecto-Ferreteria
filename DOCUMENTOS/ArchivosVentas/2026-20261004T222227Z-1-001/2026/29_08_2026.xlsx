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<sst xmlns="http://schemas.openxmlformats.org/spreadsheetml/2006/main" count="85" uniqueCount="84">
  <si>
    <t>HOJA DE CALCULO FERRETERIA</t>
  </si>
  <si>
    <t>CODIGO</t>
  </si>
  <si>
    <t>CANTIDAD</t>
  </si>
  <si>
    <t>DESCRIPCION</t>
  </si>
  <si>
    <t>TOTAL</t>
  </si>
  <si>
    <t>HORA</t>
  </si>
  <si>
    <t>CUADRAR</t>
  </si>
  <si>
    <t>punta detaladro</t>
  </si>
  <si>
    <t>llave combinda 16 mm</t>
  </si>
  <si>
    <t>MONEDAS</t>
  </si>
  <si>
    <t>CAJA CHICA</t>
  </si>
  <si>
    <t>flotador 3/4</t>
  </si>
  <si>
    <t>BILLETES 10-20</t>
  </si>
  <si>
    <t>TOTAL VENTAS DIA</t>
  </si>
  <si>
    <t>pigmento amarillo</t>
  </si>
  <si>
    <t>BILLETES 50-100-200</t>
  </si>
  <si>
    <t>AUMENTO DE DINERO</t>
  </si>
  <si>
    <t>llave combi 15</t>
  </si>
  <si>
    <t>INGRESOS YAPE</t>
  </si>
  <si>
    <t>placa dobe</t>
  </si>
  <si>
    <t>INGRESOS TARJETA</t>
  </si>
  <si>
    <t>5KL</t>
  </si>
  <si>
    <t>ELECTRODO 6013</t>
  </si>
  <si>
    <t>GASTOS VARIOS</t>
  </si>
  <si>
    <t>PELACABLE</t>
  </si>
  <si>
    <t>MANGUERA DE COMPRESORA</t>
  </si>
  <si>
    <t>DINERO GANADO HOY:</t>
  </si>
  <si>
    <t>CANTIDAD DINERO CAJA:</t>
  </si>
  <si>
    <t>PISTOLAS DE AIRE TR</t>
  </si>
  <si>
    <t>GRIFO 1/2 ITAP</t>
  </si>
  <si>
    <t>LLAVE DE PASO 1/2</t>
  </si>
  <si>
    <t>PARABON</t>
  </si>
  <si>
    <t>TAPON 11/2</t>
  </si>
  <si>
    <t>DOBLE CONTACTO CEISTAL</t>
  </si>
  <si>
    <t>SILICONA TRANPARENTE</t>
  </si>
  <si>
    <t>YAPE MAMÁ</t>
  </si>
  <si>
    <t>YAPE PAPÁ</t>
  </si>
  <si>
    <t>YAPE</t>
  </si>
  <si>
    <t>GOMA PARA LAVANDERIA</t>
  </si>
  <si>
    <t>Monto Total YAPE (No tocar):</t>
  </si>
  <si>
    <t>ACOPLE DIRECTO 1/2</t>
  </si>
  <si>
    <t>LLAVE DE PASO PLASTICO 1/2</t>
  </si>
  <si>
    <t>Monto Total Registrado en aplicacion</t>
  </si>
  <si>
    <t>TEDLOM</t>
  </si>
  <si>
    <t>NIPLE 1/2</t>
  </si>
  <si>
    <t>TIJERA DE AVIACION</t>
  </si>
  <si>
    <t>EMPAQUETA</t>
  </si>
  <si>
    <t>LIMA RED</t>
  </si>
  <si>
    <t>PICAPORTE YUYS</t>
  </si>
  <si>
    <t>JAALDOR LISO</t>
  </si>
  <si>
    <t>broca fierro 2.5</t>
  </si>
  <si>
    <t>PAGOS YAPE</t>
  </si>
  <si>
    <t>DESCRIPCION PAGO</t>
  </si>
  <si>
    <t>manguera gasolina</t>
  </si>
  <si>
    <t>protector facial  olsen</t>
  </si>
  <si>
    <t>gomas</t>
  </si>
  <si>
    <t>broca fierro 2</t>
  </si>
  <si>
    <t xml:space="preserve">llijas </t>
  </si>
  <si>
    <t>TIRAFONDO</t>
  </si>
  <si>
    <t>TAMPLUS</t>
  </si>
  <si>
    <t>ARADELAS</t>
  </si>
  <si>
    <t>AERSOL NEGRO MATE</t>
  </si>
  <si>
    <t>DISCO FLAP</t>
  </si>
  <si>
    <t>SILICONA TRANS</t>
  </si>
  <si>
    <t>REMACHE 6.2X16</t>
  </si>
  <si>
    <t>REMACHE 6.2X22</t>
  </si>
  <si>
    <t>ALICATE PRESION TR</t>
  </si>
  <si>
    <t>ORRIN</t>
  </si>
  <si>
    <t>CARBOM</t>
  </si>
  <si>
    <t>ESTAÑO HILO</t>
  </si>
  <si>
    <t>mt mangure</t>
  </si>
  <si>
    <t>SILICO</t>
  </si>
  <si>
    <t>COPLES RAP</t>
  </si>
  <si>
    <t>LIJAS</t>
  </si>
  <si>
    <t>DADO</t>
  </si>
  <si>
    <t>sifon corrugado astra</t>
  </si>
  <si>
    <t>poetatil</t>
  </si>
  <si>
    <t>escuadra turper 12</t>
  </si>
  <si>
    <t>alicate de fueras totlse</t>
  </si>
  <si>
    <t>disco cort uyusto</t>
  </si>
  <si>
    <t>cinta tela</t>
  </si>
  <si>
    <t xml:space="preserve">prensa </t>
  </si>
  <si>
    <t>carpicola</t>
  </si>
  <si>
    <t xml:space="preserve">ramplu y trifato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</si>
</sst>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5.0</v>
      </c>
      <c r="E8" s="8">
        <v>46263.358974675924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40.0</v>
      </c>
      <c r="E9" s="8">
        <v>46263.418033194444</v>
      </c>
      <c r="F9" s="2"/>
      <c r="G9" s="9" t="s">
        <v>9</v>
      </c>
      <c r="H9" s="10">
        <v>111.0</v>
      </c>
      <c r="I9" s="2"/>
      <c r="J9" s="9" t="s">
        <v>10</v>
      </c>
      <c r="K9" s="10">
        <v>622.5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135.0</v>
      </c>
      <c r="E10" s="8">
        <v>46263.41812767361</v>
      </c>
      <c r="F10" s="2"/>
      <c r="G10" s="9" t="s">
        <v>12</v>
      </c>
      <c r="H10" s="10">
        <v>290.0</v>
      </c>
      <c r="I10" s="2"/>
      <c r="J10" s="9" t="s">
        <v>13</v>
      </c>
      <c r="K10" s="11">
        <f>SUM(PRINCIPAL[TOTAL])</f>
        <v>2794.5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10.0</v>
      </c>
      <c r="E11" s="8">
        <v>46263.42248142361</v>
      </c>
      <c r="F11" s="2"/>
      <c r="G11" s="9" t="s">
        <v>15</v>
      </c>
      <c r="H11" s="10">
        <v>1700.0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6">
        <v>40.0</v>
      </c>
      <c r="E12" s="8">
        <v>46263.43144707176</v>
      </c>
      <c r="F12" s="2"/>
      <c r="G12" s="9" t="s">
        <v>18</v>
      </c>
      <c r="H12" s="12">
        <f>SUM(G24:H361)</f>
        <v>1419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30.0</v>
      </c>
      <c r="E13" s="8">
        <v>46263.43444113426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 t="s">
        <v>21</v>
      </c>
      <c r="C14" s="7" t="s">
        <v>22</v>
      </c>
      <c r="D14" s="6">
        <v>295.0</v>
      </c>
      <c r="E14" s="8">
        <v>46263.44606835648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45.0</v>
      </c>
      <c r="E15" s="8">
        <v>46263.445595717596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188.0</v>
      </c>
      <c r="E16" s="8"/>
      <c r="F16" s="2"/>
      <c r="G16" s="15" t="s">
        <v>26</v>
      </c>
      <c r="H16" s="16">
        <f>SUM(H9:H14)</f>
        <v>3520</v>
      </c>
      <c r="I16" s="3"/>
      <c r="J16" s="15" t="s">
        <v>27</v>
      </c>
      <c r="K16" s="16">
        <f>SUM(K9:K11)</f>
        <v>3417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28</v>
      </c>
      <c r="D17" s="6">
        <v>162.0</v>
      </c>
      <c r="E17" s="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29</v>
      </c>
      <c r="D18" s="6">
        <v>196.0</v>
      </c>
      <c r="E18" s="8">
        <v>46263.44595778935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103,00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30</v>
      </c>
      <c r="D19" s="6">
        <v>166.0</v>
      </c>
      <c r="E19" s="8">
        <v>46263.44481511574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72.0</v>
      </c>
      <c r="E20" s="8">
        <v>46263.44476380787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32</v>
      </c>
      <c r="D21" s="6">
        <v>22.0</v>
      </c>
      <c r="E21" s="8">
        <v>46263.44263337963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12.0</v>
      </c>
      <c r="E22" s="8">
        <v>46263.45648836806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26.0</v>
      </c>
      <c r="E23" s="8">
        <v>46263.45628136574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12.0</v>
      </c>
      <c r="E24" s="8">
        <v>46263.46408976852</v>
      </c>
      <c r="F24" s="2"/>
      <c r="G24" s="22">
        <v>30.0</v>
      </c>
      <c r="H24" s="23"/>
      <c r="I24" s="2"/>
      <c r="J24" s="24" t="s">
        <v>39</v>
      </c>
      <c r="K24" s="25">
        <f>SUM(INGRESOS_YAPE[])</f>
        <v>1419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8.0</v>
      </c>
      <c r="E25" s="8">
        <v>46263.46420119213</v>
      </c>
      <c r="F25" s="2"/>
      <c r="G25" s="22">
        <v>1124.0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7.0</v>
      </c>
      <c r="E26" s="8">
        <v>46263.4661546875</v>
      </c>
      <c r="F26" s="2"/>
      <c r="G26" s="26">
        <v>22.0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3.0</v>
      </c>
      <c r="E27" s="8">
        <v>46263.46604672454</v>
      </c>
      <c r="F27" s="2"/>
      <c r="G27" s="22">
        <v>38.0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2.0</v>
      </c>
      <c r="E28" s="8">
        <v>46263.466009502314</v>
      </c>
      <c r="F28" s="2"/>
      <c r="G28" s="22">
        <v>20.0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49.0</v>
      </c>
      <c r="E29" s="8">
        <v>46263.47049920139</v>
      </c>
      <c r="F29" s="2"/>
      <c r="G29" s="22">
        <v>57.0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1419,00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46</v>
      </c>
      <c r="D30" s="6">
        <v>2.0</v>
      </c>
      <c r="E30" s="8">
        <v>46263.479277453705</v>
      </c>
      <c r="F30" s="2"/>
      <c r="G30" s="22">
        <v>30.0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57.0</v>
      </c>
      <c r="E31" s="8">
        <v>46263.48282135416</v>
      </c>
      <c r="F31" s="2"/>
      <c r="G31" s="22">
        <v>25.0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3.0</v>
      </c>
      <c r="C32" s="7" t="s">
        <v>48</v>
      </c>
      <c r="D32" s="6">
        <v>22.5</v>
      </c>
      <c r="E32" s="8">
        <v>46263.4865584838</v>
      </c>
      <c r="F32" s="2"/>
      <c r="G32" s="22">
        <v>26.0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3.0</v>
      </c>
      <c r="C33" s="7" t="s">
        <v>49</v>
      </c>
      <c r="D33" s="6">
        <v>24.0</v>
      </c>
      <c r="E33" s="8">
        <v>46263.486715011575</v>
      </c>
      <c r="F33" s="2"/>
      <c r="G33" s="22">
        <v>34.0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50</v>
      </c>
      <c r="D34" s="6">
        <v>30.0</v>
      </c>
      <c r="E34" s="8">
        <v>46263.49816340278</v>
      </c>
      <c r="F34" s="2"/>
      <c r="G34" s="22">
        <v>13.0</v>
      </c>
      <c r="H34" s="23"/>
      <c r="I34" s="2"/>
      <c r="J34" s="30" t="s">
        <v>51</v>
      </c>
      <c r="K34" s="30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25.0</v>
      </c>
      <c r="E35" s="8">
        <v>46263.506230555555</v>
      </c>
      <c r="F35" s="2"/>
      <c r="G35" s="23"/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6">
        <v>93.0</v>
      </c>
      <c r="E36" s="8">
        <v>46263.50726221065</v>
      </c>
      <c r="F36" s="2"/>
      <c r="G36" s="23"/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6.0</v>
      </c>
      <c r="C37" s="7" t="s">
        <v>55</v>
      </c>
      <c r="D37" s="6">
        <v>12.0</v>
      </c>
      <c r="E37" s="8">
        <v>46263.5074024537</v>
      </c>
      <c r="F37" s="2"/>
      <c r="G37" s="23"/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56</v>
      </c>
      <c r="D38" s="6">
        <v>12.5</v>
      </c>
      <c r="E38" s="8">
        <v>46263.508678067126</v>
      </c>
      <c r="F38" s="2"/>
      <c r="G38" s="23"/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5.0</v>
      </c>
      <c r="C39" s="7" t="s">
        <v>57</v>
      </c>
      <c r="D39" s="6">
        <v>25.0</v>
      </c>
      <c r="E39" s="8">
        <v>46263.522816446755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12.0</v>
      </c>
      <c r="C40" s="7" t="s">
        <v>58</v>
      </c>
      <c r="D40" s="6">
        <v>13.0</v>
      </c>
      <c r="E40" s="8">
        <v>46263.52493346065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12.0</v>
      </c>
      <c r="C41" s="7" t="s">
        <v>59</v>
      </c>
      <c r="D41" s="6">
        <v>5.0</v>
      </c>
      <c r="E41" s="8">
        <v>46263.524974155094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12.0</v>
      </c>
      <c r="C42" s="7" t="s">
        <v>60</v>
      </c>
      <c r="D42" s="6">
        <v>3.0</v>
      </c>
      <c r="E42" s="8">
        <v>46263.525007476856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61</v>
      </c>
      <c r="D43" s="6">
        <v>20.0</v>
      </c>
      <c r="E43" s="8">
        <v>46263.52607245371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62</v>
      </c>
      <c r="D44" s="6">
        <v>14.0</v>
      </c>
      <c r="E44" s="8">
        <v>46263.52611659722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63</v>
      </c>
      <c r="D45" s="6">
        <v>26.0</v>
      </c>
      <c r="E45" s="8">
        <v>46263.52621650463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6.0</v>
      </c>
      <c r="C46" s="7" t="s">
        <v>64</v>
      </c>
      <c r="D46" s="6">
        <v>4.0</v>
      </c>
      <c r="E46" s="8">
        <v>46263.53289616898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12.0</v>
      </c>
      <c r="C47" s="7" t="s">
        <v>65</v>
      </c>
      <c r="D47" s="6">
        <v>12.0</v>
      </c>
      <c r="E47" s="8">
        <v>46263.532800891204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66</v>
      </c>
      <c r="D48" s="6">
        <v>170.0</v>
      </c>
      <c r="E48" s="8">
        <v>46263.53827659722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2.0</v>
      </c>
      <c r="C49" s="7" t="s">
        <v>67</v>
      </c>
      <c r="D49" s="6">
        <v>6.0</v>
      </c>
      <c r="E49" s="8">
        <v>46263.54303892361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68</v>
      </c>
      <c r="D50" s="6">
        <v>30.0</v>
      </c>
      <c r="E50" s="8">
        <v>46263.54309980324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69</v>
      </c>
      <c r="D51" s="6">
        <v>10.5</v>
      </c>
      <c r="E51" s="8">
        <v>46263.543190682874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17.5</v>
      </c>
      <c r="C52" s="7" t="s">
        <v>70</v>
      </c>
      <c r="D52" s="6">
        <v>175.0</v>
      </c>
      <c r="E52" s="8">
        <v>46263.600615613424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34.0</v>
      </c>
      <c r="E53" s="8">
        <v>46263.560160277775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72</v>
      </c>
      <c r="D54" s="6">
        <v>16.0</v>
      </c>
      <c r="E54" s="8">
        <v>46263.56030722222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73</v>
      </c>
      <c r="D55" s="6">
        <v>12.0</v>
      </c>
      <c r="E55" s="8">
        <v>46263.56099221065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74</v>
      </c>
      <c r="D56" s="6">
        <v>13.0</v>
      </c>
      <c r="E56" s="8">
        <v>46263.56481575231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75</v>
      </c>
      <c r="D57" s="6">
        <v>35.0</v>
      </c>
      <c r="E57" s="8">
        <v>46263.570889780094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76</v>
      </c>
      <c r="D58" s="33">
        <v>95.0</v>
      </c>
      <c r="E58" s="8">
        <v>46263.591572199075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77</v>
      </c>
      <c r="D59" s="6">
        <v>100.0</v>
      </c>
      <c r="E59" s="8">
        <v>46263.59260402778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78</v>
      </c>
      <c r="D60" s="6">
        <v>47.0</v>
      </c>
      <c r="E60" s="8">
        <v>46263.6092184375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79</v>
      </c>
      <c r="D61" s="6">
        <v>10.0</v>
      </c>
      <c r="E61" s="8">
        <v>46263.63408054398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80</v>
      </c>
      <c r="D62" s="6">
        <v>18.0</v>
      </c>
      <c r="E62" s="8">
        <v>46263.654392847224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81</v>
      </c>
      <c r="D63" s="6">
        <v>62.0</v>
      </c>
      <c r="E63" s="8">
        <v>46263.65542222222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82</v>
      </c>
      <c r="D64" s="6">
        <v>8.0</v>
      </c>
      <c r="E64" s="8">
        <v>46263.65546015046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4.0</v>
      </c>
      <c r="C65" s="7" t="s">
        <v>83</v>
      </c>
      <c r="D65" s="6">
        <v>10.0</v>
      </c>
      <c r="E65" s="8">
        <v>46263.65569465278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80</v>
      </c>
      <c r="D66" s="6">
        <v>18.0</v>
      </c>
      <c r="E66" s="8">
        <v>46263.65645797453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34"/>
      <c r="D67" s="35"/>
      <c r="E67" s="36"/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34"/>
      <c r="D68" s="35"/>
      <c r="E68" s="36"/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4"/>
      <c r="D69" s="35"/>
      <c r="E69" s="36"/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4"/>
      <c r="D70" s="35"/>
      <c r="E70" s="36"/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4"/>
      <c r="D71" s="35"/>
      <c r="E71" s="36"/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4"/>
      <c r="D72" s="35"/>
      <c r="E72" s="36"/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4"/>
      <c r="D73" s="35"/>
      <c r="E73" s="36"/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4"/>
      <c r="D74" s="35"/>
      <c r="E74" s="36"/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4"/>
      <c r="D75" s="35"/>
      <c r="E75" s="36"/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4"/>
      <c r="D76" s="35"/>
      <c r="E76" s="36"/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4"/>
      <c r="D77" s="35"/>
      <c r="E77" s="36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4"/>
      <c r="D78" s="35"/>
      <c r="E78" s="36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4"/>
      <c r="D79" s="35"/>
      <c r="E79" s="36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4"/>
      <c r="D80" s="35"/>
      <c r="E80" s="36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4"/>
      <c r="D81" s="35"/>
      <c r="E81" s="36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4"/>
      <c r="D82" s="35"/>
      <c r="E82" s="36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4"/>
      <c r="D83" s="35"/>
      <c r="E83" s="36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4"/>
      <c r="D84" s="35"/>
      <c r="E84" s="36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4"/>
      <c r="D85" s="35"/>
      <c r="E85" s="36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5"/>
      <c r="E86" s="36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6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6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