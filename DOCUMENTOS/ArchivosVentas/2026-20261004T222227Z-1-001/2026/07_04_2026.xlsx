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<sst xmlns="http://schemas.openxmlformats.org/spreadsheetml/2006/main" count="88" uniqueCount="83">
  <si>
    <t>HOJA DE CALCULO FERRETERIA</t>
  </si>
  <si>
    <t>CODIGO</t>
  </si>
  <si>
    <t>CANTIDAD</t>
  </si>
  <si>
    <t>DESCRIPCION</t>
  </si>
  <si>
    <t>TOTAL</t>
  </si>
  <si>
    <t>HORA</t>
  </si>
  <si>
    <t>CUADRAR</t>
  </si>
  <si>
    <t>clefa 100</t>
  </si>
  <si>
    <t xml:space="preserve">guante </t>
  </si>
  <si>
    <t>MONEDAS</t>
  </si>
  <si>
    <t>CAJA CHICA</t>
  </si>
  <si>
    <t>broca fierro 13</t>
  </si>
  <si>
    <t>BILLETES 10-20</t>
  </si>
  <si>
    <t>TOTAL VENTAS DIA</t>
  </si>
  <si>
    <t>espatula 2.5 draco</t>
  </si>
  <si>
    <t>BILLETES 50-100-200</t>
  </si>
  <si>
    <t>AUMENTO DE DINERO</t>
  </si>
  <si>
    <t>pie de amigo</t>
  </si>
  <si>
    <t>INGRESOS YAPE</t>
  </si>
  <si>
    <t>INGRESOS TARJETA</t>
  </si>
  <si>
    <t>sierra mecanica</t>
  </si>
  <si>
    <t>GASTOS VARIOS</t>
  </si>
  <si>
    <t>precnto 20cm</t>
  </si>
  <si>
    <t>precinto 30cm</t>
  </si>
  <si>
    <t>DINERO GANADO HOY:</t>
  </si>
  <si>
    <t>CANTIDAD DINERO CAJA:</t>
  </si>
  <si>
    <t>cuello de cera</t>
  </si>
  <si>
    <t>silicona blanca american</t>
  </si>
  <si>
    <t>disco concreto 7</t>
  </si>
  <si>
    <t>escuadra truper</t>
  </si>
  <si>
    <t>picaporte 11/2</t>
  </si>
  <si>
    <t>sierra nichelson</t>
  </si>
  <si>
    <t>bloque de lijado</t>
  </si>
  <si>
    <t>YAPE MAMÁ</t>
  </si>
  <si>
    <t>YAPE PAPÁ</t>
  </si>
  <si>
    <t>calibrador de 32 puntas</t>
  </si>
  <si>
    <t>union patente 3/4 fg</t>
  </si>
  <si>
    <t>brocha 2 1/2</t>
  </si>
  <si>
    <t>2m</t>
  </si>
  <si>
    <t>malla plastica</t>
  </si>
  <si>
    <t>1,5m</t>
  </si>
  <si>
    <t>manguera gas</t>
  </si>
  <si>
    <t>acople de mangera a m tramon</t>
  </si>
  <si>
    <t>acople rapido 3/4 tramon</t>
  </si>
  <si>
    <t>10m</t>
  </si>
  <si>
    <t>manguera 3/4 forte</t>
  </si>
  <si>
    <t>rodillo 10 cm</t>
  </si>
  <si>
    <t>abrasader</t>
  </si>
  <si>
    <t>disco removedor de pintira</t>
  </si>
  <si>
    <t>brocsa ceramica 5</t>
  </si>
  <si>
    <t>disco ceramica 4 jadever</t>
  </si>
  <si>
    <t>foco 15w calido</t>
  </si>
  <si>
    <t>cinta asilante</t>
  </si>
  <si>
    <t>engrampadoro  truper</t>
  </si>
  <si>
    <t>1m</t>
  </si>
  <si>
    <t>alambre 14</t>
  </si>
  <si>
    <t>bipolar 14</t>
  </si>
  <si>
    <t>soquet</t>
  </si>
  <si>
    <t>foco 7w</t>
  </si>
  <si>
    <t>aldaba</t>
  </si>
  <si>
    <t>tope goma</t>
  </si>
  <si>
    <t>caja de teflon</t>
  </si>
  <si>
    <t>chip + ramplu 8</t>
  </si>
  <si>
    <t>llave combinada 17</t>
  </si>
  <si>
    <t>interruptor sobreponer</t>
  </si>
  <si>
    <t>3m</t>
  </si>
  <si>
    <t>bipolar 16</t>
  </si>
  <si>
    <t>cubre cable 10x20</t>
  </si>
  <si>
    <t>masa corrida</t>
  </si>
  <si>
    <t>masquin 2</t>
  </si>
  <si>
    <t>tuerca</t>
  </si>
  <si>
    <t xml:space="preserve">kl clavo </t>
  </si>
  <si>
    <t xml:space="preserve">sueta cable </t>
  </si>
  <si>
    <t>bateria voltech</t>
  </si>
  <si>
    <t>bolsa de autoporferond10*1</t>
  </si>
  <si>
    <t xml:space="preserve">ducha </t>
  </si>
  <si>
    <t>lijas lijas</t>
  </si>
  <si>
    <t>barra estao</t>
  </si>
  <si>
    <t>fluxin</t>
  </si>
  <si>
    <t>cepillo tr</t>
  </si>
  <si>
    <t xml:space="preserve">llave combinana </t>
  </si>
  <si>
    <t>lijas agua</t>
  </si>
  <si>
    <t>clavo19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</si>
</sst>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16.0</v>
      </c>
      <c r="E8" s="8">
        <v>46120.35031393518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20.0</v>
      </c>
      <c r="E9" s="8">
        <v>46120.377365381944</v>
      </c>
      <c r="F9" s="2"/>
      <c r="G9" s="9" t="s">
        <v>9</v>
      </c>
      <c r="H9" s="10">
        <v>98.0</v>
      </c>
      <c r="I9" s="2"/>
      <c r="J9" s="9" t="s">
        <v>10</v>
      </c>
      <c r="K9" s="10">
        <v>585.0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89.0</v>
      </c>
      <c r="E10" s="8">
        <v>46120.40180741898</v>
      </c>
      <c r="F10" s="2"/>
      <c r="G10" s="9" t="s">
        <v>12</v>
      </c>
      <c r="H10" s="10">
        <v>160.0</v>
      </c>
      <c r="I10" s="2"/>
      <c r="J10" s="9" t="s">
        <v>13</v>
      </c>
      <c r="K10" s="11">
        <f>SUM(PRINCIPAL[TOTAL])</f>
        <v>2824.7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24.0</v>
      </c>
      <c r="E11" s="8">
        <v>46120.403418622685</v>
      </c>
      <c r="F11" s="2"/>
      <c r="G11" s="9" t="s">
        <v>15</v>
      </c>
      <c r="H11" s="10">
        <v>2400.0</v>
      </c>
      <c r="I11" s="2"/>
      <c r="J11" s="9" t="s">
        <v>16</v>
      </c>
      <c r="K11" s="10">
        <v>41.0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15.0</v>
      </c>
      <c r="C12" s="7" t="s">
        <v>17</v>
      </c>
      <c r="D12" s="6">
        <v>15.0</v>
      </c>
      <c r="E12" s="8">
        <v>46120.4159559375</v>
      </c>
      <c r="F12" s="2"/>
      <c r="G12" s="9" t="s">
        <v>18</v>
      </c>
      <c r="H12" s="12">
        <f>SUM(G24:H361)</f>
        <v>783.5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4.0</v>
      </c>
      <c r="C13" s="7" t="s">
        <v>17</v>
      </c>
      <c r="D13" s="6">
        <v>11.0</v>
      </c>
      <c r="E13" s="8">
        <v>46120.41599525463</v>
      </c>
      <c r="F13" s="2"/>
      <c r="G13" s="9" t="s">
        <v>19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20</v>
      </c>
      <c r="D14" s="6">
        <v>15.0</v>
      </c>
      <c r="E14" s="8">
        <v>46120.44192795139</v>
      </c>
      <c r="F14" s="2"/>
      <c r="G14" s="9" t="s">
        <v>21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22</v>
      </c>
      <c r="D15" s="6">
        <v>25.0</v>
      </c>
      <c r="E15" s="8">
        <v>46120.44944824074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23</v>
      </c>
      <c r="D16" s="6">
        <v>45.0</v>
      </c>
      <c r="E16" s="8">
        <v>46120.44952760417</v>
      </c>
      <c r="F16" s="2"/>
      <c r="G16" s="15" t="s">
        <v>24</v>
      </c>
      <c r="H16" s="16">
        <f>SUM(H9:H14)</f>
        <v>3441.5</v>
      </c>
      <c r="I16" s="3"/>
      <c r="J16" s="15" t="s">
        <v>25</v>
      </c>
      <c r="K16" s="16">
        <f>SUM(K9:K11)</f>
        <v>3450.7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26</v>
      </c>
      <c r="D17" s="6">
        <v>24.0</v>
      </c>
      <c r="E17" s="8">
        <v>46120.46144542824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27</v>
      </c>
      <c r="D18" s="6">
        <v>26.0</v>
      </c>
      <c r="E18" s="8">
        <v>46120.46154415509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9,20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28</v>
      </c>
      <c r="D19" s="6">
        <v>53.0</v>
      </c>
      <c r="E19" s="8">
        <v>46120.461788078705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86.0</v>
      </c>
      <c r="E20" s="8">
        <v>46120.46191621528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4.0</v>
      </c>
      <c r="C21" s="7" t="s">
        <v>30</v>
      </c>
      <c r="D21" s="6">
        <v>32.0</v>
      </c>
      <c r="E21" s="8">
        <v>46120.48089584491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3.0</v>
      </c>
      <c r="C22" s="7" t="s">
        <v>31</v>
      </c>
      <c r="D22" s="6">
        <v>45.0</v>
      </c>
      <c r="E22" s="8">
        <v>46120.4809790625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26.0</v>
      </c>
      <c r="E23" s="8">
        <v>46120.48128247685</v>
      </c>
      <c r="F23" s="2"/>
      <c r="G23" s="19" t="s">
        <v>33</v>
      </c>
      <c r="H23" s="19" t="s">
        <v>34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35</v>
      </c>
      <c r="D24" s="6">
        <v>54.0</v>
      </c>
      <c r="E24" s="8">
        <v>46120.481435486116</v>
      </c>
      <c r="F24" s="2"/>
      <c r="G24" s="20">
        <v>16.0</v>
      </c>
      <c r="H24" s="20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4.0</v>
      </c>
      <c r="C25" s="7" t="s">
        <v>36</v>
      </c>
      <c r="D25" s="6">
        <v>200.0</v>
      </c>
      <c r="E25" s="8">
        <v>46120.48788435185</v>
      </c>
      <c r="F25" s="2"/>
      <c r="G25" s="20">
        <v>89.0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37</v>
      </c>
      <c r="D26" s="6">
        <v>36.0</v>
      </c>
      <c r="E26" s="8">
        <v>46120.49434230324</v>
      </c>
      <c r="F26" s="2"/>
      <c r="G26" s="22">
        <v>15.0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 t="s">
        <v>38</v>
      </c>
      <c r="C27" s="7" t="s">
        <v>39</v>
      </c>
      <c r="D27" s="6">
        <v>50.0</v>
      </c>
      <c r="E27" s="8">
        <v>46120.51221583333</v>
      </c>
      <c r="F27" s="2"/>
      <c r="G27" s="20">
        <v>53.0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40</v>
      </c>
      <c r="C28" s="7" t="s">
        <v>41</v>
      </c>
      <c r="D28" s="6">
        <v>18.0</v>
      </c>
      <c r="E28" s="8">
        <v>46120.518538275464</v>
      </c>
      <c r="F28" s="2"/>
      <c r="G28" s="20">
        <v>173.0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27.0</v>
      </c>
      <c r="E29" s="8">
        <v>46120.528270254625</v>
      </c>
      <c r="F29" s="2"/>
      <c r="G29" s="20">
        <v>16.0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26.0</v>
      </c>
      <c r="E30" s="8">
        <v>46120.52837417824</v>
      </c>
      <c r="F30" s="2"/>
      <c r="G30" s="20">
        <v>30.0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44</v>
      </c>
      <c r="C31" s="7" t="s">
        <v>45</v>
      </c>
      <c r="D31" s="6">
        <v>120.0</v>
      </c>
      <c r="E31" s="8">
        <v>46120.52863722222</v>
      </c>
      <c r="F31" s="2"/>
      <c r="G31" s="20">
        <v>19.5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16.0</v>
      </c>
      <c r="E32" s="8">
        <v>46120.53244454861</v>
      </c>
      <c r="F32" s="2"/>
      <c r="G32" s="20">
        <v>230.0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3.0</v>
      </c>
      <c r="E33" s="8">
        <v>46120.53386440972</v>
      </c>
      <c r="F33" s="2"/>
      <c r="G33" s="20">
        <v>32.0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42.0</v>
      </c>
      <c r="E34" s="8">
        <v>46120.54197340278</v>
      </c>
      <c r="F34" s="2"/>
      <c r="G34" s="20">
        <v>66.0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23.0</v>
      </c>
      <c r="E35" s="8">
        <v>46120.55247040509</v>
      </c>
      <c r="F35" s="2"/>
      <c r="G35" s="20">
        <v>44.0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50</v>
      </c>
      <c r="D36" s="6">
        <v>48.0</v>
      </c>
      <c r="E36" s="8">
        <v>46120.55474554398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19.5</v>
      </c>
      <c r="E37" s="8">
        <v>46120.556605844904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12.0</v>
      </c>
      <c r="E38" s="8">
        <v>46120.59132516204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53</v>
      </c>
      <c r="D39" s="6">
        <v>650.0</v>
      </c>
      <c r="E39" s="8">
        <v>46120.60728081019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 t="s">
        <v>54</v>
      </c>
      <c r="C40" s="7" t="s">
        <v>55</v>
      </c>
      <c r="D40" s="6">
        <v>7.0</v>
      </c>
      <c r="E40" s="8">
        <v>46120.60756113426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 t="s">
        <v>38</v>
      </c>
      <c r="C41" s="7" t="s">
        <v>56</v>
      </c>
      <c r="D41" s="6">
        <v>36.0</v>
      </c>
      <c r="E41" s="8">
        <v>46120.60765741898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57</v>
      </c>
      <c r="D42" s="6">
        <v>5.0</v>
      </c>
      <c r="E42" s="8">
        <v>46120.607740694446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58</v>
      </c>
      <c r="D43" s="6">
        <v>11.0</v>
      </c>
      <c r="E43" s="8">
        <v>46120.60778738426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59</v>
      </c>
      <c r="D44" s="6">
        <v>10.0</v>
      </c>
      <c r="E44" s="8">
        <v>46120.61543586805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60</v>
      </c>
      <c r="D45" s="6">
        <v>10.0</v>
      </c>
      <c r="E45" s="8">
        <v>46120.62160909722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61</v>
      </c>
      <c r="D46" s="6">
        <v>25.0</v>
      </c>
      <c r="E46" s="8">
        <v>46120.62695278935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36</v>
      </c>
      <c r="D47" s="6">
        <v>50.0</v>
      </c>
      <c r="E47" s="8">
        <v>46120.62705408565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12.0</v>
      </c>
      <c r="C48" s="7" t="s">
        <v>62</v>
      </c>
      <c r="D48" s="6">
        <v>6.5</v>
      </c>
      <c r="E48" s="8">
        <v>46120.62715594907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32.0</v>
      </c>
      <c r="E49" s="8">
        <v>46120.640641192134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64</v>
      </c>
      <c r="D50" s="6">
        <v>16.0</v>
      </c>
      <c r="E50" s="8">
        <v>46120.64969175926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65</v>
      </c>
      <c r="C51" s="7" t="s">
        <v>66</v>
      </c>
      <c r="D51" s="6">
        <v>31.5</v>
      </c>
      <c r="E51" s="8">
        <v>46120.64989284722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67</v>
      </c>
      <c r="D52" s="6">
        <v>10.0</v>
      </c>
      <c r="E52" s="8">
        <v>46120.64997828704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52</v>
      </c>
      <c r="D53" s="6">
        <v>9.0</v>
      </c>
      <c r="E53" s="8">
        <v>46120.6500997338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36.0</v>
      </c>
      <c r="E54" s="8">
        <v>46120.65201503472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22.0</v>
      </c>
      <c r="E55" s="8">
        <v>46120.65211270833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70</v>
      </c>
      <c r="D56" s="6">
        <v>0.2</v>
      </c>
      <c r="E56" s="8">
        <v>46120.65216543982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71</v>
      </c>
      <c r="D57" s="6">
        <v>20.0</v>
      </c>
      <c r="E57" s="8">
        <v>46120.66051332176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9.0</v>
      </c>
      <c r="C58" s="7" t="s">
        <v>72</v>
      </c>
      <c r="D58" s="6">
        <v>18.0</v>
      </c>
      <c r="E58" s="8">
        <v>46120.674682916666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21.0</v>
      </c>
      <c r="E59" s="8">
        <v>46120.67663170139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230.0</v>
      </c>
      <c r="E60" s="8">
        <v>46120.6860140625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75</v>
      </c>
      <c r="D61" s="6">
        <v>135.0</v>
      </c>
      <c r="E61" s="8">
        <v>46120.69264844907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4.0</v>
      </c>
      <c r="C62" s="7" t="s">
        <v>76</v>
      </c>
      <c r="D62" s="6">
        <v>32.0</v>
      </c>
      <c r="E62" s="8">
        <v>46120.73486545139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77</v>
      </c>
      <c r="D63" s="6">
        <v>25.0</v>
      </c>
      <c r="E63" s="8">
        <v>46120.73779673611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78</v>
      </c>
      <c r="D64" s="6">
        <v>15.0</v>
      </c>
      <c r="E64" s="8">
        <v>46120.73793190972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79</v>
      </c>
      <c r="D65" s="6">
        <v>26.0</v>
      </c>
      <c r="E65" s="8">
        <v>46120.738144710645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80</v>
      </c>
      <c r="D66" s="6">
        <v>26.0</v>
      </c>
      <c r="E66" s="8">
        <v>46120.76675142361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4.0</v>
      </c>
      <c r="C67" s="7" t="s">
        <v>81</v>
      </c>
      <c r="D67" s="6">
        <v>20.0</v>
      </c>
      <c r="E67" s="8">
        <v>46120.767233935185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81</v>
      </c>
      <c r="D68" s="6">
        <v>24.0</v>
      </c>
      <c r="E68" s="8">
        <v>46120.76738171296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82</v>
      </c>
      <c r="D69" s="6">
        <v>19.0</v>
      </c>
      <c r="E69" s="8">
        <v>46120.77299456019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