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<sst xmlns="http://schemas.openxmlformats.org/spreadsheetml/2006/main" count="137" uniqueCount="132">
  <si>
    <t>HOJA DE CALCULO FERRETERIA</t>
  </si>
  <si>
    <t>CODIGO</t>
  </si>
  <si>
    <t>CANTIDAD</t>
  </si>
  <si>
    <t>DESCRIPCION</t>
  </si>
  <si>
    <t>TOTAL</t>
  </si>
  <si>
    <t>HORA</t>
  </si>
  <si>
    <t>CUADRAR</t>
  </si>
  <si>
    <t>juego de piedrits</t>
  </si>
  <si>
    <t>disco corte truper</t>
  </si>
  <si>
    <t>MONEDAS</t>
  </si>
  <si>
    <t>CAJA CHICA</t>
  </si>
  <si>
    <t>pico de loro uyustool</t>
  </si>
  <si>
    <t>BILLETES 10-20</t>
  </si>
  <si>
    <t>TOTAL VENTAS DIA</t>
  </si>
  <si>
    <t>rollo aluban 15x25m</t>
  </si>
  <si>
    <t>BILLETES 50-100-200</t>
  </si>
  <si>
    <t>AUMENTO DE DINERO</t>
  </si>
  <si>
    <t>bisagra rino</t>
  </si>
  <si>
    <t>INGRESOS YAPE</t>
  </si>
  <si>
    <t>silicona afki negro</t>
  </si>
  <si>
    <t>INGRESOS TARJETA</t>
  </si>
  <si>
    <t>thinner</t>
  </si>
  <si>
    <t>GASTOS VARIOS</t>
  </si>
  <si>
    <t>m soga perlos 10</t>
  </si>
  <si>
    <t>dado 14</t>
  </si>
  <si>
    <t>DINERO GANADO HOY:</t>
  </si>
  <si>
    <t>CANTIDAD DINERO CAJA:</t>
  </si>
  <si>
    <t>chapa lion</t>
  </si>
  <si>
    <t>ramplu 8</t>
  </si>
  <si>
    <t>flotador 3/4</t>
  </si>
  <si>
    <t>PILAS 2025</t>
  </si>
  <si>
    <t>reglera 25a 4entradas</t>
  </si>
  <si>
    <t>reglerta omega 4 entradas</t>
  </si>
  <si>
    <t>cubre cable 20x10</t>
  </si>
  <si>
    <t>YAPE MAMÁ</t>
  </si>
  <si>
    <t>YAPE PAPÁ</t>
  </si>
  <si>
    <t>YAPE</t>
  </si>
  <si>
    <t>cinta aislante</t>
  </si>
  <si>
    <t>Monto Total YAPE (No tocar):</t>
  </si>
  <si>
    <t>disco ceramica</t>
  </si>
  <si>
    <t>silicona negra</t>
  </si>
  <si>
    <t>Monto Total Registrado en aplicacion</t>
  </si>
  <si>
    <t>cinta antideslidante</t>
  </si>
  <si>
    <t>pistola de silica tr</t>
  </si>
  <si>
    <t>tubo desague</t>
  </si>
  <si>
    <t>doco 2 desague</t>
  </si>
  <si>
    <t>semicodo desague 2</t>
  </si>
  <si>
    <t>caja sifonada</t>
  </si>
  <si>
    <t>cinta embalaje</t>
  </si>
  <si>
    <t>nil de mano tolsen</t>
  </si>
  <si>
    <t>PAGOS YAPE</t>
  </si>
  <si>
    <t>DESCRIPCION PAGO</t>
  </si>
  <si>
    <t>perno m6 x 12</t>
  </si>
  <si>
    <t>martillo</t>
  </si>
  <si>
    <t>clavo 1</t>
  </si>
  <si>
    <t>aspersor uyus</t>
  </si>
  <si>
    <t>clavo 1 1/2</t>
  </si>
  <si>
    <t>picota artezanal</t>
  </si>
  <si>
    <t>juego de rieg 1/2</t>
  </si>
  <si>
    <t>pico tramon</t>
  </si>
  <si>
    <t>armellas l</t>
  </si>
  <si>
    <t>ramplu 6</t>
  </si>
  <si>
    <t>ramplu 5</t>
  </si>
  <si>
    <t>broca concreto 6</t>
  </si>
  <si>
    <t>broca cocnreto 5</t>
  </si>
  <si>
    <t>taladro total 710w</t>
  </si>
  <si>
    <t>escuadra tr</t>
  </si>
  <si>
    <t>silicon blanca</t>
  </si>
  <si>
    <t>bisagra reforzada 3</t>
  </si>
  <si>
    <t>pie de amigo jadever</t>
  </si>
  <si>
    <t>chip 6x50</t>
  </si>
  <si>
    <t>chapa hermex</t>
  </si>
  <si>
    <t>alicate de puta</t>
  </si>
  <si>
    <t>20m</t>
  </si>
  <si>
    <t>manguera 5/8</t>
  </si>
  <si>
    <t>termico 40x2</t>
  </si>
  <si>
    <t>chip 4 x 16</t>
  </si>
  <si>
    <t>chapa ana</t>
  </si>
  <si>
    <t>chapa tevax</t>
  </si>
  <si>
    <t>juego de ciples de riego</t>
  </si>
  <si>
    <t>pico de riego</t>
  </si>
  <si>
    <t>disco flap</t>
  </si>
  <si>
    <t>disc cepillo 4,5</t>
  </si>
  <si>
    <t>disco cepillo trenzado 4,5</t>
  </si>
  <si>
    <t>perlon 12</t>
  </si>
  <si>
    <t>guante asatex</t>
  </si>
  <si>
    <t>brocha 112</t>
  </si>
  <si>
    <t>chip 3.5x5</t>
  </si>
  <si>
    <t>beoca deb 2mm</t>
  </si>
  <si>
    <t>resistencia enerbras</t>
  </si>
  <si>
    <t>5doc</t>
  </si>
  <si>
    <t>remache 4*8</t>
  </si>
  <si>
    <t>rodillo 5cm</t>
  </si>
  <si>
    <t>codo 1/2</t>
  </si>
  <si>
    <t>tee 1/2</t>
  </si>
  <si>
    <t>union patente 1/2</t>
  </si>
  <si>
    <t>teflon</t>
  </si>
  <si>
    <t>tapon 2 desague</t>
  </si>
  <si>
    <t>tuvo desague 2</t>
  </si>
  <si>
    <t>aerosol rojo vivo</t>
  </si>
  <si>
    <t>aerosol blanco mate</t>
  </si>
  <si>
    <t>pane led 24w sobre cuadrado</t>
  </si>
  <si>
    <t>regleta omega 3</t>
  </si>
  <si>
    <t>placa epem doble interruptor</t>
  </si>
  <si>
    <t>clavija</t>
  </si>
  <si>
    <t>tapa i nodoro astra</t>
  </si>
  <si>
    <t>masqin 1</t>
  </si>
  <si>
    <t>m manta sintetetic</t>
  </si>
  <si>
    <t>brocha china</t>
  </si>
  <si>
    <t>dado tramoniat</t>
  </si>
  <si>
    <t xml:space="preserve">piston </t>
  </si>
  <si>
    <t>PISTOL sw pinrTAR</t>
  </si>
  <si>
    <t>TIRAFOND 1/4*31/2</t>
  </si>
  <si>
    <t>RAMPLUS 10</t>
  </si>
  <si>
    <t>CUELLO DE CERA</t>
  </si>
  <si>
    <t>SILCIONA AMRICA</t>
  </si>
  <si>
    <t>ARANDERA</t>
  </si>
  <si>
    <t xml:space="preserve">PLACA DOBLE MARICIO </t>
  </si>
  <si>
    <t>POXIPOL</t>
  </si>
  <si>
    <t>DISCO DE PULOIR</t>
  </si>
  <si>
    <t>SIERRA CALADORA</t>
  </si>
  <si>
    <t>SINTETICA L</t>
  </si>
  <si>
    <t xml:space="preserve">SIICOAN </t>
  </si>
  <si>
    <t>BROCA 2</t>
  </si>
  <si>
    <t>BRCHA 4</t>
  </si>
  <si>
    <t>LTHINNER</t>
  </si>
  <si>
    <t>COPLAS 1</t>
  </si>
  <si>
    <t>NIPLES 1</t>
  </si>
  <si>
    <t>GANCHOS</t>
  </si>
  <si>
    <t>TORNILLOS</t>
  </si>
  <si>
    <t>JUEGO DE CEPILLO</t>
  </si>
  <si>
    <t>ESPATULA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</si>
</sst>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40.0</v>
      </c>
      <c r="E8" s="8">
        <v>46296.364015810184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106.0</v>
      </c>
      <c r="E9" s="8">
        <v>46296.36782177084</v>
      </c>
      <c r="F9" s="2"/>
      <c r="G9" s="9" t="s">
        <v>9</v>
      </c>
      <c r="H9" s="10">
        <v>166.5</v>
      </c>
      <c r="I9" s="2"/>
      <c r="J9" s="9" t="s">
        <v>10</v>
      </c>
      <c r="K9" s="10">
        <v>1140.0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66.0</v>
      </c>
      <c r="E10" s="8">
        <v>46296.367896180556</v>
      </c>
      <c r="F10" s="2"/>
      <c r="G10" s="9" t="s">
        <v>12</v>
      </c>
      <c r="H10" s="10">
        <v>490.0</v>
      </c>
      <c r="I10" s="2"/>
      <c r="J10" s="9" t="s">
        <v>13</v>
      </c>
      <c r="K10" s="11">
        <f>SUM(PRINCIPAL[TOTAL])</f>
        <v>7262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465.0</v>
      </c>
      <c r="E11" s="8">
        <v>46296.37453223379</v>
      </c>
      <c r="F11" s="2"/>
      <c r="G11" s="9" t="s">
        <v>15</v>
      </c>
      <c r="H11" s="10">
        <v>4100.0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17</v>
      </c>
      <c r="D12" s="6">
        <v>42.0</v>
      </c>
      <c r="E12" s="8">
        <v>46296.38882706019</v>
      </c>
      <c r="F12" s="2"/>
      <c r="G12" s="9" t="s">
        <v>18</v>
      </c>
      <c r="H12" s="12">
        <f>SUM(G24:H361)</f>
        <v>3649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55.0</v>
      </c>
      <c r="E13" s="8">
        <v>46296.38914652778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39.0</v>
      </c>
      <c r="E14" s="8">
        <v>46296.38919233796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150.0</v>
      </c>
      <c r="C15" s="7" t="s">
        <v>23</v>
      </c>
      <c r="D15" s="6">
        <v>975.0</v>
      </c>
      <c r="E15" s="8">
        <v>46296.390613020834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15">
        <v>14.0</v>
      </c>
      <c r="E16" s="8">
        <v>46296.39427833333</v>
      </c>
      <c r="F16" s="2"/>
      <c r="G16" s="16" t="s">
        <v>25</v>
      </c>
      <c r="H16" s="17">
        <f>SUM(H9:H14)</f>
        <v>8405.5</v>
      </c>
      <c r="I16" s="3"/>
      <c r="J16" s="16" t="s">
        <v>26</v>
      </c>
      <c r="K16" s="17">
        <f>SUM(K9:K11)</f>
        <v>8402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11.0</v>
      </c>
      <c r="E17" s="8">
        <v>46296.39693050926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6.0</v>
      </c>
      <c r="C18" s="7" t="s">
        <v>28</v>
      </c>
      <c r="D18" s="6">
        <v>1.0</v>
      </c>
      <c r="E18" s="8">
        <v>46296.3982112963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138.0</v>
      </c>
      <c r="E19" s="8">
        <v>46296.40556359953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22.0</v>
      </c>
      <c r="E20" s="8">
        <v>46296.41266976851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80.0</v>
      </c>
      <c r="E21" s="8">
        <v>46296.4165875926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20.0</v>
      </c>
      <c r="E22" s="8">
        <v>46296.41672760417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16.0</v>
      </c>
      <c r="E23" s="8">
        <v>46296.41681484954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14.0</v>
      </c>
      <c r="E24" s="8">
        <v>46296.416965833334</v>
      </c>
      <c r="F24" s="2"/>
      <c r="G24" s="23">
        <v>465.0</v>
      </c>
      <c r="H24" s="24"/>
      <c r="I24" s="2"/>
      <c r="J24" s="25" t="s">
        <v>38</v>
      </c>
      <c r="K24" s="26">
        <f>SUM(INGRESOS_YAPE[])</f>
        <v>3649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28.0</v>
      </c>
      <c r="E25" s="8">
        <v>46296.42426832176</v>
      </c>
      <c r="F25" s="2"/>
      <c r="G25" s="23">
        <v>975.0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26.0</v>
      </c>
      <c r="E26" s="8">
        <v>46296.424135925925</v>
      </c>
      <c r="F26" s="2"/>
      <c r="G26" s="27">
        <v>14.0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68.0</v>
      </c>
      <c r="E27" s="8">
        <v>46296.42408344908</v>
      </c>
      <c r="F27" s="2"/>
      <c r="G27" s="23">
        <v>1.0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117.0</v>
      </c>
      <c r="E28" s="8">
        <v>46296.42648275463</v>
      </c>
      <c r="F28" s="2"/>
      <c r="G28" s="23">
        <v>138.0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50.0</v>
      </c>
      <c r="E29" s="8">
        <v>46296.42737523148</v>
      </c>
      <c r="F29" s="2"/>
      <c r="G29" s="23">
        <v>122.0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3649,00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5.0</v>
      </c>
      <c r="E30" s="8">
        <v>46296.42749378472</v>
      </c>
      <c r="F30" s="2"/>
      <c r="G30" s="23">
        <v>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3.0</v>
      </c>
      <c r="C31" s="7" t="s">
        <v>46</v>
      </c>
      <c r="D31" s="6">
        <v>12.0</v>
      </c>
      <c r="E31" s="8">
        <v>46296.42762472222</v>
      </c>
      <c r="F31" s="2"/>
      <c r="G31" s="23">
        <v>66.0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56.0</v>
      </c>
      <c r="E32" s="8">
        <v>46296.42771546297</v>
      </c>
      <c r="F32" s="2"/>
      <c r="G32" s="23">
        <v>90.0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5.0</v>
      </c>
      <c r="E33" s="8">
        <v>46296.42816268519</v>
      </c>
      <c r="F33" s="2"/>
      <c r="G33" s="23">
        <v>34.0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49</v>
      </c>
      <c r="D34" s="6">
        <v>66.0</v>
      </c>
      <c r="E34" s="8">
        <v>46296.43060237268</v>
      </c>
      <c r="F34" s="2"/>
      <c r="G34" s="23">
        <v>54.0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4.0</v>
      </c>
      <c r="C35" s="7" t="s">
        <v>52</v>
      </c>
      <c r="D35" s="6">
        <v>2.0</v>
      </c>
      <c r="E35" s="8">
        <v>46296.448402696755</v>
      </c>
      <c r="F35" s="2"/>
      <c r="G35" s="23">
        <v>252.0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103.0</v>
      </c>
      <c r="E36" s="8">
        <v>46296.465127557865</v>
      </c>
      <c r="F36" s="2"/>
      <c r="G36" s="23">
        <v>13.0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20.0</v>
      </c>
      <c r="E37" s="8">
        <v>46296.46556232639</v>
      </c>
      <c r="F37" s="2"/>
      <c r="G37" s="23">
        <v>80.0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49.0</v>
      </c>
      <c r="E38" s="8">
        <v>46296.46570862268</v>
      </c>
      <c r="F38" s="2"/>
      <c r="G38" s="23">
        <v>88.0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20.0</v>
      </c>
      <c r="E39" s="8">
        <v>46296.46565086806</v>
      </c>
      <c r="F39" s="2"/>
      <c r="G39" s="23">
        <v>41.0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38.0</v>
      </c>
      <c r="E40" s="8">
        <v>46296.46601684028</v>
      </c>
      <c r="F40" s="2"/>
      <c r="G40" s="23">
        <v>14.0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25.0</v>
      </c>
      <c r="E41" s="8">
        <v>46296.465956712964</v>
      </c>
      <c r="F41" s="2"/>
      <c r="G41" s="23">
        <v>250.0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7.0</v>
      </c>
      <c r="E42" s="8">
        <v>46296.46588574074</v>
      </c>
      <c r="F42" s="2"/>
      <c r="G42" s="23">
        <v>117.0</v>
      </c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24.0</v>
      </c>
      <c r="C43" s="7" t="s">
        <v>60</v>
      </c>
      <c r="D43" s="6">
        <v>12.0</v>
      </c>
      <c r="E43" s="8">
        <v>46296.466567870375</v>
      </c>
      <c r="F43" s="2"/>
      <c r="G43" s="23">
        <v>290.0</v>
      </c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24.0</v>
      </c>
      <c r="C44" s="7" t="s">
        <v>61</v>
      </c>
      <c r="D44" s="6">
        <v>3.5</v>
      </c>
      <c r="E44" s="8">
        <v>46296.466801689814</v>
      </c>
      <c r="F44" s="2"/>
      <c r="G44" s="23">
        <v>485.0</v>
      </c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24.0</v>
      </c>
      <c r="C45" s="7" t="s">
        <v>60</v>
      </c>
      <c r="D45" s="6">
        <v>9.5</v>
      </c>
      <c r="E45" s="8">
        <v>46296.46673792824</v>
      </c>
      <c r="F45" s="2"/>
      <c r="G45" s="23">
        <v>55.0</v>
      </c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24.0</v>
      </c>
      <c r="C46" s="7" t="s">
        <v>62</v>
      </c>
      <c r="D46" s="6">
        <v>2.0</v>
      </c>
      <c r="E46" s="8">
        <v>46296.46666585648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22.0</v>
      </c>
      <c r="E47" s="8">
        <v>46296.46714663194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21.0</v>
      </c>
      <c r="E48" s="8">
        <v>46296.46710894676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65</v>
      </c>
      <c r="D49" s="6">
        <v>290.0</v>
      </c>
      <c r="E49" s="8">
        <v>46296.467044282406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87.0</v>
      </c>
      <c r="E50" s="8">
        <v>46296.467200046296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34.0</v>
      </c>
      <c r="E51" s="8">
        <v>46296.4862059838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6.0</v>
      </c>
      <c r="C52" s="7" t="s">
        <v>68</v>
      </c>
      <c r="D52" s="6">
        <v>162.0</v>
      </c>
      <c r="E52" s="8">
        <v>46296.50235200231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69</v>
      </c>
      <c r="D53" s="6">
        <v>228.0</v>
      </c>
      <c r="E53" s="8">
        <v>46296.502453946756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24.0</v>
      </c>
      <c r="C54" s="7" t="s">
        <v>70</v>
      </c>
      <c r="D54" s="6">
        <v>12.0</v>
      </c>
      <c r="E54" s="8">
        <v>46296.50262773148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24.0</v>
      </c>
      <c r="C55" s="7" t="s">
        <v>28</v>
      </c>
      <c r="D55" s="6">
        <v>5.0</v>
      </c>
      <c r="E55" s="8">
        <v>46296.50252126157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599.0</v>
      </c>
      <c r="E56" s="8">
        <v>46296.502723784724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39.0</v>
      </c>
      <c r="E57" s="8">
        <v>46296.50533884259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73</v>
      </c>
      <c r="C58" s="7" t="s">
        <v>74</v>
      </c>
      <c r="D58" s="6">
        <v>200.0</v>
      </c>
      <c r="E58" s="8">
        <v>46296.51552072917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54.0</v>
      </c>
      <c r="E59" s="8">
        <v>46296.51806443287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4.0</v>
      </c>
      <c r="E60" s="8">
        <v>46296.51815856481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135.0</v>
      </c>
      <c r="E61" s="8">
        <v>46296.51820414352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195.0</v>
      </c>
      <c r="E62" s="8">
        <v>46296.518290949076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40.0</v>
      </c>
      <c r="E63" s="8">
        <v>46296.518397430555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12.0</v>
      </c>
      <c r="E64" s="8">
        <v>46296.51846929398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81</v>
      </c>
      <c r="D65" s="6">
        <v>28.0</v>
      </c>
      <c r="E65" s="8">
        <v>46296.52376462963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29.0</v>
      </c>
      <c r="E66" s="8">
        <v>46296.523852384256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33.0</v>
      </c>
      <c r="E67" s="8">
        <v>46296.52400297453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 t="s">
        <v>73</v>
      </c>
      <c r="C68" s="7" t="s">
        <v>84</v>
      </c>
      <c r="D68" s="6">
        <v>180.0</v>
      </c>
      <c r="E68" s="8">
        <v>46296.5283818287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85</v>
      </c>
      <c r="D69" s="6">
        <v>26.0</v>
      </c>
      <c r="E69" s="8">
        <v>46296.52834853009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6.0</v>
      </c>
      <c r="E70" s="8">
        <v>46296.52825318287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12.0</v>
      </c>
      <c r="C71" s="7" t="s">
        <v>87</v>
      </c>
      <c r="D71" s="6">
        <v>3.0</v>
      </c>
      <c r="E71" s="8">
        <v>46296.53352056713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16.0</v>
      </c>
      <c r="E72" s="8">
        <v>46296.54436568287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68.0</v>
      </c>
      <c r="E73" s="8">
        <v>46296.55695587963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90</v>
      </c>
      <c r="C74" s="7" t="s">
        <v>91</v>
      </c>
      <c r="D74" s="6">
        <v>10.0</v>
      </c>
      <c r="E74" s="8">
        <v>46296.572351932875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13.0</v>
      </c>
      <c r="E75" s="8">
        <v>46296.57685237269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3.0</v>
      </c>
      <c r="C76" s="7" t="s">
        <v>93</v>
      </c>
      <c r="D76" s="6">
        <v>12.0</v>
      </c>
      <c r="E76" s="8">
        <v>46296.632630057866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6.0</v>
      </c>
      <c r="E77" s="8">
        <v>46296.632568726855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9.5</v>
      </c>
      <c r="E78" s="8">
        <v>46296.63252122686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4.0</v>
      </c>
      <c r="C79" s="7" t="s">
        <v>96</v>
      </c>
      <c r="D79" s="6">
        <v>12.0</v>
      </c>
      <c r="E79" s="8">
        <v>46296.63269208334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2.0</v>
      </c>
      <c r="E80" s="8">
        <v>46296.63279638889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43.0</v>
      </c>
      <c r="E81" s="8">
        <v>46296.63285851852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3.0</v>
      </c>
      <c r="C82" s="7" t="s">
        <v>99</v>
      </c>
      <c r="D82" s="6">
        <v>60.0</v>
      </c>
      <c r="E82" s="8">
        <v>46296.67284424769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20.0</v>
      </c>
      <c r="E83" s="8">
        <v>46296.672978703704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88.0</v>
      </c>
      <c r="E84" s="8">
        <v>46296.67912892361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16.0</v>
      </c>
      <c r="E85" s="8">
        <v>46296.68756641204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19.0</v>
      </c>
      <c r="E86" s="8">
        <v>46296.687766284726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6.0</v>
      </c>
      <c r="E87" s="8">
        <v>46296.687837743055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105</v>
      </c>
      <c r="D88" s="6">
        <v>75.0</v>
      </c>
      <c r="E88" s="8">
        <v>46296.68923866898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3.0</v>
      </c>
      <c r="C89" s="7" t="s">
        <v>33</v>
      </c>
      <c r="D89" s="6">
        <v>27.0</v>
      </c>
      <c r="E89" s="8">
        <v>46296.707056458334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106</v>
      </c>
      <c r="D90" s="6">
        <v>16.5</v>
      </c>
      <c r="E90" s="8">
        <v>46296.71576450231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107</v>
      </c>
      <c r="D91" s="6">
        <v>5.0</v>
      </c>
      <c r="E91" s="8">
        <v>46296.72942854167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9.0</v>
      </c>
      <c r="E92" s="8">
        <v>46296.729504965275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109</v>
      </c>
      <c r="D93" s="6">
        <v>25.0</v>
      </c>
      <c r="E93" s="8">
        <v>46296.74288318287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110</v>
      </c>
      <c r="D94" s="6">
        <v>60.0</v>
      </c>
      <c r="E94" s="8">
        <v>46296.76159171296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111</v>
      </c>
      <c r="D95" s="6">
        <v>290.0</v>
      </c>
      <c r="E95" s="8">
        <v>46296.76377454861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26.0</v>
      </c>
      <c r="C96" s="7" t="s">
        <v>112</v>
      </c>
      <c r="D96" s="6">
        <v>26.0</v>
      </c>
      <c r="E96" s="8">
        <v>46296.769758483795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26.0</v>
      </c>
      <c r="C97" s="7" t="s">
        <v>113</v>
      </c>
      <c r="D97" s="6">
        <v>9.0</v>
      </c>
      <c r="E97" s="8">
        <v>46296.77106384259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13.0</v>
      </c>
      <c r="C98" s="7" t="s">
        <v>114</v>
      </c>
      <c r="D98" s="6">
        <v>364.0</v>
      </c>
      <c r="E98" s="8">
        <v>46296.771120694444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3.0</v>
      </c>
      <c r="C99" s="7" t="s">
        <v>115</v>
      </c>
      <c r="D99" s="6">
        <v>78.0</v>
      </c>
      <c r="E99" s="8">
        <v>46296.771194699075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24.0</v>
      </c>
      <c r="C100" s="7" t="s">
        <v>116</v>
      </c>
      <c r="D100" s="6">
        <v>8.0</v>
      </c>
      <c r="E100" s="8">
        <v>46296.77182309028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117</v>
      </c>
      <c r="D101" s="6">
        <v>35.5</v>
      </c>
      <c r="E101" s="8">
        <v>46296.77340342593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118</v>
      </c>
      <c r="D102" s="6">
        <v>38.0</v>
      </c>
      <c r="E102" s="8">
        <v>46296.773629710646</v>
      </c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119</v>
      </c>
      <c r="D103" s="6">
        <v>47.0</v>
      </c>
      <c r="E103" s="8">
        <v>46296.773813437496</v>
      </c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120</v>
      </c>
      <c r="D104" s="6">
        <v>63.0</v>
      </c>
      <c r="E104" s="8">
        <v>46296.774064074074</v>
      </c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2.0</v>
      </c>
      <c r="C105" s="7" t="s">
        <v>121</v>
      </c>
      <c r="D105" s="6">
        <v>122.0</v>
      </c>
      <c r="E105" s="8">
        <v>46296.77467755787</v>
      </c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122</v>
      </c>
      <c r="D106" s="6">
        <v>27.0</v>
      </c>
      <c r="E106" s="8">
        <v>46296.77488877314</v>
      </c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123</v>
      </c>
      <c r="D107" s="6">
        <v>12.0</v>
      </c>
      <c r="E107" s="8">
        <v>46296.77502233796</v>
      </c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124</v>
      </c>
      <c r="D108" s="6">
        <v>27.0</v>
      </c>
      <c r="E108" s="8">
        <v>46296.77507440972</v>
      </c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2.0</v>
      </c>
      <c r="C109" s="7" t="s">
        <v>125</v>
      </c>
      <c r="D109" s="6">
        <v>62.0</v>
      </c>
      <c r="E109" s="8">
        <v>46296.77533991898</v>
      </c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2.0</v>
      </c>
      <c r="C110" s="7" t="s">
        <v>126</v>
      </c>
      <c r="D110" s="6">
        <v>16.0</v>
      </c>
      <c r="E110" s="8">
        <v>46296.77625905092</v>
      </c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2.0</v>
      </c>
      <c r="C111" s="7" t="s">
        <v>127</v>
      </c>
      <c r="D111" s="6">
        <v>12.0</v>
      </c>
      <c r="E111" s="8">
        <v>46296.77630895833</v>
      </c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2.0</v>
      </c>
      <c r="C112" s="7" t="s">
        <v>128</v>
      </c>
      <c r="D112" s="6">
        <v>48.0</v>
      </c>
      <c r="E112" s="8">
        <v>46296.77892575231</v>
      </c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2.0</v>
      </c>
      <c r="C113" s="7" t="s">
        <v>128</v>
      </c>
      <c r="D113" s="6">
        <v>30.0</v>
      </c>
      <c r="E113" s="8">
        <v>46296.778965081015</v>
      </c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129</v>
      </c>
      <c r="D114" s="6">
        <v>2.5</v>
      </c>
      <c r="E114" s="8">
        <v>46296.77952822916</v>
      </c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3.0</v>
      </c>
      <c r="C115" s="7" t="s">
        <v>130</v>
      </c>
      <c r="D115" s="6">
        <v>39.0</v>
      </c>
      <c r="E115" s="8">
        <v>46296.78185986111</v>
      </c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131</v>
      </c>
      <c r="D116" s="6">
        <v>16.0</v>
      </c>
      <c r="E116" s="8">
        <v>46296.781890115744</v>
      </c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