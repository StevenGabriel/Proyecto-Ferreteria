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<sst xmlns="http://schemas.openxmlformats.org/spreadsheetml/2006/main" count="153" uniqueCount="146">
  <si>
    <t>HOJA DE CALCULO FERRETERIA</t>
  </si>
  <si>
    <t>CODIGO</t>
  </si>
  <si>
    <t>CANTIDAD</t>
  </si>
  <si>
    <t>DESCRIPCION</t>
  </si>
  <si>
    <t>TOTAL</t>
  </si>
  <si>
    <t>HORA</t>
  </si>
  <si>
    <t>CUADRAR</t>
  </si>
  <si>
    <t>silcioan america blanco</t>
  </si>
  <si>
    <t>abrazadera</t>
  </si>
  <si>
    <t>MONEDAS</t>
  </si>
  <si>
    <t>CAJA CHICA</t>
  </si>
  <si>
    <t>llave pipa 8</t>
  </si>
  <si>
    <t>BILLETES 10-20</t>
  </si>
  <si>
    <t>TOTAL VENTAS DIA</t>
  </si>
  <si>
    <t>punzon  truper</t>
  </si>
  <si>
    <t>BILLETES 50-100-200</t>
  </si>
  <si>
    <t>AUMENTO DE DINERO</t>
  </si>
  <si>
    <t>estractor de tornillo rtuper</t>
  </si>
  <si>
    <t>INGRESOS YAPE</t>
  </si>
  <si>
    <t>broca debor 3</t>
  </si>
  <si>
    <t>INGRESOS TARJETA</t>
  </si>
  <si>
    <t>broca debor 2,5</t>
  </si>
  <si>
    <t>GASTOS VARIOS</t>
  </si>
  <si>
    <t>bateria palaca</t>
  </si>
  <si>
    <t>codo pvc 1/2</t>
  </si>
  <si>
    <t>DINERO GANADO HOY:</t>
  </si>
  <si>
    <t>CANTIDAD DINERO CAJA:</t>
  </si>
  <si>
    <t>chichara uyustol</t>
  </si>
  <si>
    <t>dado uyustol</t>
  </si>
  <si>
    <t>tiafkon dy ramplus</t>
  </si>
  <si>
    <t>cautin km</t>
  </si>
  <si>
    <t>lija agua</t>
  </si>
  <si>
    <t>escusdea de angulos</t>
  </si>
  <si>
    <t>cañeria tire 1</t>
  </si>
  <si>
    <t>YAPE MAMÁ</t>
  </si>
  <si>
    <t>YAPE PAPÁ</t>
  </si>
  <si>
    <t>tarraja 1</t>
  </si>
  <si>
    <t>niple tigre</t>
  </si>
  <si>
    <t xml:space="preserve">clavija </t>
  </si>
  <si>
    <t>placa tipler tramontia</t>
  </si>
  <si>
    <t>modulo ramonat</t>
  </si>
  <si>
    <t>silicon amer</t>
  </si>
  <si>
    <t>codo tigre 1/2</t>
  </si>
  <si>
    <t>trflon</t>
  </si>
  <si>
    <t>carpicola</t>
  </si>
  <si>
    <t>chicotillo astra</t>
  </si>
  <si>
    <t>candodo hermex</t>
  </si>
  <si>
    <t>alubanda 10</t>
  </si>
  <si>
    <t xml:space="preserve">autoperfonate </t>
  </si>
  <si>
    <t>broca 6 mm fe</t>
  </si>
  <si>
    <t>1/</t>
  </si>
  <si>
    <t>cubre cable 10*20</t>
  </si>
  <si>
    <t>placa doble  toma</t>
  </si>
  <si>
    <t>caja mec</t>
  </si>
  <si>
    <t>llave de paso</t>
  </si>
  <si>
    <t>teflon</t>
  </si>
  <si>
    <t>disco bonete 4 uysutools</t>
  </si>
  <si>
    <t>alambre lynus 0.8</t>
  </si>
  <si>
    <t>guante</t>
  </si>
  <si>
    <t>cautin 100w</t>
  </si>
  <si>
    <t>cinta aisante tr</t>
  </si>
  <si>
    <t>presostato</t>
  </si>
  <si>
    <t>flexo 10m</t>
  </si>
  <si>
    <t>alicate precio</t>
  </si>
  <si>
    <t>m lija 120</t>
  </si>
  <si>
    <t>candado</t>
  </si>
  <si>
    <t>cinta tela</t>
  </si>
  <si>
    <t>pie de amigo</t>
  </si>
  <si>
    <t>m perlon 5mm</t>
  </si>
  <si>
    <t>chicotillo 40cm</t>
  </si>
  <si>
    <t>gotitla glu</t>
  </si>
  <si>
    <t>copla cpvc</t>
  </si>
  <si>
    <t>mini cerrucho tr</t>
  </si>
  <si>
    <t>hilo pescador 0.8</t>
  </si>
  <si>
    <t xml:space="preserve">cable contoma </t>
  </si>
  <si>
    <t>guaunte ferra</t>
  </si>
  <si>
    <t>guante lana</t>
  </si>
  <si>
    <t>cinta embalaje</t>
  </si>
  <si>
    <t>pu negro</t>
  </si>
  <si>
    <t>manguera salida 2m lavado</t>
  </si>
  <si>
    <t>ramplu 8</t>
  </si>
  <si>
    <t>broca concreto tr</t>
  </si>
  <si>
    <t>rodapie 2</t>
  </si>
  <si>
    <t>codo desague 2</t>
  </si>
  <si>
    <t>disco madera 4</t>
  </si>
  <si>
    <t>modulo toma cafe</t>
  </si>
  <si>
    <t>placa simple cafe</t>
  </si>
  <si>
    <t>placa triple cafe</t>
  </si>
  <si>
    <t>nmoduli inter cafe</t>
  </si>
  <si>
    <t>lente tr</t>
  </si>
  <si>
    <t>barniz copla 100ml</t>
  </si>
  <si>
    <t>sierra nichelson</t>
  </si>
  <si>
    <t>copla 1 pvc</t>
  </si>
  <si>
    <t>LLAVE COMBINADA 30</t>
  </si>
  <si>
    <t>LLAVE CRECEN 12</t>
  </si>
  <si>
    <t>broca paleta</t>
  </si>
  <si>
    <t>foco tramontian 15w</t>
  </si>
  <si>
    <t xml:space="preserve">PRENSA TOLSEN </t>
  </si>
  <si>
    <t xml:space="preserve">PRENSAS TOLSEN </t>
  </si>
  <si>
    <t>DISCO LIJA 4</t>
  </si>
  <si>
    <t>SILICON AMERICNA  YTANS</t>
  </si>
  <si>
    <t>CLAVO 45MM</t>
  </si>
  <si>
    <t>GRAMPA 35MM</t>
  </si>
  <si>
    <t>ADAPTDOR 1 PVC</t>
  </si>
  <si>
    <t>ESPIGA</t>
  </si>
  <si>
    <t>MANGUERA 1/2</t>
  </si>
  <si>
    <t>ABRAZADERA REDONDA</t>
  </si>
  <si>
    <t>SILICONA TRNAS</t>
  </si>
  <si>
    <t>TIJERA TRAMON</t>
  </si>
  <si>
    <t>M MANGURA TRAMKONTAI 3/4</t>
  </si>
  <si>
    <t>ABRAZADEA</t>
  </si>
  <si>
    <t>ESPACIDOR 2 MM</t>
  </si>
  <si>
    <t>TAPA DE INODORO PLSTICA</t>
  </si>
  <si>
    <t>ESQUINERO PRENSA</t>
  </si>
  <si>
    <t>CAJA CHIP 3,5*35</t>
  </si>
  <si>
    <t>CANDODO HERMEX</t>
  </si>
  <si>
    <t>CANDADO HERMEX</t>
  </si>
  <si>
    <t>AKFIX 705</t>
  </si>
  <si>
    <t>DISCO FLPAR</t>
  </si>
  <si>
    <t>CANDADO</t>
  </si>
  <si>
    <t>ABRAZADERA 3/4</t>
  </si>
  <si>
    <t>ABRAZADERA</t>
  </si>
  <si>
    <t>RUTER DONG CHENG</t>
  </si>
  <si>
    <t>LLAVE BOCA 17</t>
  </si>
  <si>
    <t>CLEFA</t>
  </si>
  <si>
    <t>ALARGADOR 5M</t>
  </si>
  <si>
    <t>CINTA DOBLE CONTACTO</t>
  </si>
  <si>
    <t>DISCO REMOVEDOR PINT</t>
  </si>
  <si>
    <t>GOMITAS</t>
  </si>
  <si>
    <t>PLA SIMPLE OMA</t>
  </si>
  <si>
    <t>PERNO ASTRA</t>
  </si>
  <si>
    <t>DESARMADOR TRUOER</t>
  </si>
  <si>
    <t xml:space="preserve">prenza toslen </t>
  </si>
  <si>
    <t>brocha atlas 21/2</t>
  </si>
  <si>
    <t>brocha atlas pluma 3</t>
  </si>
  <si>
    <t>soplete</t>
  </si>
  <si>
    <t>caja truper</t>
  </si>
  <si>
    <t>automatico total</t>
  </si>
  <si>
    <t>llape pipa</t>
  </si>
  <si>
    <t>cando hermex</t>
  </si>
  <si>
    <t>sifon corrugado astra</t>
  </si>
  <si>
    <t>chapa everleo</t>
  </si>
  <si>
    <t>brocha roja 3</t>
  </si>
  <si>
    <t>dec902</t>
  </si>
  <si>
    <t>llaves toek</t>
  </si>
  <si>
    <t>alrcate 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</si>
</sst>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4.0</v>
      </c>
      <c r="C8" s="7" t="s">
        <v>7</v>
      </c>
      <c r="D8" s="6">
        <v>108.0</v>
      </c>
      <c r="E8" s="8">
        <v>46061.3930871412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10.0</v>
      </c>
      <c r="E9" s="8">
        <v>46061.39518232639</v>
      </c>
      <c r="F9" s="2"/>
      <c r="G9" s="9" t="s">
        <v>9</v>
      </c>
      <c r="H9" s="10">
        <v>144.0</v>
      </c>
      <c r="I9" s="2"/>
      <c r="J9" s="9" t="s">
        <v>10</v>
      </c>
      <c r="K9" s="10">
        <v>527.0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48.0</v>
      </c>
      <c r="E10" s="8">
        <v>46061.39937366898</v>
      </c>
      <c r="F10" s="2"/>
      <c r="G10" s="9" t="s">
        <v>12</v>
      </c>
      <c r="H10" s="10">
        <v>400.0</v>
      </c>
      <c r="I10" s="2"/>
      <c r="J10" s="9" t="s">
        <v>13</v>
      </c>
      <c r="K10" s="11">
        <f>SUM(PRINCIPAL[TOTAL])</f>
        <v>6085.5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15.0</v>
      </c>
      <c r="E11" s="8">
        <v>46061.399466689814</v>
      </c>
      <c r="F11" s="2"/>
      <c r="G11" s="9" t="s">
        <v>15</v>
      </c>
      <c r="H11" s="10">
        <v>3950.0</v>
      </c>
      <c r="I11" s="2"/>
      <c r="J11" s="9" t="s">
        <v>16</v>
      </c>
      <c r="K11" s="10">
        <v>341.0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57.0</v>
      </c>
      <c r="E12" s="8">
        <v>46061.399554062504</v>
      </c>
      <c r="F12" s="2"/>
      <c r="G12" s="9" t="s">
        <v>18</v>
      </c>
      <c r="H12" s="12">
        <f>SUM(G24:H361)</f>
        <v>2198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10.0</v>
      </c>
      <c r="E13" s="8">
        <v>46061.410014085646</v>
      </c>
      <c r="F13" s="2"/>
      <c r="G13" s="9" t="s">
        <v>20</v>
      </c>
      <c r="H13" s="10">
        <v>261.0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10.0</v>
      </c>
      <c r="E14" s="8">
        <v>46061.41016939815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125.0</v>
      </c>
      <c r="E15" s="8">
        <v>46061.42300724537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24</v>
      </c>
      <c r="D16" s="6">
        <v>16.0</v>
      </c>
      <c r="E16" s="8">
        <v>46061.42345421296</v>
      </c>
      <c r="F16" s="2"/>
      <c r="G16" s="15" t="s">
        <v>25</v>
      </c>
      <c r="H16" s="16">
        <f>SUM(H9:H14)</f>
        <v>6953</v>
      </c>
      <c r="I16" s="3"/>
      <c r="J16" s="15" t="s">
        <v>26</v>
      </c>
      <c r="K16" s="16">
        <f>SUM(K9:K11)</f>
        <v>6953.5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58.0</v>
      </c>
      <c r="E17" s="8">
        <v>46061.428668333334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12.0</v>
      </c>
      <c r="E18" s="8">
        <v>46061.428864409725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12.0</v>
      </c>
      <c r="C19" s="7" t="s">
        <v>29</v>
      </c>
      <c r="D19" s="6">
        <v>9.0</v>
      </c>
      <c r="E19" s="8">
        <v>46061.42911134259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40.0</v>
      </c>
      <c r="E20" s="8">
        <v>46061.440435682875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5.0</v>
      </c>
      <c r="E21" s="8">
        <v>46061.44058142361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30.0</v>
      </c>
      <c r="E22" s="8">
        <v>46061.44092206018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20.0</v>
      </c>
      <c r="E23" s="8">
        <v>46061.44931127314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128.0</v>
      </c>
      <c r="E24" s="8">
        <v>46061.44938185185</v>
      </c>
      <c r="F24" s="2"/>
      <c r="G24" s="20">
        <v>108.0</v>
      </c>
      <c r="H24" s="20">
        <v>87.0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5.0</v>
      </c>
      <c r="E25" s="8">
        <v>46061.4495596412</v>
      </c>
      <c r="F25" s="2"/>
      <c r="G25" s="20">
        <v>120.0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40.0</v>
      </c>
      <c r="E26" s="8">
        <v>46061.44996024306</v>
      </c>
      <c r="F26" s="2"/>
      <c r="G26" s="22">
        <v>21.0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58.0</v>
      </c>
      <c r="E27" s="8">
        <v>46061.45005241898</v>
      </c>
      <c r="F27" s="2"/>
      <c r="G27" s="20">
        <v>125.0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11.0</v>
      </c>
      <c r="E28" s="8">
        <v>46061.450510821756</v>
      </c>
      <c r="F28" s="2"/>
      <c r="G28" s="20">
        <v>79.0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41</v>
      </c>
      <c r="D29" s="6">
        <v>52.0</v>
      </c>
      <c r="E29" s="8">
        <v>46061.46273274306</v>
      </c>
      <c r="F29" s="2"/>
      <c r="G29" s="20">
        <v>75.0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42</v>
      </c>
      <c r="D30" s="6">
        <v>9.0</v>
      </c>
      <c r="E30" s="8">
        <v>46061.497690625</v>
      </c>
      <c r="F30" s="2"/>
      <c r="G30" s="20">
        <v>109.0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43</v>
      </c>
      <c r="D31" s="6">
        <v>6.0</v>
      </c>
      <c r="E31" s="8">
        <v>46061.49781327546</v>
      </c>
      <c r="F31" s="2"/>
      <c r="G31" s="20">
        <v>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8.0</v>
      </c>
      <c r="E32" s="8">
        <v>46061.51847643519</v>
      </c>
      <c r="F32" s="2"/>
      <c r="G32" s="20">
        <v>50.0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20.0</v>
      </c>
      <c r="E33" s="8">
        <v>46061.54317287037</v>
      </c>
      <c r="F33" s="2"/>
      <c r="G33" s="20">
        <v>20.0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50.0</v>
      </c>
      <c r="E34" s="8">
        <v>46061.54477954861</v>
      </c>
      <c r="F34" s="2"/>
      <c r="G34" s="20">
        <v>130.0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0.5</v>
      </c>
      <c r="C35" s="7" t="s">
        <v>47</v>
      </c>
      <c r="D35" s="6">
        <v>6.5</v>
      </c>
      <c r="E35" s="8">
        <v>46061.54491008102</v>
      </c>
      <c r="F35" s="2"/>
      <c r="G35" s="20">
        <v>18.0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48</v>
      </c>
      <c r="D36" s="6">
        <v>9.0</v>
      </c>
      <c r="E36" s="8">
        <v>46061.54647630787</v>
      </c>
      <c r="F36" s="2"/>
      <c r="G36" s="20">
        <v>66.0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 t="s">
        <v>50</v>
      </c>
      <c r="E37" s="8">
        <v>46061.54661826389</v>
      </c>
      <c r="F37" s="2"/>
      <c r="G37" s="20">
        <v>45.0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45</v>
      </c>
      <c r="D38" s="6">
        <v>20.0</v>
      </c>
      <c r="E38" s="8">
        <v>46061.54679659722</v>
      </c>
      <c r="F38" s="2"/>
      <c r="G38" s="20">
        <v>85.0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3.0</v>
      </c>
      <c r="C39" s="7" t="s">
        <v>51</v>
      </c>
      <c r="D39" s="6">
        <v>30.0</v>
      </c>
      <c r="E39" s="8">
        <v>46061.548424699075</v>
      </c>
      <c r="F39" s="2"/>
      <c r="G39" s="20">
        <v>53.0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36.5</v>
      </c>
      <c r="E40" s="8">
        <v>46061.54874033565</v>
      </c>
      <c r="F40" s="2"/>
      <c r="G40" s="20">
        <v>15.0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27.0</v>
      </c>
      <c r="E41" s="8">
        <v>46061.548821296296</v>
      </c>
      <c r="F41" s="2"/>
      <c r="G41" s="20">
        <v>9.0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62.0</v>
      </c>
      <c r="E42" s="8">
        <v>46061.55215746528</v>
      </c>
      <c r="F42" s="2"/>
      <c r="G42" s="20">
        <v>31.0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3.0</v>
      </c>
      <c r="E43" s="8">
        <v>46061.5522621412</v>
      </c>
      <c r="F43" s="2"/>
      <c r="G43" s="20">
        <v>107.0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27.0</v>
      </c>
      <c r="E44" s="8">
        <v>46061.552470925926</v>
      </c>
      <c r="F44" s="2"/>
      <c r="G44" s="20">
        <v>39.0</v>
      </c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135.0</v>
      </c>
      <c r="E45" s="8">
        <v>46062.34992523148</v>
      </c>
      <c r="F45" s="2"/>
      <c r="G45" s="20">
        <v>248.0</v>
      </c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18.0</v>
      </c>
      <c r="E46" s="8">
        <v>46062.35269101852</v>
      </c>
      <c r="F46" s="2"/>
      <c r="G46" s="20">
        <v>53.0</v>
      </c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53.0</v>
      </c>
      <c r="E47" s="8">
        <v>46062.35657636574</v>
      </c>
      <c r="F47" s="2"/>
      <c r="G47" s="20">
        <v>335.0</v>
      </c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13.0</v>
      </c>
      <c r="E48" s="8">
        <v>46062.35666760417</v>
      </c>
      <c r="F48" s="2"/>
      <c r="G48" s="20">
        <v>104.0</v>
      </c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72.0</v>
      </c>
      <c r="E49" s="8">
        <v>46062.378641284726</v>
      </c>
      <c r="F49" s="2"/>
      <c r="G49" s="20">
        <v>28.0</v>
      </c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87.0</v>
      </c>
      <c r="E50" s="8">
        <v>46062.38743740741</v>
      </c>
      <c r="F50" s="2"/>
      <c r="G50" s="20">
        <v>30.0</v>
      </c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6">
        <v>10093.0</v>
      </c>
      <c r="B51" s="6">
        <v>1.0</v>
      </c>
      <c r="C51" s="7" t="s">
        <v>63</v>
      </c>
      <c r="D51" s="6">
        <v>45.0</v>
      </c>
      <c r="E51" s="8">
        <v>46062.40500278935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0.5</v>
      </c>
      <c r="C52" s="7" t="s">
        <v>64</v>
      </c>
      <c r="D52" s="6">
        <v>7.0</v>
      </c>
      <c r="E52" s="8">
        <v>46062.42474855324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85.0</v>
      </c>
      <c r="E53" s="8">
        <v>46062.42790674769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18.0</v>
      </c>
      <c r="E54" s="8">
        <v>46062.43043043981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7.0</v>
      </c>
      <c r="E55" s="8">
        <v>46062.42999929398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7.0</v>
      </c>
      <c r="C56" s="7" t="s">
        <v>68</v>
      </c>
      <c r="D56" s="6">
        <v>21.0</v>
      </c>
      <c r="E56" s="8">
        <v>46062.43025628472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17.0</v>
      </c>
      <c r="E57" s="8">
        <v>46062.43564174768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70</v>
      </c>
      <c r="D58" s="6">
        <v>6.0</v>
      </c>
      <c r="E58" s="8">
        <v>46062.440063726855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71</v>
      </c>
      <c r="D59" s="6">
        <v>6.0</v>
      </c>
      <c r="E59" s="8">
        <v>46062.44021853009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53.0</v>
      </c>
      <c r="E60" s="8">
        <v>46062.44105734954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28.0</v>
      </c>
      <c r="E61" s="8">
        <v>46062.441179305555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15.0</v>
      </c>
      <c r="E62" s="8">
        <v>46062.44467773148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10.0</v>
      </c>
      <c r="E63" s="8">
        <v>46062.4555921875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76</v>
      </c>
      <c r="D64" s="6">
        <v>52.0</v>
      </c>
      <c r="E64" s="8">
        <v>46062.45484741898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35.0</v>
      </c>
      <c r="E65" s="8">
        <v>46062.45500545139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63.0</v>
      </c>
      <c r="E66" s="8">
        <v>46062.455052453704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85.0</v>
      </c>
      <c r="E67" s="8">
        <v>46062.475885277774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12.0</v>
      </c>
      <c r="C68" s="7" t="s">
        <v>80</v>
      </c>
      <c r="D68" s="6">
        <v>3.0</v>
      </c>
      <c r="E68" s="8">
        <v>46062.47645236111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18.0</v>
      </c>
      <c r="E69" s="8">
        <v>46062.47663457176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10.0</v>
      </c>
      <c r="E70" s="8">
        <v>46062.481162372686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83</v>
      </c>
      <c r="D71" s="6">
        <v>9.0</v>
      </c>
      <c r="E71" s="8">
        <v>46062.493284421296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84</v>
      </c>
      <c r="D72" s="6">
        <v>31.0</v>
      </c>
      <c r="E72" s="8">
        <v>46062.49597777778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85</v>
      </c>
      <c r="D73" s="6">
        <v>44.0</v>
      </c>
      <c r="E73" s="8">
        <v>46062.49802575231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86</v>
      </c>
      <c r="D74" s="6">
        <v>35.0</v>
      </c>
      <c r="E74" s="8">
        <v>46062.50508155093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87</v>
      </c>
      <c r="D75" s="6">
        <v>17.0</v>
      </c>
      <c r="E75" s="8">
        <v>46062.5052647338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88</v>
      </c>
      <c r="D76" s="6">
        <v>11.0</v>
      </c>
      <c r="E76" s="8">
        <v>46062.505369861115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4.0</v>
      </c>
      <c r="C77" s="7" t="s">
        <v>82</v>
      </c>
      <c r="D77" s="6">
        <v>40.0</v>
      </c>
      <c r="E77" s="8">
        <v>46062.5056703125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19.0</v>
      </c>
      <c r="E78" s="8">
        <v>46062.50575201389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10.0</v>
      </c>
      <c r="E79" s="8">
        <v>46062.52405230324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91</v>
      </c>
      <c r="D80" s="6">
        <v>15.0</v>
      </c>
      <c r="E80" s="8">
        <v>46062.525814988425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92</v>
      </c>
      <c r="D81" s="6">
        <v>7.0</v>
      </c>
      <c r="E81" s="8">
        <v>46062.5258912037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81</v>
      </c>
      <c r="D82" s="6">
        <v>23.0</v>
      </c>
      <c r="E82" s="8">
        <v>46062.54434440972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93</v>
      </c>
      <c r="D83" s="6">
        <v>78.0</v>
      </c>
      <c r="E83" s="8">
        <v>46062.54446122685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94</v>
      </c>
      <c r="D84" s="6">
        <v>68.0</v>
      </c>
      <c r="E84" s="8">
        <v>46062.54456313657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95</v>
      </c>
      <c r="D85" s="6">
        <v>23.0</v>
      </c>
      <c r="E85" s="8">
        <v>46062.55633390046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96</v>
      </c>
      <c r="D86" s="6">
        <v>39.0</v>
      </c>
      <c r="E86" s="8">
        <v>46062.55971540509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97</v>
      </c>
      <c r="D87" s="6">
        <v>66.0</v>
      </c>
      <c r="E87" s="8">
        <v>46062.56275709491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98</v>
      </c>
      <c r="D88" s="6">
        <v>182.0</v>
      </c>
      <c r="E88" s="8">
        <v>46062.56282177083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99</v>
      </c>
      <c r="D89" s="6">
        <v>22.0</v>
      </c>
      <c r="E89" s="8">
        <v>46062.562922488425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100</v>
      </c>
      <c r="D90" s="6">
        <v>27.0</v>
      </c>
      <c r="E90" s="8">
        <v>46062.56329247685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101</v>
      </c>
      <c r="D91" s="6">
        <v>115.0</v>
      </c>
      <c r="E91" s="8">
        <v>46062.58317953703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102</v>
      </c>
      <c r="D92" s="6">
        <v>177.0</v>
      </c>
      <c r="E92" s="8">
        <v>46062.58332810186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103</v>
      </c>
      <c r="D93" s="6">
        <v>6.0</v>
      </c>
      <c r="E93" s="8">
        <v>46062.59648810185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2.0</v>
      </c>
      <c r="C94" s="7" t="s">
        <v>104</v>
      </c>
      <c r="D94" s="6">
        <v>10.0</v>
      </c>
      <c r="E94" s="8">
        <v>46062.59562597222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23">
        <v>46174.0</v>
      </c>
      <c r="C95" s="7" t="s">
        <v>105</v>
      </c>
      <c r="D95" s="6">
        <v>12.0</v>
      </c>
      <c r="E95" s="8">
        <v>46062.595708333334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2.0</v>
      </c>
      <c r="C96" s="7" t="s">
        <v>106</v>
      </c>
      <c r="D96" s="6">
        <v>5.0</v>
      </c>
      <c r="E96" s="8">
        <v>46062.59662831019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107</v>
      </c>
      <c r="D97" s="6">
        <v>34.0</v>
      </c>
      <c r="E97" s="8">
        <v>46062.60982414352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108</v>
      </c>
      <c r="D98" s="6">
        <v>70.0</v>
      </c>
      <c r="E98" s="8">
        <v>46062.625617337966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15.0</v>
      </c>
      <c r="C99" s="7" t="s">
        <v>109</v>
      </c>
      <c r="D99" s="6">
        <v>240.0</v>
      </c>
      <c r="E99" s="8">
        <v>46062.639520324075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2.0</v>
      </c>
      <c r="C100" s="7" t="s">
        <v>110</v>
      </c>
      <c r="D100" s="6">
        <v>8.0</v>
      </c>
      <c r="E100" s="8">
        <v>46062.63959664352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111</v>
      </c>
      <c r="D101" s="6">
        <v>37.0</v>
      </c>
      <c r="E101" s="8">
        <v>46062.64096682871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112</v>
      </c>
      <c r="D102" s="6">
        <v>65.0</v>
      </c>
      <c r="E102" s="8">
        <v>46062.642450914354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113</v>
      </c>
      <c r="D103" s="6">
        <v>48.0</v>
      </c>
      <c r="E103" s="8">
        <v>46062.64649113426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114</v>
      </c>
      <c r="D104" s="6">
        <v>62.0</v>
      </c>
      <c r="E104" s="8">
        <v>46062.64695642361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115</v>
      </c>
      <c r="D105" s="6">
        <v>140.0</v>
      </c>
      <c r="E105" s="8">
        <v>46062.649454513885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116</v>
      </c>
      <c r="D106" s="6">
        <v>80.0</v>
      </c>
      <c r="E106" s="8">
        <v>46062.64958802084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117</v>
      </c>
      <c r="D107" s="6">
        <v>41.0</v>
      </c>
      <c r="E107" s="8">
        <v>46062.649749918986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118</v>
      </c>
      <c r="D108" s="6">
        <v>14.0</v>
      </c>
      <c r="E108" s="8">
        <v>46062.64981444445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119</v>
      </c>
      <c r="D109" s="6">
        <v>53.0</v>
      </c>
      <c r="E109" s="8">
        <v>46062.66756112268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6.0</v>
      </c>
      <c r="C110" s="7" t="s">
        <v>120</v>
      </c>
      <c r="D110" s="6">
        <v>12.0</v>
      </c>
      <c r="E110" s="8">
        <v>46062.673476446755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121</v>
      </c>
      <c r="D111" s="6">
        <v>3.0</v>
      </c>
      <c r="E111" s="8">
        <v>46062.673561261574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122</v>
      </c>
      <c r="D112" s="6">
        <v>335.0</v>
      </c>
      <c r="E112" s="8">
        <v>46062.67859210648</v>
      </c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123</v>
      </c>
      <c r="D113" s="6">
        <v>60.0</v>
      </c>
      <c r="E113" s="8">
        <v>46062.68423003472</v>
      </c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124</v>
      </c>
      <c r="D114" s="6">
        <v>16.0</v>
      </c>
      <c r="E114" s="8">
        <v>46062.684898402775</v>
      </c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125</v>
      </c>
      <c r="D115" s="6">
        <v>45.0</v>
      </c>
      <c r="E115" s="8">
        <v>46062.6874037963</v>
      </c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126</v>
      </c>
      <c r="D116" s="6">
        <v>53.0</v>
      </c>
      <c r="E116" s="8">
        <v>46062.687620833334</v>
      </c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2.0</v>
      </c>
      <c r="C117" s="7" t="s">
        <v>127</v>
      </c>
      <c r="D117" s="6">
        <v>104.0</v>
      </c>
      <c r="E117" s="8">
        <v>46062.688919548615</v>
      </c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2.0</v>
      </c>
      <c r="C118" s="7" t="s">
        <v>128</v>
      </c>
      <c r="D118" s="6">
        <v>4.0</v>
      </c>
      <c r="E118" s="8">
        <v>46062.69172765047</v>
      </c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129</v>
      </c>
      <c r="D119" s="6">
        <v>28.0</v>
      </c>
      <c r="E119" s="8">
        <v>46062.699328726856</v>
      </c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130</v>
      </c>
      <c r="D120" s="6">
        <v>13.0</v>
      </c>
      <c r="E120" s="8">
        <v>46062.7029578588</v>
      </c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131</v>
      </c>
      <c r="D121" s="6">
        <v>30.0</v>
      </c>
      <c r="E121" s="8">
        <v>46062.70303347222</v>
      </c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132</v>
      </c>
      <c r="D122" s="6">
        <v>182.0</v>
      </c>
      <c r="E122" s="8">
        <v>46062.705785729166</v>
      </c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1.0</v>
      </c>
      <c r="C123" s="7" t="s">
        <v>133</v>
      </c>
      <c r="D123" s="6">
        <v>18.0</v>
      </c>
      <c r="E123" s="8">
        <v>46062.71704166666</v>
      </c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1.0</v>
      </c>
      <c r="C124" s="7" t="s">
        <v>134</v>
      </c>
      <c r="D124" s="6">
        <v>25.0</v>
      </c>
      <c r="E124" s="8">
        <v>46062.717108888886</v>
      </c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6">
        <v>11985.0</v>
      </c>
      <c r="B125" s="6">
        <v>1.0</v>
      </c>
      <c r="C125" s="7" t="s">
        <v>135</v>
      </c>
      <c r="D125" s="6">
        <v>145.0</v>
      </c>
      <c r="E125" s="8">
        <v>46062.71999377315</v>
      </c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1.0</v>
      </c>
      <c r="C126" s="7" t="s">
        <v>8</v>
      </c>
      <c r="D126" s="6">
        <v>6.0</v>
      </c>
      <c r="E126" s="8">
        <v>46062.72838734953</v>
      </c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1.0</v>
      </c>
      <c r="C127" s="7" t="s">
        <v>136</v>
      </c>
      <c r="D127" s="6">
        <v>200.0</v>
      </c>
      <c r="E127" s="8">
        <v>46062.7347330787</v>
      </c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1.0</v>
      </c>
      <c r="C128" s="7" t="s">
        <v>137</v>
      </c>
      <c r="D128" s="6">
        <v>300.0</v>
      </c>
      <c r="E128" s="8">
        <v>46062.734899456016</v>
      </c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6">
        <v>1.0</v>
      </c>
      <c r="C129" s="7" t="s">
        <v>138</v>
      </c>
      <c r="D129" s="6">
        <v>44.0</v>
      </c>
      <c r="E129" s="8">
        <v>46062.73508578703</v>
      </c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6">
        <v>1.0</v>
      </c>
      <c r="C130" s="7" t="s">
        <v>139</v>
      </c>
      <c r="D130" s="6">
        <v>45.0</v>
      </c>
      <c r="E130" s="8">
        <v>46062.73569289352</v>
      </c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6">
        <v>1.0</v>
      </c>
      <c r="C131" s="7" t="s">
        <v>140</v>
      </c>
      <c r="D131" s="6">
        <v>55.0</v>
      </c>
      <c r="E131" s="8">
        <v>46062.73605416667</v>
      </c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6">
        <v>43317.0</v>
      </c>
      <c r="B132" s="6">
        <v>1.0</v>
      </c>
      <c r="C132" s="7" t="s">
        <v>65</v>
      </c>
      <c r="D132" s="6">
        <v>49.0</v>
      </c>
      <c r="E132" s="8">
        <v>46062.74229758102</v>
      </c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6">
        <v>3.0</v>
      </c>
      <c r="C133" s="7" t="s">
        <v>83</v>
      </c>
      <c r="D133" s="6">
        <v>13.5</v>
      </c>
      <c r="E133" s="8">
        <v>46062.76939318287</v>
      </c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6">
        <v>1.0</v>
      </c>
      <c r="C134" s="7" t="s">
        <v>141</v>
      </c>
      <c r="D134" s="6">
        <v>59.0</v>
      </c>
      <c r="E134" s="8">
        <v>46062.77894359954</v>
      </c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6">
        <v>1.0</v>
      </c>
      <c r="C135" s="7" t="s">
        <v>64</v>
      </c>
      <c r="D135" s="6">
        <v>14.0</v>
      </c>
      <c r="E135" s="8">
        <v>46062.77985842593</v>
      </c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6">
        <v>1.0</v>
      </c>
      <c r="C136" s="7" t="s">
        <v>142</v>
      </c>
      <c r="D136" s="6">
        <v>12.0</v>
      </c>
      <c r="E136" s="8">
        <v>46062.77994832176</v>
      </c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6" t="s">
        <v>143</v>
      </c>
      <c r="B137" s="6">
        <v>1.0</v>
      </c>
      <c r="C137" s="7" t="s">
        <v>144</v>
      </c>
      <c r="D137" s="6">
        <v>49.0</v>
      </c>
      <c r="E137" s="8">
        <v>46062.78410172454</v>
      </c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6">
        <v>1.0</v>
      </c>
      <c r="C138" s="7" t="s">
        <v>145</v>
      </c>
      <c r="D138" s="6">
        <v>40.0</v>
      </c>
      <c r="E138" s="8">
        <v>46062.78513777778</v>
      </c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