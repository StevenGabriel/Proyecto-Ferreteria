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<sst xmlns="http://schemas.openxmlformats.org/spreadsheetml/2006/main" count="102" uniqueCount="98">
  <si>
    <t>HOJA DE CALCULO FERRETERIA</t>
  </si>
  <si>
    <t>CODIGO</t>
  </si>
  <si>
    <t>CANTIDAD</t>
  </si>
  <si>
    <t>DESCRIPCION</t>
  </si>
  <si>
    <t>TOTAL</t>
  </si>
  <si>
    <t>HORA</t>
  </si>
  <si>
    <t>CUADRAR</t>
  </si>
  <si>
    <t>m lija 50</t>
  </si>
  <si>
    <t>cautin 70 kamasa</t>
  </si>
  <si>
    <t>MONEDAS</t>
  </si>
  <si>
    <t>CAJA CHICA</t>
  </si>
  <si>
    <t>brocha 2</t>
  </si>
  <si>
    <t>BILLETES 10-20</t>
  </si>
  <si>
    <t>TOTAL VENTAS DIA</t>
  </si>
  <si>
    <t>cince punta max tr</t>
  </si>
  <si>
    <t>BILLETES 50-100-200</t>
  </si>
  <si>
    <t>AUMENTO DE DINERO</t>
  </si>
  <si>
    <t>cincel max tolsen</t>
  </si>
  <si>
    <t>INGRESOS YAPE</t>
  </si>
  <si>
    <t>grifo 12</t>
  </si>
  <si>
    <t>INGRESOS TARJETA</t>
  </si>
  <si>
    <t>ALOJATODO</t>
  </si>
  <si>
    <t>GASTOS VARIOS</t>
  </si>
  <si>
    <t>DESARMADOR REVER</t>
  </si>
  <si>
    <t>LIMPI CONTACTO</t>
  </si>
  <si>
    <t>DINERO GANADO HOY:</t>
  </si>
  <si>
    <t>CANTIDAD DINERO CAJA:</t>
  </si>
  <si>
    <t>CIERRAS DE CALADORA</t>
  </si>
  <si>
    <t>1KL</t>
  </si>
  <si>
    <t>ALAMBRE AMARRE</t>
  </si>
  <si>
    <t>CARBURO</t>
  </si>
  <si>
    <t>PICO MCHO 1/2</t>
  </si>
  <si>
    <t>ADAPTADOR ULTRA</t>
  </si>
  <si>
    <t>ABRAZADERAS 34</t>
  </si>
  <si>
    <t>CLAVIJA TRAMN</t>
  </si>
  <si>
    <t>YAPE MAMÁ</t>
  </si>
  <si>
    <t>YAPE PAPÁ</t>
  </si>
  <si>
    <t>YAPE</t>
  </si>
  <si>
    <t>CLAJA HEMBRA TRAMO</t>
  </si>
  <si>
    <t>Monto Total YAPE (No tocar):</t>
  </si>
  <si>
    <t>CLAVIJA ULTRA</t>
  </si>
  <si>
    <t>SILICONA AMERICAN</t>
  </si>
  <si>
    <t>Monto Total Registrado en aplicacion</t>
  </si>
  <si>
    <t>1L</t>
  </si>
  <si>
    <t>THINNER DUCO</t>
  </si>
  <si>
    <t>2M</t>
  </si>
  <si>
    <t>HILO ESTAÑO</t>
  </si>
  <si>
    <t>POMDA PARA SOLDAR</t>
  </si>
  <si>
    <t>CINTA AISLANTE</t>
  </si>
  <si>
    <t>AEROSOL BLANCO MATE</t>
  </si>
  <si>
    <t>ABRAZADERA 1 1/2</t>
  </si>
  <si>
    <t>CITA AISLANTE</t>
  </si>
  <si>
    <t>PAGOS YAPE</t>
  </si>
  <si>
    <t>DESCRIPCION PAGO</t>
  </si>
  <si>
    <t>TAPON 1 TIGRE</t>
  </si>
  <si>
    <t>TAPON 3/4 TIGRE</t>
  </si>
  <si>
    <t>CLAV 4</t>
  </si>
  <si>
    <t>REGLA METALICA 60CM</t>
  </si>
  <si>
    <t>AEROSOL BLANCO BRILLO</t>
  </si>
  <si>
    <t>ESPIGA</t>
  </si>
  <si>
    <t>DISCO CONCRETO UYUS 4</t>
  </si>
  <si>
    <t>UNION PATENTE FG</t>
  </si>
  <si>
    <t>ALARGADOR BI 10M</t>
  </si>
  <si>
    <t>PLOMDA</t>
  </si>
  <si>
    <t>dado 19</t>
  </si>
  <si>
    <t>aerosol negro brillo</t>
  </si>
  <si>
    <t>punta tr</t>
  </si>
  <si>
    <t>CANDADO TR</t>
  </si>
  <si>
    <t>MT PERLON</t>
  </si>
  <si>
    <t>CANDADO THR</t>
  </si>
  <si>
    <t>CANDADO HR</t>
  </si>
  <si>
    <t>HGACHO CBLE HR</t>
  </si>
  <si>
    <t>TIMBRE CON CABLE</t>
  </si>
  <si>
    <t>PULSADOR SIMPLE</t>
  </si>
  <si>
    <t xml:space="preserve">PIEDRA </t>
  </si>
  <si>
    <t>PRENCA C</t>
  </si>
  <si>
    <t>BRICAGRA PAR 4</t>
  </si>
  <si>
    <t>5M</t>
  </si>
  <si>
    <t>CABLE BIPOLAR 16</t>
  </si>
  <si>
    <t>REGLETA 3</t>
  </si>
  <si>
    <t>CLAVIJA</t>
  </si>
  <si>
    <t>TEE FG</t>
  </si>
  <si>
    <t>PURGADOR</t>
  </si>
  <si>
    <t>CHIP 4*20</t>
  </si>
  <si>
    <t>BOLSA DEPRECINTA</t>
  </si>
  <si>
    <t>DUCHA TRAMONT</t>
  </si>
  <si>
    <t>BARBIJO</t>
  </si>
  <si>
    <t>BROCA VID</t>
  </si>
  <si>
    <t>ALICATE</t>
  </si>
  <si>
    <t>CAIVATE</t>
  </si>
  <si>
    <t>ALICAGE</t>
  </si>
  <si>
    <t>CALICATE</t>
  </si>
  <si>
    <t>TIJERA</t>
  </si>
  <si>
    <t>JUEGO DE LLACE</t>
  </si>
  <si>
    <t>MAZO DE GOMA</t>
  </si>
  <si>
    <t>ESCUADRAS</t>
  </si>
  <si>
    <t>LENTE</t>
  </si>
  <si>
    <t>MASCA DE SOLDAR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</si>
</sst>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30.0</v>
      </c>
      <c r="E8" s="8">
        <v>46190.35620520833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40.0</v>
      </c>
      <c r="E9" s="8">
        <v>46190.37777193287</v>
      </c>
      <c r="F9" s="2"/>
      <c r="G9" s="9" t="s">
        <v>9</v>
      </c>
      <c r="H9" s="10">
        <v>166.0</v>
      </c>
      <c r="I9" s="2"/>
      <c r="J9" s="9" t="s">
        <v>10</v>
      </c>
      <c r="K9" s="10">
        <v>598.0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6.0</v>
      </c>
      <c r="E10" s="8">
        <v>46190.40664248842</v>
      </c>
      <c r="F10" s="2"/>
      <c r="G10" s="9" t="s">
        <v>12</v>
      </c>
      <c r="H10" s="10">
        <v>160.0</v>
      </c>
      <c r="I10" s="2"/>
      <c r="J10" s="9" t="s">
        <v>13</v>
      </c>
      <c r="K10" s="11">
        <f>SUM(PRINCIPAL[TOTAL])</f>
        <v>3331.25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150.0</v>
      </c>
      <c r="E11" s="8">
        <v>46190.417357592596</v>
      </c>
      <c r="F11" s="2"/>
      <c r="G11" s="9" t="s">
        <v>15</v>
      </c>
      <c r="H11" s="10">
        <v>2600.0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50.0</v>
      </c>
      <c r="E12" s="8">
        <v>46190.4175044213</v>
      </c>
      <c r="F12" s="2"/>
      <c r="G12" s="9" t="s">
        <v>18</v>
      </c>
      <c r="H12" s="12">
        <f>SUM(G24:H361)</f>
        <v>993.75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30.0</v>
      </c>
      <c r="E13" s="8">
        <v>46190.425811967594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31.0</v>
      </c>
      <c r="E14" s="8">
        <v>46190.43296895833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8.0</v>
      </c>
      <c r="E15" s="8">
        <v>46190.43488857639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42.0</v>
      </c>
      <c r="E16" s="8">
        <v>46190.43500704861</v>
      </c>
      <c r="F16" s="2"/>
      <c r="G16" s="15" t="s">
        <v>25</v>
      </c>
      <c r="H16" s="16">
        <f>SUM(H9:H14)</f>
        <v>3919.75</v>
      </c>
      <c r="I16" s="3"/>
      <c r="J16" s="15" t="s">
        <v>26</v>
      </c>
      <c r="K16" s="16">
        <f>SUM(K9:K11)</f>
        <v>3929.25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26.0</v>
      </c>
      <c r="E17" s="8">
        <v>46190.436956770835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19.0</v>
      </c>
      <c r="E18" s="8">
        <v>46190.44732432871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25.0</v>
      </c>
      <c r="E19" s="8">
        <v>46190.44736751157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31</v>
      </c>
      <c r="D20" s="6">
        <v>18.0</v>
      </c>
      <c r="E20" s="8">
        <v>46190.46001444444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5.0</v>
      </c>
      <c r="E21" s="8">
        <v>46190.46012844908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33</v>
      </c>
      <c r="D22" s="6">
        <v>6.0</v>
      </c>
      <c r="E22" s="8">
        <v>46190.46134530092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8.0</v>
      </c>
      <c r="E23" s="8">
        <v>46190.47918155092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11.0</v>
      </c>
      <c r="E24" s="8">
        <v>46190.47925579861</v>
      </c>
      <c r="F24" s="2"/>
      <c r="G24" s="22">
        <v>81.0</v>
      </c>
      <c r="H24" s="23"/>
      <c r="I24" s="2"/>
      <c r="J24" s="24" t="s">
        <v>39</v>
      </c>
      <c r="K24" s="25">
        <f>SUM(INGRESOS_YAPE[])</f>
        <v>993.75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5.0</v>
      </c>
      <c r="E25" s="8">
        <v>46190.47933711806</v>
      </c>
      <c r="F25" s="2"/>
      <c r="G25" s="22">
        <v>44.0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26.0</v>
      </c>
      <c r="E26" s="8">
        <v>46190.48003690972</v>
      </c>
      <c r="F26" s="2"/>
      <c r="G26" s="26">
        <v>61.0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26.0</v>
      </c>
      <c r="E27" s="8">
        <v>46190.48016025463</v>
      </c>
      <c r="F27" s="2"/>
      <c r="G27" s="22">
        <v>50.0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43</v>
      </c>
      <c r="C28" s="7" t="s">
        <v>44</v>
      </c>
      <c r="D28" s="6">
        <v>35.0</v>
      </c>
      <c r="E28" s="8">
        <v>46190.48033554398</v>
      </c>
      <c r="F28" s="2"/>
      <c r="G28" s="22">
        <v>172.0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45</v>
      </c>
      <c r="C29" s="7" t="s">
        <v>46</v>
      </c>
      <c r="D29" s="6">
        <v>14.0</v>
      </c>
      <c r="E29" s="8">
        <v>46190.48043256944</v>
      </c>
      <c r="F29" s="2"/>
      <c r="G29" s="22">
        <v>211.0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993,75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16.0</v>
      </c>
      <c r="E30" s="8">
        <v>46190.48059502315</v>
      </c>
      <c r="F30" s="2"/>
      <c r="G30" s="22">
        <v>120.0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13.0</v>
      </c>
      <c r="E31" s="8">
        <v>46190.480705821756</v>
      </c>
      <c r="F31" s="2"/>
      <c r="G31" s="22">
        <v>60.0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18.0</v>
      </c>
      <c r="E32" s="8">
        <v>46190.48079957176</v>
      </c>
      <c r="F32" s="2"/>
      <c r="G32" s="22">
        <v>65.0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5.0</v>
      </c>
      <c r="E33" s="8">
        <v>46190.48423538194</v>
      </c>
      <c r="F33" s="2"/>
      <c r="G33" s="22">
        <v>112.0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9.0</v>
      </c>
      <c r="E34" s="8">
        <v>46190.48432527778</v>
      </c>
      <c r="F34" s="2"/>
      <c r="G34" s="22">
        <v>17.75</v>
      </c>
      <c r="H34" s="23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5.0</v>
      </c>
      <c r="E35" s="8">
        <v>46190.50798247685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3.5</v>
      </c>
      <c r="E36" s="8">
        <v>46190.50811268519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36.0</v>
      </c>
      <c r="E37" s="8">
        <v>46190.514695659724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41.0</v>
      </c>
      <c r="E38" s="8">
        <v>46190.535440486114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20.0</v>
      </c>
      <c r="E39" s="8">
        <v>46190.53567615741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59</v>
      </c>
      <c r="D40" s="6">
        <v>9.0</v>
      </c>
      <c r="E40" s="8">
        <v>46190.546000601855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23.0</v>
      </c>
      <c r="E41" s="8">
        <v>46190.55713241898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50.0</v>
      </c>
      <c r="E42" s="8">
        <v>46190.56219674768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78.0</v>
      </c>
      <c r="E43" s="8">
        <v>46190.566072511574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20.0</v>
      </c>
      <c r="E44" s="8">
        <v>46190.56778612269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50.0</v>
      </c>
      <c r="E45" s="8">
        <v>46190.580017824075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20.0</v>
      </c>
      <c r="E46" s="8">
        <v>46190.59432771991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66</v>
      </c>
      <c r="D47" s="6">
        <v>8.0</v>
      </c>
      <c r="E47" s="8">
        <v>46190.6081427662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131.0</v>
      </c>
      <c r="E48" s="8">
        <v>46190.63178755787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6">
        <v>80.0</v>
      </c>
      <c r="E49" s="8">
        <v>46190.63373423611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5.0</v>
      </c>
      <c r="C50" s="7" t="s">
        <v>68</v>
      </c>
      <c r="D50" s="6">
        <v>15.0</v>
      </c>
      <c r="E50" s="8">
        <v>46190.633836678244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131.0</v>
      </c>
      <c r="E51" s="8">
        <v>46190.63649528935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136.0</v>
      </c>
      <c r="E52" s="8">
        <v>46190.6379915625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136.0</v>
      </c>
      <c r="E53" s="8">
        <v>46190.63802334491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6.0</v>
      </c>
      <c r="C54" s="7" t="s">
        <v>71</v>
      </c>
      <c r="D54" s="6">
        <v>120.0</v>
      </c>
      <c r="E54" s="8">
        <v>46190.63964347223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35.0</v>
      </c>
      <c r="E55" s="8">
        <v>46190.65183996528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6.0</v>
      </c>
      <c r="E56" s="8">
        <v>46190.65194131945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13.0</v>
      </c>
      <c r="E57" s="8">
        <v>46190.66296755787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45.0</v>
      </c>
      <c r="E58" s="8">
        <v>46190.663845787036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15.0</v>
      </c>
      <c r="E59" s="8">
        <v>46190.66397491898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77</v>
      </c>
      <c r="C60" s="7" t="s">
        <v>78</v>
      </c>
      <c r="D60" s="6">
        <v>45.0</v>
      </c>
      <c r="E60" s="8">
        <v>46190.668041701385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15.0</v>
      </c>
      <c r="E61" s="8">
        <v>46190.668168240736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5.0</v>
      </c>
      <c r="E62" s="8">
        <v>46190.66821960648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28.0</v>
      </c>
      <c r="E63" s="8">
        <v>46190.709064062496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84.0</v>
      </c>
      <c r="E64" s="8">
        <v>46190.719934039356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42.0</v>
      </c>
      <c r="C65" s="7" t="s">
        <v>83</v>
      </c>
      <c r="D65" s="6">
        <v>8.75</v>
      </c>
      <c r="E65" s="8">
        <v>46190.71972119213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9.0</v>
      </c>
      <c r="E66" s="8">
        <v>46190.71986200231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150.0</v>
      </c>
      <c r="E67" s="8">
        <v>46190.72934336806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4.0</v>
      </c>
      <c r="C68" s="7" t="s">
        <v>86</v>
      </c>
      <c r="D68" s="6">
        <v>12.0</v>
      </c>
      <c r="E68" s="8">
        <v>46190.73261737269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39.0</v>
      </c>
      <c r="E69" s="8">
        <v>46190.75977695602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37.0</v>
      </c>
      <c r="E70" s="8">
        <v>46190.75995847222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7" t="s">
        <v>88</v>
      </c>
      <c r="D71" s="6">
        <v>40.0</v>
      </c>
      <c r="E71" s="8">
        <v>46190.780870497685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7" t="s">
        <v>89</v>
      </c>
      <c r="D72" s="6">
        <v>45.0</v>
      </c>
      <c r="E72" s="8">
        <v>46190.78090114583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7" t="s">
        <v>90</v>
      </c>
      <c r="D73" s="6">
        <v>45.0</v>
      </c>
      <c r="E73" s="8">
        <v>46190.78091648148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7" t="s">
        <v>91</v>
      </c>
      <c r="D74" s="6">
        <v>59.0</v>
      </c>
      <c r="E74" s="8">
        <v>46190.7809356713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7" t="s">
        <v>92</v>
      </c>
      <c r="D75" s="6">
        <v>92.0</v>
      </c>
      <c r="E75" s="8">
        <v>46190.781239641205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7" t="s">
        <v>93</v>
      </c>
      <c r="D76" s="6">
        <v>200.0</v>
      </c>
      <c r="E76" s="8">
        <v>46190.78129158565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7" t="s">
        <v>94</v>
      </c>
      <c r="D77" s="6">
        <v>29.0</v>
      </c>
      <c r="E77" s="8">
        <v>46190.78132216435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4.0</v>
      </c>
      <c r="C78" s="7" t="s">
        <v>95</v>
      </c>
      <c r="D78" s="6">
        <v>150.0</v>
      </c>
      <c r="E78" s="8">
        <v>46190.78148800926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7" t="s">
        <v>96</v>
      </c>
      <c r="D79" s="6">
        <v>40.0</v>
      </c>
      <c r="E79" s="8">
        <v>46190.781517048614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7" t="s">
        <v>97</v>
      </c>
      <c r="D80" s="6">
        <v>300.0</v>
      </c>
      <c r="E80" s="8">
        <v>46190.78156715278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