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<sst xmlns="http://schemas.openxmlformats.org/spreadsheetml/2006/main" count="121" uniqueCount="120">
  <si>
    <t>HOJA DE CALCULO FERRETERIA</t>
  </si>
  <si>
    <t>CODIGO</t>
  </si>
  <si>
    <t>CANTIDAD</t>
  </si>
  <si>
    <t>DESCRIPCION</t>
  </si>
  <si>
    <t>TOTAL</t>
  </si>
  <si>
    <t>HORA</t>
  </si>
  <si>
    <t>CUADRAR</t>
  </si>
  <si>
    <t>cina aislane</t>
  </si>
  <si>
    <t>cepillo de acero</t>
  </si>
  <si>
    <t>MONEDAS</t>
  </si>
  <si>
    <t>CAJA CHICA</t>
  </si>
  <si>
    <t>guante asatex</t>
  </si>
  <si>
    <t>BILLETES 10-20</t>
  </si>
  <si>
    <t>TOTAL VENTAS DIA</t>
  </si>
  <si>
    <t>1m</t>
  </si>
  <si>
    <t>cañeria 1/2</t>
  </si>
  <si>
    <t>BILLETES 50-100-200</t>
  </si>
  <si>
    <t>AUMENTO DE DINERO</t>
  </si>
  <si>
    <t>3,5m</t>
  </si>
  <si>
    <t>maguera 1/2</t>
  </si>
  <si>
    <t>INGRESOS YAPE</t>
  </si>
  <si>
    <t>aerosol negro mate</t>
  </si>
  <si>
    <t>INGRESOS TARJETA</t>
  </si>
  <si>
    <t>preciton 20cm</t>
  </si>
  <si>
    <t>GASTOS VARIOS</t>
  </si>
  <si>
    <t>guantes tr</t>
  </si>
  <si>
    <t>guante lada azul</t>
  </si>
  <si>
    <t>DINERO GANADO HOY:</t>
  </si>
  <si>
    <t>CANTIDAD DINERO CAJA:</t>
  </si>
  <si>
    <t>bonete maxi rruber</t>
  </si>
  <si>
    <t>pico tr</t>
  </si>
  <si>
    <t>clefa 100</t>
  </si>
  <si>
    <t>alcayate truper</t>
  </si>
  <si>
    <t>m tubocorrugado</t>
  </si>
  <si>
    <t>acople rapico 1/2</t>
  </si>
  <si>
    <t>broca irwin 1mm</t>
  </si>
  <si>
    <t>YAPE MAMÁ</t>
  </si>
  <si>
    <t>YAPE PAPÁ</t>
  </si>
  <si>
    <t>YAPE</t>
  </si>
  <si>
    <t>kl alambre galvani</t>
  </si>
  <si>
    <t>Monto Total YAPE (No tocar):</t>
  </si>
  <si>
    <t>cinta de embalaje</t>
  </si>
  <si>
    <t>cina aislantate</t>
  </si>
  <si>
    <t>Monto Total Registrado en aplicacion</t>
  </si>
  <si>
    <t>papel film</t>
  </si>
  <si>
    <t>rodillo condor</t>
  </si>
  <si>
    <t>cinta five stick</t>
  </si>
  <si>
    <t>cinta aluban 10</t>
  </si>
  <si>
    <t>brca madera 5</t>
  </si>
  <si>
    <t>broca madera tolsen</t>
  </si>
  <si>
    <t>adatador turepr</t>
  </si>
  <si>
    <t>bandola</t>
  </si>
  <si>
    <t>PAGOS YAPE</t>
  </si>
  <si>
    <t>DESCRIPCION PAGO</t>
  </si>
  <si>
    <t>llave crecern</t>
  </si>
  <si>
    <t>pie de amif</t>
  </si>
  <si>
    <t>pie de amdo</t>
  </si>
  <si>
    <t>chip</t>
  </si>
  <si>
    <t>ramplu</t>
  </si>
  <si>
    <t>3m</t>
  </si>
  <si>
    <t>aslambre 10</t>
  </si>
  <si>
    <t>juego de pustas</t>
  </si>
  <si>
    <t>1/5kl</t>
  </si>
  <si>
    <t>alambre amarre</t>
  </si>
  <si>
    <t>juego broca escalonada</t>
  </si>
  <si>
    <t>grampas calble</t>
  </si>
  <si>
    <t>BOCHA 11/2</t>
  </si>
  <si>
    <t>BROCHA 4</t>
  </si>
  <si>
    <t>RODILLO ANTIGOTEO TIGRE</t>
  </si>
  <si>
    <t>LLAVE COMBINADA 12</t>
  </si>
  <si>
    <t>AUTOMATIC TOTAL</t>
  </si>
  <si>
    <t>ELECTRDODO DELGADO</t>
  </si>
  <si>
    <t>PLACA TRIPRE CAFE</t>
  </si>
  <si>
    <t>MODULO INTE CAFE</t>
  </si>
  <si>
    <t>CINTA ASILANTE</t>
  </si>
  <si>
    <t>1M</t>
  </si>
  <si>
    <t>MANGUERA NIVE 1/4</t>
  </si>
  <si>
    <t>FLOTADOR ELECTRICO 2M</t>
  </si>
  <si>
    <t>TIJERA DE AVIACION</t>
  </si>
  <si>
    <t>PALA TRAMON</t>
  </si>
  <si>
    <t>RODAPIE</t>
  </si>
  <si>
    <t>BANDOLAR</t>
  </si>
  <si>
    <t>M CADENA</t>
  </si>
  <si>
    <t>AEROSOL PROFESIONAL</t>
  </si>
  <si>
    <t>JUEFGO DE ALS</t>
  </si>
  <si>
    <t>CHPA EVERLEO</t>
  </si>
  <si>
    <t>MASQUIN 3/4</t>
  </si>
  <si>
    <t>AEROSOL PLATEADP</t>
  </si>
  <si>
    <t>GRIFO LEAOTOOL</t>
  </si>
  <si>
    <t>TEFLON</t>
  </si>
  <si>
    <t>TAPA DE INODOROA</t>
  </si>
  <si>
    <t>CARGADOR TOTAL</t>
  </si>
  <si>
    <t>BATERIAS TOTAL</t>
  </si>
  <si>
    <t>ROTOMARTILLO TOTAL</t>
  </si>
  <si>
    <t xml:space="preserve">MACHETE </t>
  </si>
  <si>
    <t>CODO 1/2</t>
  </si>
  <si>
    <t>ALARGADOR PUNTA</t>
  </si>
  <si>
    <t>PUNTA PH2</t>
  </si>
  <si>
    <t>TIRAFONDO 11/2</t>
  </si>
  <si>
    <t>ARADELA 1/4</t>
  </si>
  <si>
    <t>GRIFO 12/2 IMITCION</t>
  </si>
  <si>
    <t>PICOPORTE 11/2</t>
  </si>
  <si>
    <t>REFLETA</t>
  </si>
  <si>
    <t>CLAVIJA</t>
  </si>
  <si>
    <t>SACASBOCADO 28MM</t>
  </si>
  <si>
    <t>ADAPTADOER CORRIENTE</t>
  </si>
  <si>
    <t>CINTA</t>
  </si>
  <si>
    <t>VIDRIO SOLDAR</t>
  </si>
  <si>
    <t xml:space="preserve">CANDADO HR </t>
  </si>
  <si>
    <t>PICO GRIFO 3/4 X 3/4</t>
  </si>
  <si>
    <t>LIJA NORTON 1000</t>
  </si>
  <si>
    <t xml:space="preserve">DUCHA CORONA </t>
  </si>
  <si>
    <t>AEROSOL</t>
  </si>
  <si>
    <t xml:space="preserve">M ALAMBRFE </t>
  </si>
  <si>
    <t>COPLA 1</t>
  </si>
  <si>
    <t>COPLA3/4</t>
  </si>
  <si>
    <t>CODO 1 FG</t>
  </si>
  <si>
    <t>CONTROL AUTOMATIE C TOTAL</t>
  </si>
  <si>
    <t>CAJA DE GRAMPA UYUSO</t>
  </si>
  <si>
    <t xml:space="preserve">REGLETAS UYUSTO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</si>
</sst>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13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  <font>
      <b/>
      <sz val="13.0"/>
      <color rgb="FFFFFFFF"/>
      <name val="Arial"/>
      <scheme val="minor"/>
    </font>
    <font>
      <b/>
      <sz val="13.0"/>
      <color rgb="FF000000"/>
      <name val="Arial"/>
      <scheme val="minor"/>
    </font>
    <font>
      <b/>
      <sz val="12.0"/>
      <color theme="1"/>
      <name val="Arial"/>
      <scheme val="minor"/>
    </font>
  </fonts>
  <fills count="14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EFEFEF"/>
        <bgColor rgb="FFEFEFEF"/>
      </patternFill>
    </fill>
    <fill>
      <patternFill patternType="solid">
        <fgColor rgb="FF92D050"/>
        <bgColor rgb="FF92D050"/>
      </patternFill>
    </fill>
    <fill>
      <patternFill patternType="solid">
        <fgColor rgb="FF5B3F86"/>
        <bgColor rgb="FF5B3F86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B4A7D6"/>
        <bgColor rgb="FFB4A7D6"/>
      </patternFill>
    </fill>
    <fill>
      <patternFill patternType="solid">
        <fgColor theme="8"/>
        <bgColor theme="8"/>
      </patternFill>
    </fill>
    <fill>
      <patternFill patternType="solid">
        <fgColor rgb="FFFF9900"/>
        <bgColor rgb="FFFF9900"/>
      </patternFill>
    </fill>
    <fill>
      <patternFill patternType="solid">
        <fgColor rgb="FFE69138"/>
        <bgColor rgb="FFE6913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5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0" fillId="3" fontId="2" numFmtId="0" xfId="0" applyAlignment="1" applyFill="1" applyFont="1">
      <alignment readingOrder="0"/>
    </xf>
    <xf borderId="1" fillId="6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0" fillId="7" fontId="10" numFmtId="0" xfId="0" applyAlignment="1" applyFill="1" applyFont="1">
      <alignment horizontal="center" readingOrder="0" vertical="center"/>
    </xf>
    <xf borderId="0" fillId="3" fontId="10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readingOrder="0" shrinkToFit="0" vertical="center" wrapText="0"/>
    </xf>
    <xf borderId="0" fillId="8" fontId="11" numFmtId="0" xfId="0" applyAlignment="1" applyFill="1" applyFont="1">
      <alignment readingOrder="0" shrinkToFit="0" vertical="center" wrapText="1"/>
    </xf>
    <xf borderId="0" fillId="8" fontId="2" numFmtId="0" xfId="0" applyAlignment="1" applyFill="1" applyFont="1">
      <alignment vertical="center"/>
    </xf>
    <xf borderId="1" fillId="0" fontId="2" numFmtId="0" xfId="0" applyAlignment="1" applyBorder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8" fontId="12" numFmtId="0" xfId="0" applyAlignment="1" applyFill="1" applyFont="1">
      <alignment readingOrder="0" shrinkToFit="0" vertical="center" wrapText="1"/>
    </xf>
    <xf borderId="0" fillId="8" fontId="2" numFmtId="0" xfId="0" applyAlignment="1" applyFill="1" applyFont="1">
      <alignment readingOrder="0"/>
    </xf>
    <xf borderId="0" fillId="9" fontId="3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1" fillId="8" fontId="2" numFmtId="0" xfId="0" applyAlignment="1" applyBorder="1" applyFill="1" applyFont="1">
      <alignment shrinkToFit="0" vertical="center" wrapText="0"/>
    </xf>
    <xf borderId="1" fillId="10" fontId="2" numFmtId="0" xfId="0" applyAlignment="1" applyBorder="1" applyFill="1" applyFont="1">
      <alignment shrinkToFit="0" vertical="center" wrapText="0"/>
    </xf>
    <xf borderId="1" fillId="11" fontId="5" numFmtId="0" xfId="0" applyAlignment="1" applyBorder="1" applyFill="1" applyFont="1">
      <alignment horizontal="center" readingOrder="0" shrinkToFit="0" vertical="center" wrapText="0"/>
    </xf>
    <xf borderId="1" fillId="12" fontId="5" numFmtId="0" xfId="0" applyAlignment="1" applyBorder="1" applyFill="1" applyFont="1">
      <alignment horizontal="center" readingOrder="0" shrinkToFit="0" vertical="center" wrapText="0"/>
    </xf>
    <xf borderId="1" fillId="13" fontId="5" numFmtId="0" xfId="0" applyAlignment="1" applyBorder="1" applyFill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4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3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  <tableStyle count="4" pivot="0" name="Hoja 1-style 3">
      <tableStyleElement dxfId="5" type="headerRow"/>
      <tableStyleElement dxfId="2" type="firstRowStripe"/>
      <tableStyleElement dxfId="9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ables/table3.xml><?xml version="1.0" encoding="utf-8"?>
<table xmlns="http://schemas.openxmlformats.org/spreadsheetml/2006/main" ref="J34:K43" displayName="Tabla_1" name="Tabla_1" id="3">
  <tableColumns count="2">
    <tableColumn name="PAGOS YAPE" id="1"/>
    <tableColumn name="DESCRIPCION PAGO" id="2"/>
  </tableColumns>
  <tableStyleInfo name="Hoja 1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>
        <v>1.0</v>
      </c>
      <c r="C8" s="7" t="s">
        <v>7</v>
      </c>
      <c r="D8" s="6">
        <v>13.0</v>
      </c>
      <c r="E8" s="8">
        <v>46238.350560844905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>
        <v>1.0</v>
      </c>
      <c r="C9" s="7" t="s">
        <v>8</v>
      </c>
      <c r="D9" s="6">
        <v>10.0</v>
      </c>
      <c r="E9" s="8">
        <v>46238.35704775463</v>
      </c>
      <c r="F9" s="2"/>
      <c r="G9" s="9" t="s">
        <v>9</v>
      </c>
      <c r="H9" s="10">
        <v>141.0</v>
      </c>
      <c r="I9" s="2"/>
      <c r="J9" s="9" t="s">
        <v>10</v>
      </c>
      <c r="K9" s="10">
        <v>721.5</v>
      </c>
      <c r="L9" s="2"/>
      <c r="M9" s="2"/>
      <c r="N9" s="2"/>
      <c r="O9" s="2"/>
      <c r="P9" s="2"/>
      <c r="Q9" s="2"/>
    </row>
    <row r="10" ht="22.5" customHeight="1">
      <c r="A10" s="6"/>
      <c r="B10" s="6">
        <v>1.0</v>
      </c>
      <c r="C10" s="7" t="s">
        <v>11</v>
      </c>
      <c r="D10" s="6">
        <v>10.0</v>
      </c>
      <c r="E10" s="8">
        <v>46238.36880008102</v>
      </c>
      <c r="F10" s="2"/>
      <c r="G10" s="9" t="s">
        <v>12</v>
      </c>
      <c r="H10" s="10">
        <v>370.0</v>
      </c>
      <c r="I10" s="2"/>
      <c r="J10" s="9" t="s">
        <v>13</v>
      </c>
      <c r="K10" s="11">
        <f>SUM(PRINCIPAL[TOTAL])</f>
        <v>7335.8</v>
      </c>
      <c r="L10" s="2"/>
      <c r="M10" s="2"/>
      <c r="N10" s="2"/>
      <c r="O10" s="2"/>
      <c r="P10" s="2"/>
      <c r="Q10" s="2"/>
    </row>
    <row r="11" ht="22.5" customHeight="1">
      <c r="A11" s="6"/>
      <c r="B11" s="6" t="s">
        <v>14</v>
      </c>
      <c r="C11" s="7" t="s">
        <v>15</v>
      </c>
      <c r="D11" s="6">
        <v>9.0</v>
      </c>
      <c r="E11" s="8">
        <v>46238.370025428245</v>
      </c>
      <c r="F11" s="2"/>
      <c r="G11" s="9" t="s">
        <v>16</v>
      </c>
      <c r="H11" s="10">
        <v>1400.0</v>
      </c>
      <c r="I11" s="2"/>
      <c r="J11" s="9" t="s">
        <v>17</v>
      </c>
      <c r="K11" s="10"/>
      <c r="L11" s="2"/>
      <c r="M11" s="2"/>
      <c r="N11" s="2"/>
      <c r="O11" s="2"/>
      <c r="P11" s="2"/>
      <c r="Q11" s="2"/>
    </row>
    <row r="12" ht="22.5" customHeight="1">
      <c r="A12" s="6"/>
      <c r="B12" s="6" t="s">
        <v>18</v>
      </c>
      <c r="C12" s="7" t="s">
        <v>19</v>
      </c>
      <c r="D12" s="6">
        <v>35.0</v>
      </c>
      <c r="E12" s="8">
        <v>46238.37021483797</v>
      </c>
      <c r="F12" s="2"/>
      <c r="G12" s="9" t="s">
        <v>20</v>
      </c>
      <c r="H12" s="12">
        <f>SUM(G24:H361)</f>
        <v>6085.5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3"/>
      <c r="B13" s="6">
        <v>1.0</v>
      </c>
      <c r="C13" s="7" t="s">
        <v>21</v>
      </c>
      <c r="D13" s="6">
        <v>20.0</v>
      </c>
      <c r="E13" s="8">
        <v>46238.370388599535</v>
      </c>
      <c r="F13" s="2"/>
      <c r="G13" s="9" t="s">
        <v>22</v>
      </c>
      <c r="H13" s="10">
        <v>10.0</v>
      </c>
      <c r="I13" s="2"/>
      <c r="J13" s="14"/>
      <c r="K13" s="2"/>
      <c r="L13" s="2"/>
      <c r="M13" s="2"/>
      <c r="N13" s="2"/>
      <c r="O13" s="2"/>
      <c r="P13" s="2"/>
      <c r="Q13" s="2"/>
    </row>
    <row r="14" ht="22.5" customHeight="1">
      <c r="A14" s="13"/>
      <c r="B14" s="6">
        <v>1.0</v>
      </c>
      <c r="C14" s="7" t="s">
        <v>23</v>
      </c>
      <c r="D14" s="6">
        <v>28.0</v>
      </c>
      <c r="E14" s="8">
        <v>46238.374555347225</v>
      </c>
      <c r="F14" s="2"/>
      <c r="G14" s="9" t="s">
        <v>24</v>
      </c>
      <c r="H14" s="10">
        <v>90.0</v>
      </c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3"/>
      <c r="B15" s="6">
        <v>2.0</v>
      </c>
      <c r="C15" s="7" t="s">
        <v>25</v>
      </c>
      <c r="D15" s="6">
        <v>39.0</v>
      </c>
      <c r="E15" s="8">
        <v>46238.3915485301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3"/>
      <c r="B16" s="6">
        <v>3.0</v>
      </c>
      <c r="C16" s="7" t="s">
        <v>26</v>
      </c>
      <c r="D16" s="6">
        <v>36.0</v>
      </c>
      <c r="E16" s="8">
        <v>46238.39163576389</v>
      </c>
      <c r="F16" s="2"/>
      <c r="G16" s="15" t="s">
        <v>27</v>
      </c>
      <c r="H16" s="16">
        <f>SUM(H9:H14)</f>
        <v>8096.5</v>
      </c>
      <c r="I16" s="3"/>
      <c r="J16" s="15" t="s">
        <v>28</v>
      </c>
      <c r="K16" s="16">
        <f>SUM(K9:K11)</f>
        <v>8057.3</v>
      </c>
      <c r="L16" s="2"/>
      <c r="M16" s="2"/>
      <c r="N16" s="2"/>
      <c r="O16" s="2"/>
      <c r="P16" s="2"/>
      <c r="Q16" s="2"/>
    </row>
    <row r="17" ht="22.5" customHeight="1">
      <c r="A17" s="13"/>
      <c r="B17" s="6">
        <v>1.0</v>
      </c>
      <c r="C17" s="7" t="s">
        <v>29</v>
      </c>
      <c r="D17" s="6">
        <v>280.0</v>
      </c>
      <c r="E17" s="8">
        <v>46238.4234565625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3"/>
      <c r="B18" s="6">
        <v>1.0</v>
      </c>
      <c r="C18" s="7" t="s">
        <v>30</v>
      </c>
      <c r="D18" s="6">
        <v>7.0</v>
      </c>
      <c r="E18" s="8">
        <v>46238.435878530094</v>
      </c>
      <c r="F18" s="2"/>
      <c r="G18" s="17" t="str">
        <f>IF(H16-K16&lt;0,
"Dinero faltante (No se vendió algo ingresado): "&amp;TEXT(ABS(H16-K16),"#0.00"),
IF(H16-K16&gt;0,
"Dinero sobrante (No se ingresó algo): "&amp;TEXT(H16-K16,"#0.00"),
"Las cantidades son iguales"))
</f>
        <v>Dinero sobrante (No se ingresó algo): 39,20</v>
      </c>
      <c r="L18" s="2"/>
      <c r="M18" s="2"/>
      <c r="N18" s="2"/>
      <c r="O18" s="2"/>
      <c r="P18" s="2"/>
      <c r="Q18" s="2"/>
    </row>
    <row r="19" ht="22.5" customHeight="1">
      <c r="A19" s="13"/>
      <c r="B19" s="6">
        <v>1.0</v>
      </c>
      <c r="C19" s="7" t="s">
        <v>31</v>
      </c>
      <c r="D19" s="6">
        <v>15.0</v>
      </c>
      <c r="E19" s="8">
        <v>46238.44167513889</v>
      </c>
      <c r="F19" s="2"/>
      <c r="L19" s="2"/>
      <c r="M19" s="2"/>
      <c r="N19" s="2"/>
      <c r="O19" s="2"/>
      <c r="P19" s="2"/>
      <c r="Q19" s="2"/>
    </row>
    <row r="20" ht="22.5" customHeight="1">
      <c r="A20" s="13"/>
      <c r="B20" s="6">
        <v>2.0</v>
      </c>
      <c r="C20" s="7" t="s">
        <v>32</v>
      </c>
      <c r="D20" s="6">
        <v>3.0</v>
      </c>
      <c r="E20" s="8">
        <v>46238.44520447917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3"/>
      <c r="B21" s="6">
        <v>4.0</v>
      </c>
      <c r="C21" s="7" t="s">
        <v>33</v>
      </c>
      <c r="D21" s="6">
        <v>22.0</v>
      </c>
      <c r="E21" s="8">
        <v>46238.45456864583</v>
      </c>
      <c r="F21" s="2"/>
      <c r="G21" s="18"/>
      <c r="H21" s="18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3"/>
      <c r="B22" s="6">
        <v>1.0</v>
      </c>
      <c r="C22" s="7" t="s">
        <v>34</v>
      </c>
      <c r="D22" s="6">
        <v>9.0</v>
      </c>
      <c r="E22" s="8">
        <v>46238.45841420139</v>
      </c>
      <c r="F22" s="2"/>
      <c r="G22" s="18"/>
      <c r="H22" s="18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3"/>
      <c r="B23" s="6">
        <v>1.0</v>
      </c>
      <c r="C23" s="7" t="s">
        <v>35</v>
      </c>
      <c r="D23" s="6">
        <v>17.0</v>
      </c>
      <c r="E23" s="8">
        <v>46238.46010256944</v>
      </c>
      <c r="F23" s="2"/>
      <c r="G23" s="19" t="s">
        <v>36</v>
      </c>
      <c r="H23" s="19" t="s">
        <v>37</v>
      </c>
      <c r="I23" s="2"/>
      <c r="J23" s="20" t="s">
        <v>38</v>
      </c>
      <c r="L23" s="21"/>
      <c r="M23" s="2"/>
      <c r="N23" s="2"/>
      <c r="O23" s="2"/>
      <c r="P23" s="2"/>
      <c r="Q23" s="2"/>
    </row>
    <row r="24" ht="22.5" customHeight="1">
      <c r="A24" s="13"/>
      <c r="B24" s="6">
        <v>10.0</v>
      </c>
      <c r="C24" s="7" t="s">
        <v>39</v>
      </c>
      <c r="D24" s="6">
        <v>300.0</v>
      </c>
      <c r="E24" s="8">
        <v>46238.46821423611</v>
      </c>
      <c r="F24" s="2"/>
      <c r="G24" s="22">
        <v>10.0</v>
      </c>
      <c r="H24" s="22">
        <v>2120.0</v>
      </c>
      <c r="I24" s="2"/>
      <c r="J24" s="23" t="s">
        <v>40</v>
      </c>
      <c r="K24" s="24">
        <f>SUM(INGRESOS_YAPE[])</f>
        <v>6085.5</v>
      </c>
      <c r="L24" s="2"/>
      <c r="M24" s="2"/>
      <c r="N24" s="2"/>
      <c r="O24" s="2"/>
      <c r="P24" s="2"/>
      <c r="Q24" s="2"/>
    </row>
    <row r="25" ht="22.5" customHeight="1">
      <c r="A25" s="13"/>
      <c r="B25" s="6">
        <v>4.0</v>
      </c>
      <c r="C25" s="7" t="s">
        <v>41</v>
      </c>
      <c r="D25" s="6">
        <v>112.0</v>
      </c>
      <c r="E25" s="8">
        <v>46238.46836266204</v>
      </c>
      <c r="F25" s="2"/>
      <c r="G25" s="22">
        <v>64.0</v>
      </c>
      <c r="H25" s="25"/>
      <c r="I25" s="2"/>
      <c r="L25" s="2"/>
      <c r="M25" s="2"/>
      <c r="N25" s="2"/>
      <c r="O25" s="2"/>
      <c r="P25" s="2"/>
      <c r="Q25" s="2"/>
    </row>
    <row r="26" ht="22.5" customHeight="1">
      <c r="A26" s="13"/>
      <c r="B26" s="6">
        <v>10.0</v>
      </c>
      <c r="C26" s="7" t="s">
        <v>42</v>
      </c>
      <c r="D26" s="6">
        <v>130.0</v>
      </c>
      <c r="E26" s="8">
        <v>46238.46846761574</v>
      </c>
      <c r="F26" s="2"/>
      <c r="G26" s="26">
        <v>75.0</v>
      </c>
      <c r="H26" s="25"/>
      <c r="I26" s="2"/>
      <c r="J26" s="27" t="s">
        <v>43</v>
      </c>
      <c r="K26" s="28"/>
      <c r="L26" s="2"/>
      <c r="M26" s="2"/>
      <c r="N26" s="2"/>
      <c r="O26" s="2"/>
      <c r="P26" s="2"/>
      <c r="Q26" s="2"/>
    </row>
    <row r="27" ht="22.5" customHeight="1">
      <c r="A27" s="13"/>
      <c r="B27" s="6">
        <v>6.0</v>
      </c>
      <c r="C27" s="7" t="s">
        <v>44</v>
      </c>
      <c r="D27" s="6">
        <v>567.0</v>
      </c>
      <c r="E27" s="8">
        <v>46238.46861148148</v>
      </c>
      <c r="F27" s="2"/>
      <c r="G27" s="22">
        <v>280.0</v>
      </c>
      <c r="H27" s="25"/>
      <c r="I27" s="2"/>
      <c r="L27" s="2"/>
      <c r="M27" s="2"/>
      <c r="N27" s="2"/>
      <c r="O27" s="2"/>
      <c r="P27" s="2"/>
      <c r="Q27" s="2"/>
    </row>
    <row r="28" ht="22.5" customHeight="1">
      <c r="A28" s="13"/>
      <c r="B28" s="6">
        <v>24.0</v>
      </c>
      <c r="C28" s="7" t="s">
        <v>45</v>
      </c>
      <c r="D28" s="6">
        <v>624.0</v>
      </c>
      <c r="E28" s="8">
        <v>46238.46889729166</v>
      </c>
      <c r="F28" s="2"/>
      <c r="G28" s="22">
        <v>17.0</v>
      </c>
      <c r="H28" s="25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3"/>
      <c r="B29" s="6">
        <v>2.0</v>
      </c>
      <c r="C29" s="7" t="s">
        <v>46</v>
      </c>
      <c r="D29" s="6">
        <v>112.0</v>
      </c>
      <c r="E29" s="8">
        <v>46238.46929969908</v>
      </c>
      <c r="F29" s="2"/>
      <c r="G29" s="22">
        <v>173.0</v>
      </c>
      <c r="H29" s="25"/>
      <c r="I29" s="2"/>
      <c r="J29" s="29" t="str">
        <f>IF(K24-K26&lt;0, "Dinero faltante (No se vendió algo ingresado): " &amp; TEXT(ABS(K24-K26), "#0.00"), IF(K24-K26&gt;0, "Dinero sobrante (No se ingresó algo): " &amp; TEXT(K24-K26, "#0.00"), "Las cantidades son iguales"))
</f>
        <v>Dinero sobrante (No se ingresó algo): 6085,50</v>
      </c>
      <c r="L29" s="2"/>
      <c r="M29" s="2"/>
      <c r="N29" s="2"/>
      <c r="O29" s="2"/>
      <c r="P29" s="2"/>
      <c r="Q29" s="2"/>
    </row>
    <row r="30" ht="22.5" customHeight="1">
      <c r="A30" s="13"/>
      <c r="B30" s="6">
        <v>1.0</v>
      </c>
      <c r="C30" s="7" t="s">
        <v>47</v>
      </c>
      <c r="D30" s="6">
        <v>275.0</v>
      </c>
      <c r="E30" s="8">
        <v>46238.469373125</v>
      </c>
      <c r="F30" s="2"/>
      <c r="G30" s="22">
        <v>77.0</v>
      </c>
      <c r="H30" s="25"/>
      <c r="I30" s="2"/>
      <c r="L30" s="2"/>
      <c r="M30" s="2"/>
      <c r="N30" s="2"/>
      <c r="O30" s="2"/>
      <c r="P30" s="2"/>
      <c r="Q30" s="2"/>
    </row>
    <row r="31" ht="22.5" customHeight="1">
      <c r="A31" s="13"/>
      <c r="B31" s="6">
        <v>2.0</v>
      </c>
      <c r="C31" s="7" t="s">
        <v>48</v>
      </c>
      <c r="D31" s="6">
        <v>14.0</v>
      </c>
      <c r="E31" s="8">
        <v>46238.47545966435</v>
      </c>
      <c r="F31" s="2"/>
      <c r="G31" s="22">
        <v>11.5</v>
      </c>
      <c r="H31" s="25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3"/>
      <c r="B32" s="6">
        <v>2.0</v>
      </c>
      <c r="C32" s="7" t="s">
        <v>49</v>
      </c>
      <c r="D32" s="6">
        <v>14.0</v>
      </c>
      <c r="E32" s="8">
        <v>46238.47707790509</v>
      </c>
      <c r="F32" s="2"/>
      <c r="G32" s="22">
        <v>28.0</v>
      </c>
      <c r="H32" s="25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3"/>
      <c r="B33" s="6">
        <v>1.0</v>
      </c>
      <c r="C33" s="7" t="s">
        <v>50</v>
      </c>
      <c r="D33" s="6">
        <v>10.0</v>
      </c>
      <c r="E33" s="8">
        <v>46238.48511325232</v>
      </c>
      <c r="F33" s="2"/>
      <c r="G33" s="22">
        <v>249.0</v>
      </c>
      <c r="H33" s="25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3"/>
      <c r="B34" s="6">
        <v>1.0</v>
      </c>
      <c r="C34" s="7" t="s">
        <v>51</v>
      </c>
      <c r="D34" s="6">
        <v>7.0</v>
      </c>
      <c r="E34" s="8">
        <v>46238.486956608795</v>
      </c>
      <c r="F34" s="2"/>
      <c r="G34" s="22">
        <v>100.0</v>
      </c>
      <c r="H34" s="25"/>
      <c r="I34" s="2"/>
      <c r="J34" s="30" t="s">
        <v>52</v>
      </c>
      <c r="K34" s="30" t="s">
        <v>53</v>
      </c>
      <c r="L34" s="2"/>
      <c r="M34" s="2"/>
      <c r="N34" s="2"/>
      <c r="O34" s="2"/>
      <c r="P34" s="2"/>
      <c r="Q34" s="2"/>
    </row>
    <row r="35" ht="22.5" customHeight="1">
      <c r="A35" s="13"/>
      <c r="B35" s="6">
        <v>1.0</v>
      </c>
      <c r="C35" s="7" t="s">
        <v>54</v>
      </c>
      <c r="D35" s="6">
        <v>67.0</v>
      </c>
      <c r="E35" s="8">
        <v>46238.4892453125</v>
      </c>
      <c r="F35" s="2"/>
      <c r="G35" s="22">
        <v>101.0</v>
      </c>
      <c r="H35" s="25"/>
      <c r="I35" s="2"/>
      <c r="J35" s="31"/>
      <c r="K35" s="31"/>
      <c r="L35" s="2"/>
      <c r="M35" s="2"/>
      <c r="N35" s="2"/>
      <c r="O35" s="2"/>
      <c r="P35" s="2"/>
      <c r="Q35" s="2"/>
    </row>
    <row r="36" ht="22.5" customHeight="1">
      <c r="A36" s="13"/>
      <c r="B36" s="6">
        <v>15.0</v>
      </c>
      <c r="C36" s="7" t="s">
        <v>55</v>
      </c>
      <c r="D36" s="6">
        <v>60.0</v>
      </c>
      <c r="E36" s="8">
        <v>46238.490532233795</v>
      </c>
      <c r="F36" s="2"/>
      <c r="G36" s="22">
        <v>65.0</v>
      </c>
      <c r="H36" s="25"/>
      <c r="I36" s="2"/>
      <c r="J36" s="32"/>
      <c r="K36" s="32"/>
      <c r="L36" s="2"/>
      <c r="M36" s="2"/>
      <c r="N36" s="2"/>
      <c r="O36" s="2"/>
      <c r="P36" s="2"/>
      <c r="Q36" s="2"/>
    </row>
    <row r="37" ht="22.5" customHeight="1">
      <c r="A37" s="13"/>
      <c r="B37" s="6">
        <v>12.0</v>
      </c>
      <c r="C37" s="7" t="s">
        <v>56</v>
      </c>
      <c r="D37" s="6">
        <v>72.0</v>
      </c>
      <c r="E37" s="8">
        <v>46238.4905768287</v>
      </c>
      <c r="F37" s="2"/>
      <c r="G37" s="22">
        <v>42.0</v>
      </c>
      <c r="H37" s="25"/>
      <c r="I37" s="2"/>
      <c r="J37" s="31"/>
      <c r="K37" s="31"/>
      <c r="L37" s="2"/>
      <c r="M37" s="2"/>
      <c r="N37" s="2"/>
      <c r="O37" s="2"/>
      <c r="P37" s="2"/>
      <c r="Q37" s="2"/>
    </row>
    <row r="38" ht="22.5" customHeight="1">
      <c r="A38" s="13"/>
      <c r="B38" s="6">
        <v>120.0</v>
      </c>
      <c r="C38" s="7" t="s">
        <v>57</v>
      </c>
      <c r="D38" s="6">
        <v>30.0</v>
      </c>
      <c r="E38" s="8">
        <v>46238.492399826384</v>
      </c>
      <c r="F38" s="2"/>
      <c r="G38" s="22">
        <v>58.0</v>
      </c>
      <c r="H38" s="25"/>
      <c r="I38" s="2"/>
      <c r="J38" s="32"/>
      <c r="K38" s="32"/>
      <c r="L38" s="2"/>
      <c r="M38" s="2"/>
      <c r="N38" s="2"/>
      <c r="O38" s="2"/>
      <c r="P38" s="2"/>
      <c r="Q38" s="2"/>
    </row>
    <row r="39" ht="22.5" customHeight="1">
      <c r="A39" s="13"/>
      <c r="B39" s="6">
        <v>120.0</v>
      </c>
      <c r="C39" s="7" t="s">
        <v>58</v>
      </c>
      <c r="D39" s="6">
        <v>10.8</v>
      </c>
      <c r="E39" s="8">
        <v>46238.49242011574</v>
      </c>
      <c r="F39" s="2"/>
      <c r="G39" s="22">
        <v>105.0</v>
      </c>
      <c r="H39" s="25"/>
      <c r="I39" s="2"/>
      <c r="J39" s="31"/>
      <c r="K39" s="31"/>
      <c r="L39" s="2"/>
      <c r="M39" s="2"/>
      <c r="N39" s="2"/>
      <c r="O39" s="2"/>
      <c r="P39" s="2"/>
      <c r="Q39" s="2"/>
    </row>
    <row r="40" ht="22.5" customHeight="1">
      <c r="A40" s="13"/>
      <c r="B40" s="6" t="s">
        <v>59</v>
      </c>
      <c r="C40" s="7" t="s">
        <v>60</v>
      </c>
      <c r="D40" s="6">
        <v>48.0</v>
      </c>
      <c r="E40" s="8">
        <v>46238.508066898146</v>
      </c>
      <c r="F40" s="2"/>
      <c r="G40" s="22">
        <v>1922.0</v>
      </c>
      <c r="H40" s="25"/>
      <c r="I40" s="2"/>
      <c r="J40" s="32"/>
      <c r="K40" s="32"/>
      <c r="L40" s="2"/>
      <c r="M40" s="2"/>
      <c r="N40" s="2"/>
      <c r="O40" s="2"/>
      <c r="P40" s="2"/>
      <c r="Q40" s="2"/>
    </row>
    <row r="41" ht="22.5" customHeight="1">
      <c r="A41" s="13"/>
      <c r="B41" s="6">
        <v>1.0</v>
      </c>
      <c r="C41" s="7" t="s">
        <v>61</v>
      </c>
      <c r="D41" s="6">
        <v>42.0</v>
      </c>
      <c r="E41" s="8">
        <v>46238.50832775463</v>
      </c>
      <c r="F41" s="2"/>
      <c r="G41" s="22">
        <v>14.0</v>
      </c>
      <c r="H41" s="25"/>
      <c r="I41" s="2"/>
      <c r="J41" s="31"/>
      <c r="K41" s="31"/>
      <c r="L41" s="2"/>
      <c r="M41" s="2"/>
      <c r="N41" s="2"/>
      <c r="O41" s="2"/>
      <c r="P41" s="2"/>
      <c r="Q41" s="2"/>
    </row>
    <row r="42" ht="22.5" customHeight="1">
      <c r="A42" s="13"/>
      <c r="B42" s="6" t="s">
        <v>62</v>
      </c>
      <c r="C42" s="7" t="s">
        <v>63</v>
      </c>
      <c r="D42" s="6">
        <v>11.5</v>
      </c>
      <c r="E42" s="8">
        <v>46238.51411912037</v>
      </c>
      <c r="F42" s="2"/>
      <c r="G42" s="22">
        <v>14.0</v>
      </c>
      <c r="H42" s="25"/>
      <c r="I42" s="2"/>
      <c r="J42" s="32"/>
      <c r="K42" s="32"/>
      <c r="L42" s="2"/>
      <c r="M42" s="2"/>
      <c r="N42" s="2"/>
      <c r="O42" s="2"/>
      <c r="P42" s="2"/>
      <c r="Q42" s="2"/>
    </row>
    <row r="43" ht="22.5" customHeight="1">
      <c r="A43" s="13"/>
      <c r="B43" s="6">
        <v>1.0</v>
      </c>
      <c r="C43" s="7" t="s">
        <v>64</v>
      </c>
      <c r="D43" s="6">
        <v>120.0</v>
      </c>
      <c r="E43" s="8">
        <v>46238.53412332176</v>
      </c>
      <c r="F43" s="2"/>
      <c r="G43" s="22">
        <v>140.0</v>
      </c>
      <c r="H43" s="25"/>
      <c r="I43" s="2"/>
      <c r="J43" s="31"/>
      <c r="K43" s="31"/>
      <c r="L43" s="2"/>
      <c r="M43" s="2"/>
      <c r="N43" s="2"/>
      <c r="O43" s="2"/>
      <c r="P43" s="2"/>
      <c r="Q43" s="2"/>
    </row>
    <row r="44" ht="22.5" customHeight="1">
      <c r="A44" s="13"/>
      <c r="B44" s="6">
        <v>1.0</v>
      </c>
      <c r="C44" s="7" t="s">
        <v>65</v>
      </c>
      <c r="D44" s="6">
        <v>10.0</v>
      </c>
      <c r="E44" s="8">
        <v>46238.53557129629</v>
      </c>
      <c r="F44" s="2"/>
      <c r="G44" s="22">
        <v>120.0</v>
      </c>
      <c r="H44" s="25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3"/>
      <c r="B45" s="6">
        <v>1.0</v>
      </c>
      <c r="C45" s="7" t="s">
        <v>66</v>
      </c>
      <c r="D45" s="6">
        <v>9.0</v>
      </c>
      <c r="E45" s="8">
        <v>46238.552935011576</v>
      </c>
      <c r="F45" s="2"/>
      <c r="G45" s="22">
        <v>300.0</v>
      </c>
      <c r="H45" s="25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3"/>
      <c r="B46" s="6">
        <v>1.0</v>
      </c>
      <c r="C46" s="7" t="s">
        <v>67</v>
      </c>
      <c r="D46" s="6">
        <v>24.0</v>
      </c>
      <c r="E46" s="8">
        <v>46238.55301767361</v>
      </c>
      <c r="F46" s="2"/>
      <c r="G46" s="25"/>
      <c r="H46" s="25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3"/>
      <c r="B47" s="6">
        <v>1.0</v>
      </c>
      <c r="C47" s="7" t="s">
        <v>68</v>
      </c>
      <c r="D47" s="6">
        <v>18.0</v>
      </c>
      <c r="E47" s="8">
        <v>46238.55317274306</v>
      </c>
      <c r="F47" s="2"/>
      <c r="G47" s="25"/>
      <c r="H47" s="25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3"/>
      <c r="B48" s="6">
        <v>2.0</v>
      </c>
      <c r="C48" s="7" t="s">
        <v>69</v>
      </c>
      <c r="D48" s="6">
        <v>22.0</v>
      </c>
      <c r="E48" s="8">
        <v>46238.553300625004</v>
      </c>
      <c r="F48" s="2"/>
      <c r="G48" s="25"/>
      <c r="H48" s="25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3"/>
      <c r="B49" s="6">
        <v>1.0</v>
      </c>
      <c r="C49" s="7" t="s">
        <v>70</v>
      </c>
      <c r="D49" s="6">
        <v>248.0</v>
      </c>
      <c r="E49" s="8">
        <v>46238.563377314815</v>
      </c>
      <c r="F49" s="2"/>
      <c r="G49" s="25"/>
      <c r="H49" s="25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3"/>
      <c r="B50" s="6">
        <v>0.5</v>
      </c>
      <c r="C50" s="7" t="s">
        <v>71</v>
      </c>
      <c r="D50" s="6">
        <v>29.0</v>
      </c>
      <c r="E50" s="8">
        <v>46238.566237962965</v>
      </c>
      <c r="F50" s="2"/>
      <c r="G50" s="25"/>
      <c r="H50" s="25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3"/>
      <c r="B51" s="6">
        <v>1.0</v>
      </c>
      <c r="C51" s="7" t="s">
        <v>72</v>
      </c>
      <c r="D51" s="6">
        <v>15.5</v>
      </c>
      <c r="E51" s="8">
        <v>46238.574200243056</v>
      </c>
      <c r="F51" s="2"/>
      <c r="G51" s="25"/>
      <c r="H51" s="25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3"/>
      <c r="B52" s="6">
        <v>3.0</v>
      </c>
      <c r="C52" s="7" t="s">
        <v>73</v>
      </c>
      <c r="D52" s="6">
        <v>30.0</v>
      </c>
      <c r="E52" s="8">
        <v>46238.57429413195</v>
      </c>
      <c r="F52" s="2"/>
      <c r="G52" s="25"/>
      <c r="H52" s="25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3"/>
      <c r="B53" s="6">
        <v>1.0</v>
      </c>
      <c r="C53" s="7" t="s">
        <v>74</v>
      </c>
      <c r="D53" s="6">
        <v>9.0</v>
      </c>
      <c r="E53" s="8">
        <v>46238.57437017361</v>
      </c>
      <c r="F53" s="2"/>
      <c r="G53" s="25"/>
      <c r="H53" s="25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3"/>
      <c r="B54" s="6" t="s">
        <v>75</v>
      </c>
      <c r="C54" s="7" t="s">
        <v>76</v>
      </c>
      <c r="D54" s="6">
        <v>5.0</v>
      </c>
      <c r="E54" s="8">
        <v>46238.58447836805</v>
      </c>
      <c r="F54" s="2"/>
      <c r="G54" s="25"/>
      <c r="H54" s="25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3"/>
      <c r="B55" s="6">
        <v>1.0</v>
      </c>
      <c r="C55" s="7" t="s">
        <v>77</v>
      </c>
      <c r="D55" s="6">
        <v>125.0</v>
      </c>
      <c r="E55" s="8">
        <v>46238.60060362269</v>
      </c>
      <c r="F55" s="2"/>
      <c r="G55" s="25"/>
      <c r="H55" s="25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3"/>
      <c r="B56" s="6">
        <v>1.0</v>
      </c>
      <c r="C56" s="7" t="s">
        <v>78</v>
      </c>
      <c r="D56" s="6">
        <v>73.0</v>
      </c>
      <c r="E56" s="8">
        <v>46238.622391122684</v>
      </c>
      <c r="F56" s="2"/>
      <c r="G56" s="25"/>
      <c r="H56" s="25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3"/>
      <c r="B57" s="6">
        <v>1.0</v>
      </c>
      <c r="C57" s="7" t="s">
        <v>79</v>
      </c>
      <c r="D57" s="6">
        <v>21.0</v>
      </c>
      <c r="E57" s="8">
        <v>46238.6225355787</v>
      </c>
      <c r="F57" s="2"/>
      <c r="G57" s="25"/>
      <c r="H57" s="25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3"/>
      <c r="B58" s="6">
        <v>1.0</v>
      </c>
      <c r="C58" s="7" t="s">
        <v>80</v>
      </c>
      <c r="D58" s="6">
        <v>7.0</v>
      </c>
      <c r="E58" s="8">
        <v>46238.62262862269</v>
      </c>
      <c r="F58" s="2"/>
      <c r="G58" s="25"/>
      <c r="H58" s="25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3"/>
      <c r="B59" s="6">
        <v>2.0</v>
      </c>
      <c r="C59" s="7" t="s">
        <v>81</v>
      </c>
      <c r="D59" s="6">
        <v>44.0</v>
      </c>
      <c r="E59" s="8">
        <v>46238.6281056713</v>
      </c>
      <c r="F59" s="2"/>
      <c r="G59" s="25"/>
      <c r="H59" s="25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3"/>
      <c r="B60" s="6">
        <v>1.0</v>
      </c>
      <c r="C60" s="7" t="s">
        <v>82</v>
      </c>
      <c r="D60" s="6">
        <v>13.0</v>
      </c>
      <c r="E60" s="8">
        <v>46238.62815483796</v>
      </c>
      <c r="F60" s="2"/>
      <c r="G60" s="25"/>
      <c r="H60" s="25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3"/>
      <c r="B61" s="6">
        <v>1.0</v>
      </c>
      <c r="C61" s="7" t="s">
        <v>83</v>
      </c>
      <c r="D61" s="6">
        <v>20.0</v>
      </c>
      <c r="E61" s="8">
        <v>46238.62823530093</v>
      </c>
      <c r="F61" s="2"/>
      <c r="G61" s="25"/>
      <c r="H61" s="25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3"/>
      <c r="B62" s="6">
        <v>1.0</v>
      </c>
      <c r="C62" s="7" t="s">
        <v>84</v>
      </c>
      <c r="D62" s="6">
        <v>65.0</v>
      </c>
      <c r="E62" s="8">
        <v>46238.62837017361</v>
      </c>
      <c r="F62" s="2"/>
      <c r="G62" s="25"/>
      <c r="H62" s="25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3"/>
      <c r="B63" s="6">
        <v>1.0</v>
      </c>
      <c r="C63" s="7" t="s">
        <v>85</v>
      </c>
      <c r="D63" s="6">
        <v>58.0</v>
      </c>
      <c r="E63" s="8">
        <v>46238.63872916666</v>
      </c>
      <c r="F63" s="2"/>
      <c r="G63" s="25"/>
      <c r="H63" s="25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3"/>
      <c r="B64" s="6">
        <v>1.0</v>
      </c>
      <c r="C64" s="7" t="s">
        <v>86</v>
      </c>
      <c r="D64" s="6">
        <v>10.0</v>
      </c>
      <c r="E64" s="8">
        <v>46238.640161874995</v>
      </c>
      <c r="F64" s="2"/>
      <c r="G64" s="25"/>
      <c r="H64" s="25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3"/>
      <c r="B65" s="6">
        <v>1.0</v>
      </c>
      <c r="C65" s="7" t="s">
        <v>87</v>
      </c>
      <c r="D65" s="6">
        <v>20.0</v>
      </c>
      <c r="E65" s="8">
        <v>46238.64026799769</v>
      </c>
      <c r="F65" s="2"/>
      <c r="G65" s="25"/>
      <c r="H65" s="25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3"/>
      <c r="B66" s="6">
        <v>1.0</v>
      </c>
      <c r="C66" s="7" t="s">
        <v>88</v>
      </c>
      <c r="D66" s="6">
        <v>30.0</v>
      </c>
      <c r="E66" s="8">
        <v>46238.64039270833</v>
      </c>
      <c r="F66" s="2"/>
      <c r="G66" s="25"/>
      <c r="H66" s="25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3"/>
      <c r="B67" s="6">
        <v>1.0</v>
      </c>
      <c r="C67" s="7" t="s">
        <v>89</v>
      </c>
      <c r="D67" s="6">
        <v>2.0</v>
      </c>
      <c r="E67" s="8">
        <v>46238.64042130787</v>
      </c>
      <c r="F67" s="2"/>
      <c r="G67" s="25"/>
      <c r="H67" s="25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3"/>
      <c r="B68" s="6">
        <v>1.0</v>
      </c>
      <c r="C68" s="7" t="s">
        <v>90</v>
      </c>
      <c r="D68" s="6">
        <v>105.0</v>
      </c>
      <c r="E68" s="8">
        <v>46238.64268232639</v>
      </c>
      <c r="F68" s="2"/>
      <c r="G68" s="25"/>
      <c r="H68" s="25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3"/>
      <c r="B69" s="6">
        <v>1.0</v>
      </c>
      <c r="C69" s="7" t="s">
        <v>91</v>
      </c>
      <c r="D69" s="6">
        <v>212.0</v>
      </c>
      <c r="E69" s="8">
        <v>46238.64437915509</v>
      </c>
      <c r="F69" s="2"/>
      <c r="G69" s="25"/>
      <c r="H69" s="25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3"/>
      <c r="B70" s="6">
        <v>2.0</v>
      </c>
      <c r="C70" s="7" t="s">
        <v>92</v>
      </c>
      <c r="D70" s="6">
        <v>480.0</v>
      </c>
      <c r="E70" s="8">
        <v>46238.644984548606</v>
      </c>
      <c r="F70" s="2"/>
      <c r="G70" s="25"/>
      <c r="H70" s="25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3"/>
      <c r="B71" s="6">
        <v>1.0</v>
      </c>
      <c r="C71" s="7" t="s">
        <v>93</v>
      </c>
      <c r="D71" s="6">
        <v>1230.0</v>
      </c>
      <c r="E71" s="8">
        <v>46238.64523337963</v>
      </c>
      <c r="F71" s="2"/>
      <c r="G71" s="25"/>
      <c r="H71" s="25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3"/>
      <c r="B72" s="6">
        <v>1.0</v>
      </c>
      <c r="C72" s="7" t="s">
        <v>94</v>
      </c>
      <c r="D72" s="6">
        <v>82.0</v>
      </c>
      <c r="E72" s="8">
        <v>46238.650615590275</v>
      </c>
      <c r="F72" s="2"/>
      <c r="G72" s="25"/>
      <c r="H72" s="25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3"/>
      <c r="B73" s="6">
        <v>1.0</v>
      </c>
      <c r="C73" s="7" t="s">
        <v>95</v>
      </c>
      <c r="D73" s="6">
        <v>4.0</v>
      </c>
      <c r="E73" s="8">
        <v>46238.665091296294</v>
      </c>
      <c r="F73" s="2"/>
      <c r="G73" s="25"/>
      <c r="H73" s="25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3"/>
      <c r="B74" s="6">
        <v>1.0</v>
      </c>
      <c r="C74" s="7" t="s">
        <v>96</v>
      </c>
      <c r="D74" s="33">
        <v>10.0</v>
      </c>
      <c r="E74" s="8">
        <v>46238.66551196759</v>
      </c>
      <c r="F74" s="2"/>
      <c r="G74" s="25"/>
      <c r="H74" s="25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3"/>
      <c r="B75" s="6">
        <v>1.0</v>
      </c>
      <c r="C75" s="7" t="s">
        <v>97</v>
      </c>
      <c r="D75" s="6">
        <v>4.0</v>
      </c>
      <c r="E75" s="8">
        <v>46238.66557960648</v>
      </c>
      <c r="F75" s="2"/>
      <c r="G75" s="25"/>
      <c r="H75" s="25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3"/>
      <c r="B76" s="6">
        <v>6.0</v>
      </c>
      <c r="C76" s="7" t="s">
        <v>98</v>
      </c>
      <c r="D76" s="6">
        <v>3.0</v>
      </c>
      <c r="E76" s="8">
        <v>46238.666930694446</v>
      </c>
      <c r="F76" s="2"/>
      <c r="G76" s="25"/>
      <c r="H76" s="25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3"/>
      <c r="B77" s="6">
        <v>6.0</v>
      </c>
      <c r="C77" s="7" t="s">
        <v>99</v>
      </c>
      <c r="D77" s="6">
        <v>1.0</v>
      </c>
      <c r="E77" s="8">
        <v>46238.66700199074</v>
      </c>
      <c r="F77" s="2"/>
      <c r="G77" s="25"/>
      <c r="H77" s="25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3"/>
      <c r="B78" s="6">
        <v>1.0</v>
      </c>
      <c r="C78" s="7" t="s">
        <v>100</v>
      </c>
      <c r="D78" s="6">
        <v>43.0</v>
      </c>
      <c r="E78" s="8">
        <v>46238.67630653935</v>
      </c>
      <c r="F78" s="2"/>
      <c r="G78" s="25"/>
      <c r="H78" s="25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3"/>
      <c r="B79" s="6">
        <v>1.0</v>
      </c>
      <c r="C79" s="7" t="s">
        <v>101</v>
      </c>
      <c r="D79" s="6">
        <v>7.0</v>
      </c>
      <c r="E79" s="8">
        <v>46238.68030403936</v>
      </c>
      <c r="F79" s="2"/>
      <c r="G79" s="25"/>
      <c r="H79" s="25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3"/>
      <c r="B80" s="6">
        <v>1.0</v>
      </c>
      <c r="C80" s="7" t="s">
        <v>102</v>
      </c>
      <c r="D80" s="6">
        <v>8.0</v>
      </c>
      <c r="E80" s="8">
        <v>46238.68023195602</v>
      </c>
      <c r="F80" s="2"/>
      <c r="G80" s="25"/>
      <c r="H80" s="25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3"/>
      <c r="B81" s="6">
        <v>1.0</v>
      </c>
      <c r="C81" s="7" t="s">
        <v>103</v>
      </c>
      <c r="D81" s="6">
        <v>5.0</v>
      </c>
      <c r="E81" s="8">
        <v>46238.68019986111</v>
      </c>
      <c r="F81" s="2"/>
      <c r="G81" s="25"/>
      <c r="H81" s="25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3"/>
      <c r="B82" s="6">
        <v>1.0</v>
      </c>
      <c r="C82" s="7" t="s">
        <v>104</v>
      </c>
      <c r="D82" s="33">
        <v>68.0</v>
      </c>
      <c r="E82" s="8">
        <v>46238.68933444444</v>
      </c>
      <c r="F82" s="2"/>
      <c r="G82" s="25"/>
      <c r="H82" s="25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3"/>
      <c r="B83" s="6">
        <v>1.0</v>
      </c>
      <c r="C83" s="7" t="s">
        <v>105</v>
      </c>
      <c r="D83" s="33">
        <v>15.0</v>
      </c>
      <c r="E83" s="8">
        <v>46238.69034054398</v>
      </c>
      <c r="F83" s="2"/>
      <c r="G83" s="25"/>
      <c r="H83" s="25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3"/>
      <c r="B84" s="6">
        <v>1.0</v>
      </c>
      <c r="C84" s="7" t="s">
        <v>106</v>
      </c>
      <c r="D84" s="6">
        <v>9.0</v>
      </c>
      <c r="E84" s="8">
        <v>46238.69197555556</v>
      </c>
      <c r="F84" s="2"/>
      <c r="G84" s="25"/>
      <c r="H84" s="25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3"/>
      <c r="B85" s="6">
        <v>1.0</v>
      </c>
      <c r="C85" s="7" t="s">
        <v>107</v>
      </c>
      <c r="D85" s="34">
        <v>7.0</v>
      </c>
      <c r="E85" s="8">
        <v>46238.69214226852</v>
      </c>
      <c r="F85" s="2"/>
      <c r="G85" s="25"/>
      <c r="H85" s="25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3"/>
      <c r="B86" s="6">
        <v>1.0</v>
      </c>
      <c r="C86" s="7" t="s">
        <v>108</v>
      </c>
      <c r="D86" s="6">
        <v>140.0</v>
      </c>
      <c r="E86" s="8">
        <v>46238.70791054398</v>
      </c>
      <c r="F86" s="2"/>
      <c r="G86" s="25"/>
      <c r="H86" s="25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3"/>
      <c r="B87" s="6">
        <v>1.0</v>
      </c>
      <c r="C87" s="7" t="s">
        <v>109</v>
      </c>
      <c r="D87" s="35">
        <v>14.0</v>
      </c>
      <c r="E87" s="8">
        <v>46238.71067207176</v>
      </c>
      <c r="F87" s="2"/>
      <c r="G87" s="25"/>
      <c r="H87" s="25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3"/>
      <c r="B88" s="6">
        <v>1.0</v>
      </c>
      <c r="C88" s="7" t="s">
        <v>110</v>
      </c>
      <c r="D88" s="6">
        <v>8.0</v>
      </c>
      <c r="E88" s="8">
        <v>46238.71823662037</v>
      </c>
      <c r="F88" s="2"/>
      <c r="G88" s="25"/>
      <c r="H88" s="25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3"/>
      <c r="B89" s="6">
        <v>1.0</v>
      </c>
      <c r="C89" s="7" t="s">
        <v>111</v>
      </c>
      <c r="D89" s="6">
        <v>120.0</v>
      </c>
      <c r="E89" s="8">
        <v>46238.73191097222</v>
      </c>
      <c r="F89" s="2"/>
      <c r="G89" s="25"/>
      <c r="H89" s="25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3"/>
      <c r="B90" s="6">
        <v>2.0</v>
      </c>
      <c r="C90" s="7" t="s">
        <v>112</v>
      </c>
      <c r="D90" s="6">
        <v>40.0</v>
      </c>
      <c r="E90" s="8">
        <v>46238.745008645834</v>
      </c>
      <c r="F90" s="2"/>
      <c r="G90" s="25"/>
      <c r="H90" s="25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3"/>
      <c r="B91" s="6">
        <v>2.0</v>
      </c>
      <c r="C91" s="7" t="s">
        <v>113</v>
      </c>
      <c r="D91" s="6">
        <v>13.0</v>
      </c>
      <c r="E91" s="8">
        <v>46238.75177805556</v>
      </c>
      <c r="F91" s="2"/>
      <c r="G91" s="25"/>
      <c r="H91" s="25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3"/>
      <c r="B92" s="6">
        <v>2.0</v>
      </c>
      <c r="C92" s="7" t="s">
        <v>95</v>
      </c>
      <c r="D92" s="6">
        <v>20.0</v>
      </c>
      <c r="E92" s="8">
        <v>46238.751821365746</v>
      </c>
      <c r="F92" s="2"/>
      <c r="G92" s="25"/>
      <c r="H92" s="25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3"/>
      <c r="B93" s="6">
        <v>1.0</v>
      </c>
      <c r="C93" s="7" t="s">
        <v>114</v>
      </c>
      <c r="D93" s="6">
        <v>7.0</v>
      </c>
      <c r="E93" s="8">
        <v>46238.751984305556</v>
      </c>
      <c r="F93" s="2"/>
      <c r="G93" s="25"/>
      <c r="H93" s="25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3"/>
      <c r="B94" s="6">
        <v>1.0</v>
      </c>
      <c r="C94" s="7" t="s">
        <v>115</v>
      </c>
      <c r="D94" s="6">
        <v>3.0</v>
      </c>
      <c r="E94" s="8">
        <v>46238.75201362268</v>
      </c>
      <c r="F94" s="2"/>
      <c r="G94" s="25"/>
      <c r="H94" s="25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3"/>
      <c r="B95" s="6">
        <v>1.0</v>
      </c>
      <c r="C95" s="7" t="s">
        <v>116</v>
      </c>
      <c r="D95" s="6">
        <v>31.0</v>
      </c>
      <c r="E95" s="8">
        <v>46238.752570937504</v>
      </c>
      <c r="F95" s="2"/>
      <c r="G95" s="25"/>
      <c r="H95" s="25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3"/>
      <c r="B96" s="6">
        <v>1.0</v>
      </c>
      <c r="C96" s="7" t="s">
        <v>117</v>
      </c>
      <c r="D96" s="6">
        <v>248.0</v>
      </c>
      <c r="E96" s="8">
        <v>46238.75236291667</v>
      </c>
      <c r="F96" s="2"/>
      <c r="G96" s="25"/>
      <c r="H96" s="25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3"/>
      <c r="B97" s="6">
        <v>1.0</v>
      </c>
      <c r="C97" s="7" t="s">
        <v>118</v>
      </c>
      <c r="D97" s="6">
        <v>12.0</v>
      </c>
      <c r="E97" s="8">
        <v>46238.7531729051</v>
      </c>
      <c r="F97" s="2"/>
      <c r="G97" s="25"/>
      <c r="H97" s="25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3"/>
      <c r="B98" s="6">
        <v>4.0</v>
      </c>
      <c r="C98" s="7" t="s">
        <v>119</v>
      </c>
      <c r="D98" s="6">
        <v>300.0</v>
      </c>
      <c r="E98" s="8">
        <v>46238.75266675926</v>
      </c>
      <c r="F98" s="2"/>
      <c r="G98" s="25"/>
      <c r="H98" s="25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3"/>
      <c r="B99" s="13"/>
      <c r="C99" s="36"/>
      <c r="D99" s="37"/>
      <c r="E99" s="38"/>
      <c r="F99" s="2"/>
      <c r="G99" s="25"/>
      <c r="H99" s="25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3"/>
      <c r="B100" s="13"/>
      <c r="C100" s="36"/>
      <c r="D100" s="37"/>
      <c r="E100" s="38"/>
      <c r="F100" s="2"/>
      <c r="G100" s="25"/>
      <c r="H100" s="25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3"/>
      <c r="B101" s="13"/>
      <c r="C101" s="36"/>
      <c r="D101" s="37"/>
      <c r="E101" s="38"/>
      <c r="F101" s="2"/>
      <c r="G101" s="25"/>
      <c r="H101" s="25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3"/>
      <c r="B102" s="13"/>
      <c r="C102" s="36"/>
      <c r="D102" s="37"/>
      <c r="E102" s="38"/>
      <c r="F102" s="2"/>
      <c r="G102" s="25"/>
      <c r="H102" s="25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3"/>
      <c r="B103" s="13"/>
      <c r="C103" s="36"/>
      <c r="D103" s="37"/>
      <c r="E103" s="38"/>
      <c r="F103" s="2"/>
      <c r="G103" s="25"/>
      <c r="H103" s="25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3"/>
      <c r="B104" s="13"/>
      <c r="C104" s="36"/>
      <c r="D104" s="37"/>
      <c r="E104" s="38"/>
      <c r="F104" s="2"/>
      <c r="G104" s="25"/>
      <c r="H104" s="25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3"/>
      <c r="B105" s="13"/>
      <c r="C105" s="36"/>
      <c r="D105" s="37"/>
      <c r="E105" s="38"/>
      <c r="F105" s="2"/>
      <c r="G105" s="25"/>
      <c r="H105" s="25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3"/>
      <c r="B106" s="13"/>
      <c r="C106" s="36"/>
      <c r="D106" s="37"/>
      <c r="E106" s="38"/>
      <c r="F106" s="2"/>
      <c r="G106" s="25"/>
      <c r="H106" s="25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3"/>
      <c r="B107" s="13"/>
      <c r="C107" s="36"/>
      <c r="D107" s="37"/>
      <c r="E107" s="38"/>
      <c r="F107" s="2"/>
      <c r="G107" s="25"/>
      <c r="H107" s="25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3"/>
      <c r="B108" s="13"/>
      <c r="C108" s="36"/>
      <c r="D108" s="37"/>
      <c r="E108" s="38"/>
      <c r="F108" s="2"/>
      <c r="G108" s="25"/>
      <c r="H108" s="25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3"/>
      <c r="B109" s="13"/>
      <c r="C109" s="36"/>
      <c r="D109" s="37"/>
      <c r="E109" s="38"/>
      <c r="F109" s="2"/>
      <c r="G109" s="25"/>
      <c r="H109" s="25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3"/>
      <c r="B110" s="13"/>
      <c r="C110" s="36"/>
      <c r="D110" s="37"/>
      <c r="E110" s="38"/>
      <c r="F110" s="2"/>
      <c r="G110" s="25"/>
      <c r="H110" s="25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3"/>
      <c r="B111" s="13"/>
      <c r="C111" s="36"/>
      <c r="D111" s="37"/>
      <c r="E111" s="38"/>
      <c r="F111" s="2"/>
      <c r="G111" s="25"/>
      <c r="H111" s="25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3"/>
      <c r="B112" s="13"/>
      <c r="C112" s="36"/>
      <c r="D112" s="37"/>
      <c r="E112" s="38"/>
      <c r="F112" s="2"/>
      <c r="G112" s="25"/>
      <c r="H112" s="25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3"/>
      <c r="B113" s="13"/>
      <c r="C113" s="36"/>
      <c r="D113" s="37"/>
      <c r="E113" s="38"/>
      <c r="F113" s="2"/>
      <c r="G113" s="25"/>
      <c r="H113" s="25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3"/>
      <c r="B114" s="13"/>
      <c r="C114" s="36"/>
      <c r="D114" s="37"/>
      <c r="E114" s="38"/>
      <c r="F114" s="2"/>
      <c r="G114" s="25"/>
      <c r="H114" s="25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3"/>
      <c r="B115" s="13"/>
      <c r="C115" s="36"/>
      <c r="D115" s="37"/>
      <c r="E115" s="38"/>
      <c r="F115" s="2"/>
      <c r="G115" s="25"/>
      <c r="H115" s="25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3"/>
      <c r="B116" s="13"/>
      <c r="C116" s="36"/>
      <c r="D116" s="37"/>
      <c r="E116" s="38"/>
      <c r="F116" s="2"/>
      <c r="G116" s="25"/>
      <c r="H116" s="25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3"/>
      <c r="B117" s="13"/>
      <c r="C117" s="36"/>
      <c r="D117" s="37"/>
      <c r="E117" s="38"/>
      <c r="F117" s="2"/>
      <c r="G117" s="25"/>
      <c r="H117" s="25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3"/>
      <c r="B118" s="13"/>
      <c r="C118" s="36"/>
      <c r="D118" s="37"/>
      <c r="E118" s="38"/>
      <c r="F118" s="2"/>
      <c r="G118" s="25"/>
      <c r="H118" s="25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3"/>
      <c r="B119" s="13"/>
      <c r="C119" s="36"/>
      <c r="D119" s="37"/>
      <c r="E119" s="38"/>
      <c r="F119" s="2"/>
      <c r="G119" s="25"/>
      <c r="H119" s="25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3"/>
      <c r="B120" s="13"/>
      <c r="C120" s="36"/>
      <c r="D120" s="37"/>
      <c r="E120" s="38"/>
      <c r="F120" s="2"/>
      <c r="G120" s="25"/>
      <c r="H120" s="25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3"/>
      <c r="B121" s="13"/>
      <c r="C121" s="36"/>
      <c r="D121" s="37"/>
      <c r="E121" s="38"/>
      <c r="F121" s="2"/>
      <c r="G121" s="25"/>
      <c r="H121" s="25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3"/>
      <c r="B122" s="13"/>
      <c r="C122" s="36"/>
      <c r="D122" s="37"/>
      <c r="E122" s="38"/>
      <c r="F122" s="2"/>
      <c r="G122" s="25"/>
      <c r="H122" s="25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3"/>
      <c r="B123" s="13"/>
      <c r="C123" s="36"/>
      <c r="D123" s="37"/>
      <c r="E123" s="38"/>
      <c r="F123" s="2"/>
      <c r="G123" s="25"/>
      <c r="H123" s="25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3"/>
      <c r="B124" s="13"/>
      <c r="C124" s="36"/>
      <c r="D124" s="37"/>
      <c r="E124" s="38"/>
      <c r="F124" s="2"/>
      <c r="G124" s="25"/>
      <c r="H124" s="25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3"/>
      <c r="B125" s="13"/>
      <c r="C125" s="36"/>
      <c r="D125" s="37"/>
      <c r="E125" s="38"/>
      <c r="F125" s="2"/>
      <c r="G125" s="25"/>
      <c r="H125" s="25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3"/>
      <c r="B126" s="13"/>
      <c r="C126" s="36"/>
      <c r="D126" s="37"/>
      <c r="E126" s="38"/>
      <c r="F126" s="2"/>
      <c r="G126" s="25"/>
      <c r="H126" s="25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3"/>
      <c r="B127" s="13"/>
      <c r="C127" s="36"/>
      <c r="D127" s="37"/>
      <c r="E127" s="38"/>
      <c r="F127" s="2"/>
      <c r="G127" s="25"/>
      <c r="H127" s="25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3"/>
      <c r="B128" s="13"/>
      <c r="C128" s="36"/>
      <c r="D128" s="37"/>
      <c r="E128" s="38"/>
      <c r="F128" s="2"/>
      <c r="G128" s="25"/>
      <c r="H128" s="25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3"/>
      <c r="B129" s="13"/>
      <c r="C129" s="36"/>
      <c r="D129" s="37"/>
      <c r="E129" s="38"/>
      <c r="F129" s="2"/>
      <c r="G129" s="25"/>
      <c r="H129" s="25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3"/>
      <c r="B130" s="13"/>
      <c r="C130" s="36"/>
      <c r="D130" s="37"/>
      <c r="E130" s="38"/>
      <c r="F130" s="2"/>
      <c r="G130" s="25"/>
      <c r="H130" s="25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3"/>
      <c r="B131" s="13"/>
      <c r="C131" s="36"/>
      <c r="D131" s="37"/>
      <c r="E131" s="38"/>
      <c r="F131" s="2"/>
      <c r="G131" s="25"/>
      <c r="H131" s="25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3"/>
      <c r="B132" s="13"/>
      <c r="C132" s="36"/>
      <c r="D132" s="37"/>
      <c r="E132" s="38"/>
      <c r="F132" s="2"/>
      <c r="G132" s="25"/>
      <c r="H132" s="25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3"/>
      <c r="B133" s="13"/>
      <c r="C133" s="36"/>
      <c r="D133" s="37"/>
      <c r="E133" s="38"/>
      <c r="F133" s="2"/>
      <c r="G133" s="25"/>
      <c r="H133" s="25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3"/>
      <c r="B134" s="13"/>
      <c r="C134" s="36"/>
      <c r="D134" s="37"/>
      <c r="E134" s="38"/>
      <c r="F134" s="2"/>
      <c r="G134" s="25"/>
      <c r="H134" s="25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3"/>
      <c r="B135" s="13"/>
      <c r="C135" s="36"/>
      <c r="D135" s="37"/>
      <c r="E135" s="38"/>
      <c r="F135" s="2"/>
      <c r="G135" s="25"/>
      <c r="H135" s="25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3"/>
      <c r="B136" s="13"/>
      <c r="C136" s="36"/>
      <c r="D136" s="37"/>
      <c r="E136" s="38"/>
      <c r="F136" s="2"/>
      <c r="G136" s="25"/>
      <c r="H136" s="25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3"/>
      <c r="B137" s="13"/>
      <c r="C137" s="36"/>
      <c r="D137" s="37"/>
      <c r="E137" s="38"/>
      <c r="F137" s="2"/>
      <c r="G137" s="25"/>
      <c r="H137" s="25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3"/>
      <c r="B138" s="13"/>
      <c r="C138" s="36"/>
      <c r="D138" s="37"/>
      <c r="E138" s="38"/>
      <c r="F138" s="2"/>
      <c r="G138" s="25"/>
      <c r="H138" s="25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3"/>
      <c r="B139" s="13"/>
      <c r="C139" s="36"/>
      <c r="D139" s="37"/>
      <c r="E139" s="38"/>
      <c r="F139" s="2"/>
      <c r="G139" s="25"/>
      <c r="H139" s="25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3"/>
      <c r="B140" s="13"/>
      <c r="C140" s="36"/>
      <c r="D140" s="37"/>
      <c r="E140" s="38"/>
      <c r="F140" s="2"/>
      <c r="G140" s="25"/>
      <c r="H140" s="25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3"/>
      <c r="B141" s="13"/>
      <c r="C141" s="36"/>
      <c r="D141" s="37"/>
      <c r="E141" s="38"/>
      <c r="F141" s="2"/>
      <c r="G141" s="25"/>
      <c r="H141" s="25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3"/>
      <c r="B142" s="13"/>
      <c r="C142" s="36"/>
      <c r="D142" s="37"/>
      <c r="E142" s="38"/>
      <c r="F142" s="2"/>
      <c r="G142" s="25"/>
      <c r="H142" s="25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3"/>
      <c r="B143" s="13"/>
      <c r="C143" s="36"/>
      <c r="D143" s="37"/>
      <c r="E143" s="38"/>
      <c r="F143" s="2"/>
      <c r="G143" s="25"/>
      <c r="H143" s="25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3"/>
      <c r="B144" s="13"/>
      <c r="C144" s="36"/>
      <c r="D144" s="37"/>
      <c r="E144" s="38"/>
      <c r="F144" s="2"/>
      <c r="G144" s="25"/>
      <c r="H144" s="25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3"/>
      <c r="B145" s="13"/>
      <c r="C145" s="36"/>
      <c r="D145" s="37"/>
      <c r="E145" s="38"/>
      <c r="F145" s="2"/>
      <c r="G145" s="25"/>
      <c r="H145" s="25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3"/>
      <c r="B146" s="13"/>
      <c r="C146" s="36"/>
      <c r="D146" s="37"/>
      <c r="E146" s="38"/>
      <c r="F146" s="2"/>
      <c r="G146" s="25"/>
      <c r="H146" s="25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3"/>
      <c r="B147" s="13"/>
      <c r="C147" s="36"/>
      <c r="D147" s="37"/>
      <c r="E147" s="38"/>
      <c r="F147" s="2"/>
      <c r="G147" s="25"/>
      <c r="H147" s="25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3"/>
      <c r="B148" s="13"/>
      <c r="C148" s="36"/>
      <c r="D148" s="37"/>
      <c r="E148" s="38"/>
      <c r="F148" s="2"/>
      <c r="G148" s="25"/>
      <c r="H148" s="25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3"/>
      <c r="B149" s="13"/>
      <c r="C149" s="36"/>
      <c r="D149" s="37"/>
      <c r="E149" s="38"/>
      <c r="F149" s="2"/>
      <c r="G149" s="25"/>
      <c r="H149" s="25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3"/>
      <c r="B150" s="13"/>
      <c r="C150" s="36"/>
      <c r="D150" s="37"/>
      <c r="E150" s="38"/>
      <c r="F150" s="2"/>
      <c r="G150" s="25"/>
      <c r="H150" s="25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3"/>
      <c r="B151" s="13"/>
      <c r="C151" s="36"/>
      <c r="D151" s="37"/>
      <c r="E151" s="38"/>
      <c r="F151" s="2"/>
      <c r="G151" s="25"/>
      <c r="H151" s="25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3"/>
      <c r="B152" s="13"/>
      <c r="C152" s="36"/>
      <c r="D152" s="37"/>
      <c r="E152" s="38"/>
      <c r="F152" s="2"/>
      <c r="G152" s="25"/>
      <c r="H152" s="25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3"/>
      <c r="B153" s="13"/>
      <c r="C153" s="36"/>
      <c r="D153" s="37"/>
      <c r="E153" s="38"/>
      <c r="F153" s="2"/>
      <c r="G153" s="25"/>
      <c r="H153" s="25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3"/>
      <c r="B154" s="13"/>
      <c r="C154" s="36"/>
      <c r="D154" s="37"/>
      <c r="E154" s="38"/>
      <c r="F154" s="2"/>
      <c r="G154" s="25"/>
      <c r="H154" s="25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3"/>
      <c r="B155" s="13"/>
      <c r="C155" s="36"/>
      <c r="D155" s="37"/>
      <c r="E155" s="38"/>
      <c r="F155" s="2"/>
      <c r="G155" s="25"/>
      <c r="H155" s="25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3"/>
      <c r="B156" s="13"/>
      <c r="C156" s="36"/>
      <c r="D156" s="37"/>
      <c r="E156" s="38"/>
      <c r="F156" s="2"/>
      <c r="G156" s="25"/>
      <c r="H156" s="25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3"/>
      <c r="B157" s="13"/>
      <c r="C157" s="36"/>
      <c r="D157" s="37"/>
      <c r="E157" s="38"/>
      <c r="F157" s="2"/>
      <c r="G157" s="25"/>
      <c r="H157" s="25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3"/>
      <c r="B158" s="13"/>
      <c r="C158" s="36"/>
      <c r="D158" s="37"/>
      <c r="E158" s="38"/>
      <c r="F158" s="2"/>
      <c r="G158" s="25"/>
      <c r="H158" s="25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3"/>
      <c r="B159" s="13"/>
      <c r="C159" s="36"/>
      <c r="D159" s="37"/>
      <c r="E159" s="38"/>
      <c r="F159" s="2"/>
      <c r="G159" s="25"/>
      <c r="H159" s="25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3"/>
      <c r="B160" s="13"/>
      <c r="C160" s="36"/>
      <c r="D160" s="37"/>
      <c r="E160" s="38"/>
      <c r="F160" s="2"/>
      <c r="G160" s="25"/>
      <c r="H160" s="25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3"/>
      <c r="B161" s="13"/>
      <c r="C161" s="36"/>
      <c r="D161" s="37"/>
      <c r="E161" s="38"/>
      <c r="F161" s="2"/>
      <c r="G161" s="25"/>
      <c r="H161" s="25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3"/>
      <c r="B162" s="13"/>
      <c r="C162" s="36"/>
      <c r="D162" s="37"/>
      <c r="E162" s="38"/>
      <c r="F162" s="2"/>
      <c r="G162" s="25"/>
      <c r="H162" s="25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3"/>
      <c r="B163" s="13"/>
      <c r="C163" s="36"/>
      <c r="D163" s="37"/>
      <c r="E163" s="38"/>
      <c r="F163" s="2"/>
      <c r="G163" s="25"/>
      <c r="H163" s="25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3"/>
      <c r="B164" s="13"/>
      <c r="C164" s="36"/>
      <c r="D164" s="37"/>
      <c r="E164" s="38"/>
      <c r="F164" s="2"/>
      <c r="G164" s="25"/>
      <c r="H164" s="25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3"/>
      <c r="B165" s="13"/>
      <c r="C165" s="36"/>
      <c r="D165" s="37"/>
      <c r="E165" s="38"/>
      <c r="F165" s="2"/>
      <c r="G165" s="25"/>
      <c r="H165" s="25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3"/>
      <c r="B166" s="13"/>
      <c r="C166" s="36"/>
      <c r="D166" s="37"/>
      <c r="E166" s="38"/>
      <c r="F166" s="2"/>
      <c r="G166" s="25"/>
      <c r="H166" s="25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3"/>
      <c r="B167" s="13"/>
      <c r="C167" s="36"/>
      <c r="D167" s="37"/>
      <c r="E167" s="38"/>
      <c r="F167" s="2"/>
      <c r="G167" s="25"/>
      <c r="H167" s="25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3"/>
      <c r="B168" s="13"/>
      <c r="C168" s="36"/>
      <c r="D168" s="37"/>
      <c r="E168" s="38"/>
      <c r="F168" s="2"/>
      <c r="G168" s="25"/>
      <c r="H168" s="25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3"/>
      <c r="B169" s="13"/>
      <c r="C169" s="36"/>
      <c r="D169" s="37"/>
      <c r="E169" s="38"/>
      <c r="F169" s="2"/>
      <c r="G169" s="25"/>
      <c r="H169" s="25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3"/>
      <c r="B170" s="13"/>
      <c r="C170" s="36"/>
      <c r="D170" s="37"/>
      <c r="E170" s="38"/>
      <c r="F170" s="2"/>
      <c r="G170" s="25"/>
      <c r="H170" s="25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3"/>
      <c r="B171" s="13"/>
      <c r="C171" s="36"/>
      <c r="D171" s="37"/>
      <c r="E171" s="38"/>
      <c r="F171" s="2"/>
      <c r="G171" s="25"/>
      <c r="H171" s="25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3"/>
      <c r="B172" s="13"/>
      <c r="C172" s="36"/>
      <c r="D172" s="37"/>
      <c r="E172" s="38"/>
      <c r="F172" s="2"/>
      <c r="G172" s="25"/>
      <c r="H172" s="25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3"/>
      <c r="B173" s="13"/>
      <c r="C173" s="36"/>
      <c r="D173" s="37"/>
      <c r="E173" s="38"/>
      <c r="F173" s="2"/>
      <c r="G173" s="25"/>
      <c r="H173" s="25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3"/>
      <c r="B174" s="13"/>
      <c r="C174" s="36"/>
      <c r="D174" s="37"/>
      <c r="E174" s="38"/>
      <c r="F174" s="2"/>
      <c r="G174" s="25"/>
      <c r="H174" s="25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3"/>
      <c r="B175" s="13"/>
      <c r="C175" s="36"/>
      <c r="D175" s="37"/>
      <c r="E175" s="38"/>
      <c r="F175" s="2"/>
      <c r="G175" s="25"/>
      <c r="H175" s="25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3"/>
      <c r="B176" s="13"/>
      <c r="C176" s="36"/>
      <c r="D176" s="37"/>
      <c r="E176" s="38"/>
      <c r="F176" s="2"/>
      <c r="G176" s="25"/>
      <c r="H176" s="25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3"/>
      <c r="B177" s="13"/>
      <c r="C177" s="36"/>
      <c r="D177" s="37"/>
      <c r="E177" s="38"/>
      <c r="F177" s="2"/>
      <c r="G177" s="25"/>
      <c r="H177" s="25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3"/>
      <c r="B178" s="13"/>
      <c r="C178" s="36"/>
      <c r="D178" s="37"/>
      <c r="E178" s="38"/>
      <c r="F178" s="2"/>
      <c r="G178" s="25"/>
      <c r="H178" s="25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3"/>
      <c r="B179" s="13"/>
      <c r="C179" s="36"/>
      <c r="D179" s="37"/>
      <c r="E179" s="38"/>
      <c r="F179" s="2"/>
      <c r="G179" s="25"/>
      <c r="H179" s="25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3"/>
      <c r="B180" s="13"/>
      <c r="C180" s="36"/>
      <c r="D180" s="37"/>
      <c r="E180" s="38"/>
      <c r="F180" s="2"/>
      <c r="G180" s="25"/>
      <c r="H180" s="25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3"/>
      <c r="B181" s="13"/>
      <c r="C181" s="36"/>
      <c r="D181" s="37"/>
      <c r="E181" s="38"/>
      <c r="F181" s="2"/>
      <c r="G181" s="25"/>
      <c r="H181" s="25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3"/>
      <c r="B182" s="13"/>
      <c r="C182" s="36"/>
      <c r="D182" s="37"/>
      <c r="E182" s="38"/>
      <c r="F182" s="2"/>
      <c r="G182" s="25"/>
      <c r="H182" s="25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3"/>
      <c r="B183" s="13"/>
      <c r="C183" s="36"/>
      <c r="D183" s="37"/>
      <c r="E183" s="38"/>
      <c r="F183" s="2"/>
      <c r="G183" s="25"/>
      <c r="H183" s="25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3"/>
      <c r="B184" s="13"/>
      <c r="C184" s="36"/>
      <c r="D184" s="37"/>
      <c r="E184" s="38"/>
      <c r="F184" s="2"/>
      <c r="G184" s="25"/>
      <c r="H184" s="25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3"/>
      <c r="B185" s="13"/>
      <c r="C185" s="36"/>
      <c r="D185" s="37"/>
      <c r="E185" s="38"/>
      <c r="F185" s="2"/>
      <c r="G185" s="25"/>
      <c r="H185" s="25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3"/>
      <c r="B186" s="13"/>
      <c r="C186" s="36"/>
      <c r="D186" s="37"/>
      <c r="E186" s="38"/>
      <c r="F186" s="2"/>
      <c r="G186" s="25"/>
      <c r="H186" s="25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3"/>
      <c r="B187" s="13"/>
      <c r="C187" s="36"/>
      <c r="D187" s="37"/>
      <c r="E187" s="38"/>
      <c r="F187" s="2"/>
      <c r="G187" s="25"/>
      <c r="H187" s="25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3"/>
      <c r="B188" s="13"/>
      <c r="C188" s="36"/>
      <c r="D188" s="37"/>
      <c r="E188" s="38"/>
      <c r="F188" s="2"/>
      <c r="G188" s="25"/>
      <c r="H188" s="25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3"/>
      <c r="B189" s="13"/>
      <c r="C189" s="36"/>
      <c r="D189" s="37"/>
      <c r="E189" s="38"/>
      <c r="F189" s="2"/>
      <c r="G189" s="25"/>
      <c r="H189" s="25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3"/>
      <c r="B190" s="13"/>
      <c r="C190" s="36"/>
      <c r="D190" s="37"/>
      <c r="E190" s="38"/>
      <c r="F190" s="2"/>
      <c r="G190" s="25"/>
      <c r="H190" s="25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3"/>
      <c r="B191" s="13"/>
      <c r="C191" s="36"/>
      <c r="D191" s="37"/>
      <c r="E191" s="38"/>
      <c r="F191" s="2"/>
      <c r="G191" s="25"/>
      <c r="H191" s="25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3"/>
      <c r="B192" s="13"/>
      <c r="C192" s="36"/>
      <c r="D192" s="37"/>
      <c r="E192" s="38"/>
      <c r="F192" s="2"/>
      <c r="G192" s="25"/>
      <c r="H192" s="25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3"/>
      <c r="B193" s="13"/>
      <c r="C193" s="36"/>
      <c r="D193" s="37"/>
      <c r="E193" s="38"/>
      <c r="F193" s="2"/>
      <c r="G193" s="25"/>
      <c r="H193" s="25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3"/>
      <c r="B194" s="13"/>
      <c r="C194" s="36"/>
      <c r="D194" s="37"/>
      <c r="E194" s="38"/>
      <c r="F194" s="2"/>
      <c r="G194" s="25"/>
      <c r="H194" s="25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3"/>
      <c r="B195" s="13"/>
      <c r="C195" s="36"/>
      <c r="D195" s="37"/>
      <c r="E195" s="38"/>
      <c r="F195" s="2"/>
      <c r="G195" s="25"/>
      <c r="H195" s="25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3"/>
      <c r="B196" s="13"/>
      <c r="C196" s="36"/>
      <c r="D196" s="37"/>
      <c r="E196" s="38"/>
      <c r="F196" s="2"/>
      <c r="G196" s="25"/>
      <c r="H196" s="25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3"/>
      <c r="B197" s="13"/>
      <c r="C197" s="36"/>
      <c r="D197" s="37"/>
      <c r="E197" s="38"/>
      <c r="F197" s="2"/>
      <c r="G197" s="25"/>
      <c r="H197" s="25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3"/>
      <c r="B198" s="13"/>
      <c r="C198" s="36"/>
      <c r="D198" s="37"/>
      <c r="E198" s="38"/>
      <c r="F198" s="2"/>
      <c r="G198" s="25"/>
      <c r="H198" s="25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3"/>
      <c r="B199" s="13"/>
      <c r="C199" s="36"/>
      <c r="D199" s="37"/>
      <c r="E199" s="38"/>
      <c r="F199" s="2"/>
      <c r="G199" s="25"/>
      <c r="H199" s="25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3"/>
      <c r="B200" s="13"/>
      <c r="C200" s="36"/>
      <c r="D200" s="37"/>
      <c r="E200" s="38"/>
      <c r="F200" s="2"/>
      <c r="G200" s="25"/>
      <c r="H200" s="25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3"/>
      <c r="B201" s="13"/>
      <c r="C201" s="36"/>
      <c r="D201" s="37"/>
      <c r="E201" s="38"/>
      <c r="F201" s="2"/>
      <c r="G201" s="25"/>
      <c r="H201" s="25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3"/>
      <c r="B202" s="13"/>
      <c r="C202" s="36"/>
      <c r="D202" s="37"/>
      <c r="E202" s="38"/>
      <c r="F202" s="2"/>
      <c r="G202" s="25"/>
      <c r="H202" s="25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3"/>
      <c r="B203" s="13"/>
      <c r="C203" s="36"/>
      <c r="D203" s="37"/>
      <c r="E203" s="38"/>
      <c r="F203" s="2"/>
      <c r="G203" s="25"/>
      <c r="H203" s="25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3"/>
      <c r="B204" s="13"/>
      <c r="C204" s="36"/>
      <c r="D204" s="37"/>
      <c r="E204" s="38"/>
      <c r="F204" s="2"/>
      <c r="G204" s="25"/>
      <c r="H204" s="25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3"/>
      <c r="B205" s="13"/>
      <c r="C205" s="36"/>
      <c r="D205" s="37"/>
      <c r="E205" s="38"/>
      <c r="F205" s="2"/>
      <c r="G205" s="25"/>
      <c r="H205" s="25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3"/>
      <c r="B206" s="13"/>
      <c r="C206" s="36"/>
      <c r="D206" s="37"/>
      <c r="E206" s="38"/>
      <c r="F206" s="2"/>
      <c r="G206" s="25"/>
      <c r="H206" s="25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3"/>
      <c r="B207" s="13"/>
      <c r="C207" s="36"/>
      <c r="D207" s="37"/>
      <c r="E207" s="38"/>
      <c r="F207" s="2"/>
      <c r="G207" s="25"/>
      <c r="H207" s="25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3"/>
      <c r="B208" s="13"/>
      <c r="C208" s="36"/>
      <c r="D208" s="37"/>
      <c r="E208" s="38"/>
      <c r="F208" s="2"/>
      <c r="G208" s="25"/>
      <c r="H208" s="25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3"/>
      <c r="B209" s="13"/>
      <c r="C209" s="36"/>
      <c r="D209" s="37"/>
      <c r="E209" s="38"/>
      <c r="F209" s="2"/>
      <c r="G209" s="25"/>
      <c r="H209" s="25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3"/>
      <c r="B210" s="13"/>
      <c r="C210" s="36"/>
      <c r="D210" s="37"/>
      <c r="E210" s="38"/>
      <c r="F210" s="2"/>
      <c r="G210" s="25"/>
      <c r="H210" s="25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3"/>
      <c r="B211" s="13"/>
      <c r="C211" s="36"/>
      <c r="D211" s="37"/>
      <c r="E211" s="38"/>
      <c r="F211" s="2"/>
      <c r="G211" s="25"/>
      <c r="H211" s="25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3"/>
      <c r="B212" s="13"/>
      <c r="C212" s="36"/>
      <c r="D212" s="37"/>
      <c r="E212" s="38"/>
      <c r="F212" s="2"/>
      <c r="G212" s="25"/>
      <c r="H212" s="25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3"/>
      <c r="B213" s="13"/>
      <c r="C213" s="36"/>
      <c r="D213" s="37"/>
      <c r="E213" s="38"/>
      <c r="F213" s="2"/>
      <c r="G213" s="25"/>
      <c r="H213" s="25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3"/>
      <c r="B214" s="13"/>
      <c r="C214" s="36"/>
      <c r="D214" s="37"/>
      <c r="E214" s="38"/>
      <c r="F214" s="2"/>
      <c r="G214" s="25"/>
      <c r="H214" s="25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3"/>
      <c r="B215" s="13"/>
      <c r="C215" s="36"/>
      <c r="D215" s="37"/>
      <c r="E215" s="38"/>
      <c r="F215" s="2"/>
      <c r="G215" s="25"/>
      <c r="H215" s="25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3"/>
      <c r="B216" s="13"/>
      <c r="C216" s="36"/>
      <c r="D216" s="37"/>
      <c r="E216" s="38"/>
      <c r="F216" s="2"/>
      <c r="G216" s="25"/>
      <c r="H216" s="25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3"/>
      <c r="B217" s="13"/>
      <c r="C217" s="36"/>
      <c r="D217" s="37"/>
      <c r="E217" s="38"/>
      <c r="F217" s="2"/>
      <c r="G217" s="25"/>
      <c r="H217" s="25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3"/>
      <c r="B218" s="13"/>
      <c r="C218" s="36"/>
      <c r="D218" s="37"/>
      <c r="E218" s="38"/>
      <c r="F218" s="2"/>
      <c r="G218" s="25"/>
      <c r="H218" s="25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3"/>
      <c r="B219" s="13"/>
      <c r="C219" s="36"/>
      <c r="D219" s="37"/>
      <c r="E219" s="38"/>
      <c r="F219" s="2"/>
      <c r="G219" s="25"/>
      <c r="H219" s="25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3"/>
      <c r="B220" s="13"/>
      <c r="C220" s="36"/>
      <c r="D220" s="37"/>
      <c r="E220" s="38"/>
      <c r="F220" s="2"/>
      <c r="G220" s="25"/>
      <c r="H220" s="25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3"/>
      <c r="B221" s="13"/>
      <c r="C221" s="36"/>
      <c r="D221" s="37"/>
      <c r="E221" s="38"/>
      <c r="F221" s="2"/>
      <c r="G221" s="25"/>
      <c r="H221" s="25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3"/>
      <c r="B222" s="13"/>
      <c r="C222" s="36"/>
      <c r="D222" s="37"/>
      <c r="E222" s="38"/>
      <c r="F222" s="2"/>
      <c r="G222" s="25"/>
      <c r="H222" s="25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3"/>
      <c r="B223" s="13"/>
      <c r="C223" s="36"/>
      <c r="D223" s="37"/>
      <c r="E223" s="38"/>
      <c r="F223" s="2"/>
      <c r="G223" s="25"/>
      <c r="H223" s="25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3"/>
      <c r="B224" s="13"/>
      <c r="C224" s="36"/>
      <c r="D224" s="37"/>
      <c r="E224" s="38"/>
      <c r="F224" s="2"/>
      <c r="G224" s="25"/>
      <c r="H224" s="25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3"/>
      <c r="B225" s="13"/>
      <c r="C225" s="36"/>
      <c r="D225" s="37"/>
      <c r="E225" s="38"/>
      <c r="F225" s="2"/>
      <c r="G225" s="25"/>
      <c r="H225" s="25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3"/>
      <c r="B226" s="13"/>
      <c r="C226" s="36"/>
      <c r="D226" s="37"/>
      <c r="E226" s="38"/>
      <c r="F226" s="2"/>
      <c r="G226" s="25"/>
      <c r="H226" s="25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3"/>
      <c r="B227" s="13"/>
      <c r="C227" s="36"/>
      <c r="D227" s="37"/>
      <c r="E227" s="38"/>
      <c r="F227" s="2"/>
      <c r="G227" s="25"/>
      <c r="H227" s="25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3"/>
      <c r="B228" s="13"/>
      <c r="C228" s="36"/>
      <c r="D228" s="37"/>
      <c r="E228" s="38"/>
      <c r="F228" s="2"/>
      <c r="G228" s="25"/>
      <c r="H228" s="25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3"/>
      <c r="B229" s="13"/>
      <c r="C229" s="36"/>
      <c r="D229" s="37"/>
      <c r="E229" s="38"/>
      <c r="F229" s="2"/>
      <c r="G229" s="25"/>
      <c r="H229" s="25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3"/>
      <c r="B230" s="13"/>
      <c r="C230" s="36"/>
      <c r="D230" s="37"/>
      <c r="E230" s="38"/>
      <c r="F230" s="2"/>
      <c r="G230" s="25"/>
      <c r="H230" s="25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3"/>
      <c r="B231" s="13"/>
      <c r="C231" s="36"/>
      <c r="D231" s="37"/>
      <c r="E231" s="38"/>
      <c r="F231" s="2"/>
      <c r="G231" s="25"/>
      <c r="H231" s="25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3"/>
      <c r="B232" s="13"/>
      <c r="C232" s="36"/>
      <c r="D232" s="37"/>
      <c r="E232" s="38"/>
      <c r="F232" s="2"/>
      <c r="G232" s="25"/>
      <c r="H232" s="25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3"/>
      <c r="B233" s="13"/>
      <c r="C233" s="36"/>
      <c r="D233" s="37"/>
      <c r="E233" s="38"/>
      <c r="F233" s="2"/>
      <c r="G233" s="25"/>
      <c r="H233" s="25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3"/>
      <c r="B234" s="13"/>
      <c r="C234" s="36"/>
      <c r="D234" s="37"/>
      <c r="E234" s="38"/>
      <c r="F234" s="2"/>
      <c r="G234" s="25"/>
      <c r="H234" s="25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3"/>
      <c r="B235" s="13"/>
      <c r="C235" s="36"/>
      <c r="D235" s="37"/>
      <c r="E235" s="38"/>
      <c r="F235" s="2"/>
      <c r="G235" s="25"/>
      <c r="H235" s="25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3"/>
      <c r="B236" s="13"/>
      <c r="C236" s="36"/>
      <c r="D236" s="37"/>
      <c r="E236" s="38"/>
      <c r="F236" s="2"/>
      <c r="G236" s="25"/>
      <c r="H236" s="25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3"/>
      <c r="B237" s="13"/>
      <c r="C237" s="36"/>
      <c r="D237" s="37"/>
      <c r="E237" s="38"/>
      <c r="F237" s="2"/>
      <c r="G237" s="25"/>
      <c r="H237" s="25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3"/>
      <c r="B238" s="13"/>
      <c r="C238" s="36"/>
      <c r="D238" s="37"/>
      <c r="E238" s="38"/>
      <c r="F238" s="2"/>
      <c r="G238" s="25"/>
      <c r="H238" s="25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3"/>
      <c r="B239" s="13"/>
      <c r="C239" s="36"/>
      <c r="D239" s="37"/>
      <c r="E239" s="38"/>
      <c r="F239" s="2"/>
      <c r="G239" s="25"/>
      <c r="H239" s="25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3"/>
      <c r="B240" s="13"/>
      <c r="C240" s="36"/>
      <c r="D240" s="37"/>
      <c r="E240" s="38"/>
      <c r="F240" s="2"/>
      <c r="G240" s="25"/>
      <c r="H240" s="25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3"/>
      <c r="B241" s="13"/>
      <c r="C241" s="36"/>
      <c r="D241" s="37"/>
      <c r="E241" s="38"/>
      <c r="F241" s="2"/>
      <c r="G241" s="25"/>
      <c r="H241" s="25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3"/>
      <c r="B242" s="13"/>
      <c r="C242" s="36"/>
      <c r="D242" s="37"/>
      <c r="E242" s="38"/>
      <c r="F242" s="2"/>
      <c r="G242" s="25"/>
      <c r="H242" s="25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3"/>
      <c r="B243" s="13"/>
      <c r="C243" s="36"/>
      <c r="D243" s="37"/>
      <c r="E243" s="38"/>
      <c r="F243" s="2"/>
      <c r="G243" s="25"/>
      <c r="H243" s="25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3"/>
      <c r="B244" s="13"/>
      <c r="C244" s="36"/>
      <c r="D244" s="37"/>
      <c r="E244" s="38"/>
      <c r="F244" s="2"/>
      <c r="G244" s="25"/>
      <c r="H244" s="25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3"/>
      <c r="B245" s="13"/>
      <c r="C245" s="36"/>
      <c r="D245" s="37"/>
      <c r="E245" s="38"/>
      <c r="F245" s="2"/>
      <c r="G245" s="25"/>
      <c r="H245" s="25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3"/>
      <c r="B246" s="13"/>
      <c r="C246" s="36"/>
      <c r="D246" s="37"/>
      <c r="E246" s="38"/>
      <c r="F246" s="2"/>
      <c r="G246" s="25"/>
      <c r="H246" s="25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3"/>
      <c r="B247" s="13"/>
      <c r="C247" s="36"/>
      <c r="D247" s="37"/>
      <c r="E247" s="38"/>
      <c r="F247" s="2"/>
      <c r="G247" s="25"/>
      <c r="H247" s="25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3"/>
      <c r="B248" s="13"/>
      <c r="C248" s="36"/>
      <c r="D248" s="37"/>
      <c r="E248" s="38"/>
      <c r="F248" s="2"/>
      <c r="G248" s="25"/>
      <c r="H248" s="25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3"/>
      <c r="B249" s="13"/>
      <c r="C249" s="36"/>
      <c r="D249" s="37"/>
      <c r="E249" s="38"/>
      <c r="F249" s="2"/>
      <c r="G249" s="25"/>
      <c r="H249" s="25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3"/>
      <c r="B250" s="13"/>
      <c r="C250" s="36"/>
      <c r="D250" s="37"/>
      <c r="E250" s="38"/>
      <c r="F250" s="2"/>
      <c r="G250" s="25"/>
      <c r="H250" s="25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3"/>
      <c r="B251" s="13"/>
      <c r="C251" s="36"/>
      <c r="D251" s="37"/>
      <c r="E251" s="38"/>
      <c r="F251" s="2"/>
      <c r="G251" s="25"/>
      <c r="H251" s="25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3"/>
      <c r="B252" s="13"/>
      <c r="C252" s="36"/>
      <c r="D252" s="37"/>
      <c r="E252" s="38"/>
      <c r="F252" s="2"/>
      <c r="G252" s="25"/>
      <c r="H252" s="25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3"/>
      <c r="B253" s="13"/>
      <c r="C253" s="36"/>
      <c r="D253" s="37"/>
      <c r="E253" s="38"/>
      <c r="F253" s="2"/>
      <c r="G253" s="25"/>
      <c r="H253" s="25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3"/>
      <c r="B254" s="13"/>
      <c r="C254" s="36"/>
      <c r="D254" s="37"/>
      <c r="E254" s="38"/>
      <c r="F254" s="2"/>
      <c r="G254" s="25"/>
      <c r="H254" s="25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3"/>
      <c r="B255" s="13"/>
      <c r="C255" s="36"/>
      <c r="D255" s="37"/>
      <c r="E255" s="38"/>
      <c r="F255" s="2"/>
      <c r="G255" s="25"/>
      <c r="H255" s="25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3"/>
      <c r="B256" s="13"/>
      <c r="C256" s="36"/>
      <c r="D256" s="37"/>
      <c r="E256" s="38"/>
      <c r="F256" s="2"/>
      <c r="G256" s="25"/>
      <c r="H256" s="25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3"/>
      <c r="B257" s="13"/>
      <c r="C257" s="36"/>
      <c r="D257" s="37"/>
      <c r="E257" s="38"/>
      <c r="F257" s="2"/>
      <c r="G257" s="25"/>
      <c r="H257" s="25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3"/>
      <c r="B258" s="13"/>
      <c r="C258" s="36"/>
      <c r="D258" s="37"/>
      <c r="E258" s="38"/>
      <c r="F258" s="2"/>
      <c r="G258" s="25"/>
      <c r="H258" s="25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3"/>
      <c r="B259" s="13"/>
      <c r="C259" s="36"/>
      <c r="D259" s="37"/>
      <c r="E259" s="38"/>
      <c r="F259" s="2"/>
      <c r="G259" s="25"/>
      <c r="H259" s="25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3"/>
      <c r="B260" s="13"/>
      <c r="C260" s="36"/>
      <c r="D260" s="37"/>
      <c r="E260" s="38"/>
      <c r="F260" s="2"/>
      <c r="G260" s="25"/>
      <c r="H260" s="25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3"/>
      <c r="B261" s="13"/>
      <c r="C261" s="36"/>
      <c r="D261" s="37"/>
      <c r="E261" s="38"/>
      <c r="F261" s="2"/>
      <c r="G261" s="25"/>
      <c r="H261" s="25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3"/>
      <c r="B262" s="13"/>
      <c r="C262" s="36"/>
      <c r="D262" s="37"/>
      <c r="E262" s="38"/>
      <c r="F262" s="2"/>
      <c r="G262" s="25"/>
      <c r="H262" s="25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3"/>
      <c r="B263" s="13"/>
      <c r="C263" s="36"/>
      <c r="D263" s="37"/>
      <c r="E263" s="38"/>
      <c r="F263" s="2"/>
      <c r="G263" s="25"/>
      <c r="H263" s="25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3"/>
      <c r="B264" s="13"/>
      <c r="C264" s="36"/>
      <c r="D264" s="37"/>
      <c r="E264" s="38"/>
      <c r="F264" s="2"/>
      <c r="G264" s="25"/>
      <c r="H264" s="25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3"/>
      <c r="B265" s="13"/>
      <c r="C265" s="36"/>
      <c r="D265" s="37"/>
      <c r="E265" s="38"/>
      <c r="F265" s="2"/>
      <c r="G265" s="25"/>
      <c r="H265" s="25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3"/>
      <c r="B266" s="13"/>
      <c r="C266" s="36"/>
      <c r="D266" s="37"/>
      <c r="E266" s="38"/>
      <c r="F266" s="2"/>
      <c r="G266" s="25"/>
      <c r="H266" s="25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3"/>
      <c r="B267" s="13"/>
      <c r="C267" s="36"/>
      <c r="D267" s="37"/>
      <c r="E267" s="38"/>
      <c r="F267" s="2"/>
      <c r="G267" s="25"/>
      <c r="H267" s="25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3"/>
      <c r="B268" s="13"/>
      <c r="C268" s="36"/>
      <c r="D268" s="37"/>
      <c r="E268" s="38"/>
      <c r="F268" s="2"/>
      <c r="G268" s="25"/>
      <c r="H268" s="25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3"/>
      <c r="B269" s="13"/>
      <c r="C269" s="36"/>
      <c r="D269" s="37"/>
      <c r="E269" s="38"/>
      <c r="F269" s="2"/>
      <c r="G269" s="25"/>
      <c r="H269" s="25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3"/>
      <c r="B270" s="13"/>
      <c r="C270" s="36"/>
      <c r="D270" s="37"/>
      <c r="E270" s="38"/>
      <c r="F270" s="2"/>
      <c r="G270" s="25"/>
      <c r="H270" s="25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3"/>
      <c r="B271" s="13"/>
      <c r="C271" s="36"/>
      <c r="D271" s="37"/>
      <c r="E271" s="38"/>
      <c r="F271" s="2"/>
      <c r="G271" s="25"/>
      <c r="H271" s="25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3"/>
      <c r="B272" s="13"/>
      <c r="C272" s="36"/>
      <c r="D272" s="37"/>
      <c r="E272" s="38"/>
      <c r="F272" s="2"/>
      <c r="G272" s="25"/>
      <c r="H272" s="25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3"/>
      <c r="B273" s="13"/>
      <c r="C273" s="36"/>
      <c r="D273" s="37"/>
      <c r="E273" s="38"/>
      <c r="F273" s="2"/>
      <c r="G273" s="25"/>
      <c r="H273" s="25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3"/>
      <c r="B274" s="13"/>
      <c r="C274" s="36"/>
      <c r="D274" s="37"/>
      <c r="E274" s="38"/>
      <c r="F274" s="2"/>
      <c r="G274" s="25"/>
      <c r="H274" s="25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3"/>
      <c r="B275" s="13"/>
      <c r="C275" s="36"/>
      <c r="D275" s="37"/>
      <c r="E275" s="38"/>
      <c r="F275" s="2"/>
      <c r="G275" s="25"/>
      <c r="H275" s="25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3"/>
      <c r="B276" s="13"/>
      <c r="C276" s="36"/>
      <c r="D276" s="37"/>
      <c r="E276" s="38"/>
      <c r="F276" s="2"/>
      <c r="G276" s="25"/>
      <c r="H276" s="25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3"/>
      <c r="B277" s="13"/>
      <c r="C277" s="36"/>
      <c r="D277" s="37"/>
      <c r="E277" s="38"/>
      <c r="F277" s="2"/>
      <c r="G277" s="25"/>
      <c r="H277" s="25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3"/>
      <c r="B278" s="13"/>
      <c r="C278" s="36"/>
      <c r="D278" s="37"/>
      <c r="E278" s="38"/>
      <c r="F278" s="2"/>
      <c r="G278" s="25"/>
      <c r="H278" s="25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3"/>
      <c r="B279" s="13"/>
      <c r="C279" s="36"/>
      <c r="D279" s="37"/>
      <c r="E279" s="38"/>
      <c r="F279" s="2"/>
      <c r="G279" s="25"/>
      <c r="H279" s="25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3"/>
      <c r="B280" s="13"/>
      <c r="C280" s="36"/>
      <c r="D280" s="37"/>
      <c r="E280" s="38"/>
      <c r="F280" s="2"/>
      <c r="G280" s="25"/>
      <c r="H280" s="25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3"/>
      <c r="B281" s="13"/>
      <c r="C281" s="36"/>
      <c r="D281" s="37"/>
      <c r="E281" s="38"/>
      <c r="F281" s="2"/>
      <c r="G281" s="25"/>
      <c r="H281" s="25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3"/>
      <c r="B282" s="13"/>
      <c r="C282" s="36"/>
      <c r="D282" s="37"/>
      <c r="E282" s="38"/>
      <c r="F282" s="2"/>
      <c r="G282" s="25"/>
      <c r="H282" s="25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3"/>
      <c r="B283" s="13"/>
      <c r="C283" s="36"/>
      <c r="D283" s="37"/>
      <c r="E283" s="38"/>
      <c r="F283" s="2"/>
      <c r="G283" s="25"/>
      <c r="H283" s="25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3"/>
      <c r="B284" s="13"/>
      <c r="C284" s="36"/>
      <c r="D284" s="37"/>
      <c r="E284" s="38"/>
      <c r="F284" s="2"/>
      <c r="G284" s="25"/>
      <c r="H284" s="25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3"/>
      <c r="B285" s="13"/>
      <c r="C285" s="36"/>
      <c r="D285" s="37"/>
      <c r="E285" s="38"/>
      <c r="F285" s="2"/>
      <c r="G285" s="25"/>
      <c r="H285" s="25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3"/>
      <c r="B286" s="13"/>
      <c r="C286" s="36"/>
      <c r="D286" s="37"/>
      <c r="E286" s="38"/>
      <c r="F286" s="2"/>
      <c r="G286" s="25"/>
      <c r="H286" s="25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3"/>
      <c r="B287" s="13"/>
      <c r="C287" s="36"/>
      <c r="D287" s="37"/>
      <c r="E287" s="38"/>
      <c r="F287" s="2"/>
      <c r="G287" s="25"/>
      <c r="H287" s="25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3"/>
      <c r="B288" s="13"/>
      <c r="C288" s="36"/>
      <c r="D288" s="37"/>
      <c r="E288" s="38"/>
      <c r="F288" s="2"/>
      <c r="G288" s="25"/>
      <c r="H288" s="25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3"/>
      <c r="B289" s="13"/>
      <c r="C289" s="36"/>
      <c r="D289" s="37"/>
      <c r="E289" s="38"/>
      <c r="F289" s="2"/>
      <c r="G289" s="25"/>
      <c r="H289" s="25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3"/>
      <c r="B290" s="13"/>
      <c r="C290" s="36"/>
      <c r="D290" s="37"/>
      <c r="E290" s="38"/>
      <c r="F290" s="2"/>
      <c r="G290" s="25"/>
      <c r="H290" s="25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3"/>
      <c r="B291" s="13"/>
      <c r="C291" s="36"/>
      <c r="D291" s="37"/>
      <c r="E291" s="38"/>
      <c r="F291" s="2"/>
      <c r="G291" s="25"/>
      <c r="H291" s="25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3"/>
      <c r="B292" s="13"/>
      <c r="C292" s="36"/>
      <c r="D292" s="37"/>
      <c r="E292" s="38"/>
      <c r="F292" s="2"/>
      <c r="G292" s="25"/>
      <c r="H292" s="25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3"/>
      <c r="B293" s="13"/>
      <c r="C293" s="36"/>
      <c r="D293" s="37"/>
      <c r="E293" s="38"/>
      <c r="F293" s="2"/>
      <c r="G293" s="25"/>
      <c r="H293" s="25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3"/>
      <c r="B294" s="13"/>
      <c r="C294" s="36"/>
      <c r="D294" s="37"/>
      <c r="E294" s="38"/>
      <c r="F294" s="2"/>
      <c r="G294" s="25"/>
      <c r="H294" s="25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3"/>
      <c r="B295" s="13"/>
      <c r="C295" s="36"/>
      <c r="D295" s="37"/>
      <c r="E295" s="38"/>
      <c r="F295" s="2"/>
      <c r="G295" s="25"/>
      <c r="H295" s="25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3"/>
      <c r="B296" s="13"/>
      <c r="C296" s="36"/>
      <c r="D296" s="37"/>
      <c r="E296" s="38"/>
      <c r="F296" s="2"/>
      <c r="G296" s="25"/>
      <c r="H296" s="25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3"/>
      <c r="B297" s="13"/>
      <c r="C297" s="36"/>
      <c r="D297" s="37"/>
      <c r="E297" s="38"/>
      <c r="F297" s="2"/>
      <c r="G297" s="25"/>
      <c r="H297" s="25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3"/>
      <c r="B298" s="13"/>
      <c r="C298" s="36"/>
      <c r="D298" s="37"/>
      <c r="E298" s="38"/>
      <c r="F298" s="2"/>
      <c r="G298" s="25"/>
      <c r="H298" s="25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3"/>
      <c r="B299" s="13"/>
      <c r="C299" s="36"/>
      <c r="D299" s="37"/>
      <c r="E299" s="38"/>
      <c r="F299" s="2"/>
      <c r="G299" s="25"/>
      <c r="H299" s="25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3"/>
      <c r="B300" s="13"/>
      <c r="C300" s="36"/>
      <c r="D300" s="37"/>
      <c r="E300" s="38"/>
      <c r="F300" s="2"/>
      <c r="G300" s="25"/>
      <c r="H300" s="25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3"/>
      <c r="B301" s="13"/>
      <c r="C301" s="36"/>
      <c r="D301" s="37"/>
      <c r="E301" s="38"/>
      <c r="F301" s="2"/>
      <c r="G301" s="25"/>
      <c r="H301" s="25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39"/>
    </row>
    <row r="305">
      <c r="D305" s="39"/>
    </row>
    <row r="306">
      <c r="D306" s="39"/>
    </row>
    <row r="307">
      <c r="D307" s="39"/>
    </row>
    <row r="308">
      <c r="D308" s="39"/>
    </row>
    <row r="309">
      <c r="D309" s="39"/>
    </row>
    <row r="310">
      <c r="D310" s="39"/>
    </row>
    <row r="311">
      <c r="D311" s="39"/>
    </row>
    <row r="312">
      <c r="D312" s="39"/>
    </row>
    <row r="313">
      <c r="D313" s="39"/>
    </row>
    <row r="314">
      <c r="D314" s="39"/>
    </row>
    <row r="315">
      <c r="D315" s="39"/>
    </row>
    <row r="316">
      <c r="D316" s="39"/>
    </row>
    <row r="317">
      <c r="D317" s="39"/>
    </row>
    <row r="318">
      <c r="D318" s="39"/>
    </row>
    <row r="319">
      <c r="D319" s="39"/>
    </row>
    <row r="320">
      <c r="D320" s="39"/>
    </row>
    <row r="321">
      <c r="D321" s="39"/>
    </row>
    <row r="322">
      <c r="D322" s="39"/>
    </row>
    <row r="323">
      <c r="D323" s="39"/>
    </row>
    <row r="324">
      <c r="D324" s="39"/>
    </row>
    <row r="325">
      <c r="D325" s="39"/>
    </row>
    <row r="326">
      <c r="D326" s="39"/>
    </row>
    <row r="327">
      <c r="D327" s="39"/>
    </row>
    <row r="328">
      <c r="D328" s="39"/>
    </row>
    <row r="329">
      <c r="D329" s="39"/>
    </row>
    <row r="330">
      <c r="D330" s="39"/>
    </row>
    <row r="331">
      <c r="D331" s="39"/>
    </row>
    <row r="332">
      <c r="D332" s="39"/>
    </row>
    <row r="333">
      <c r="D333" s="39"/>
    </row>
    <row r="334">
      <c r="D334" s="39"/>
    </row>
    <row r="335">
      <c r="D335" s="39"/>
    </row>
    <row r="336">
      <c r="D336" s="39"/>
    </row>
    <row r="337">
      <c r="D337" s="39"/>
    </row>
    <row r="338">
      <c r="D338" s="39"/>
    </row>
    <row r="339">
      <c r="D339" s="39"/>
    </row>
    <row r="340">
      <c r="D340" s="39"/>
    </row>
    <row r="341">
      <c r="D341" s="39"/>
    </row>
    <row r="342">
      <c r="D342" s="39"/>
    </row>
    <row r="343">
      <c r="D343" s="39"/>
    </row>
    <row r="344">
      <c r="D344" s="39"/>
    </row>
    <row r="345">
      <c r="D345" s="39"/>
    </row>
    <row r="346">
      <c r="D346" s="39"/>
    </row>
    <row r="347">
      <c r="D347" s="39"/>
    </row>
    <row r="348">
      <c r="D348" s="39"/>
    </row>
    <row r="349">
      <c r="D349" s="39"/>
    </row>
    <row r="350">
      <c r="D350" s="39"/>
    </row>
    <row r="351">
      <c r="D351" s="39"/>
    </row>
    <row r="352">
      <c r="D352" s="39"/>
    </row>
    <row r="353">
      <c r="D353" s="39"/>
    </row>
    <row r="354">
      <c r="D354" s="39"/>
    </row>
    <row r="355">
      <c r="D355" s="39"/>
    </row>
    <row r="356">
      <c r="D356" s="39"/>
    </row>
    <row r="357">
      <c r="D357" s="39"/>
    </row>
    <row r="358">
      <c r="D358" s="39"/>
    </row>
    <row r="359">
      <c r="D359" s="39"/>
    </row>
    <row r="360">
      <c r="D360" s="39"/>
    </row>
    <row r="361">
      <c r="D361" s="39"/>
    </row>
    <row r="362">
      <c r="D362" s="39"/>
    </row>
    <row r="363">
      <c r="D363" s="39"/>
    </row>
    <row r="364">
      <c r="D364" s="39"/>
    </row>
    <row r="365">
      <c r="D365" s="39"/>
    </row>
    <row r="366">
      <c r="D366" s="39"/>
    </row>
    <row r="367">
      <c r="D367" s="39"/>
    </row>
    <row r="368">
      <c r="D368" s="39"/>
    </row>
    <row r="369">
      <c r="D369" s="39"/>
    </row>
    <row r="370">
      <c r="D370" s="39"/>
    </row>
    <row r="371">
      <c r="D371" s="39"/>
    </row>
    <row r="372">
      <c r="D372" s="39"/>
    </row>
    <row r="373">
      <c r="D373" s="39"/>
    </row>
    <row r="374">
      <c r="D374" s="39"/>
    </row>
    <row r="375">
      <c r="D375" s="39"/>
    </row>
    <row r="376">
      <c r="D376" s="39"/>
    </row>
    <row r="377">
      <c r="D377" s="39"/>
    </row>
    <row r="378">
      <c r="D378" s="39"/>
    </row>
    <row r="379">
      <c r="D379" s="39"/>
    </row>
    <row r="380">
      <c r="D380" s="39"/>
    </row>
    <row r="381">
      <c r="D381" s="39"/>
    </row>
    <row r="382">
      <c r="D382" s="39"/>
    </row>
    <row r="383">
      <c r="D383" s="39"/>
    </row>
    <row r="384">
      <c r="D384" s="39"/>
    </row>
    <row r="385">
      <c r="D385" s="39"/>
    </row>
    <row r="386">
      <c r="D386" s="39"/>
    </row>
    <row r="387">
      <c r="D387" s="39"/>
    </row>
    <row r="388">
      <c r="D388" s="39"/>
    </row>
    <row r="389">
      <c r="D389" s="39"/>
    </row>
    <row r="390">
      <c r="D390" s="39"/>
    </row>
    <row r="391">
      <c r="D391" s="39"/>
    </row>
    <row r="392">
      <c r="D392" s="39"/>
    </row>
    <row r="393">
      <c r="D393" s="39"/>
    </row>
    <row r="394">
      <c r="D394" s="39"/>
    </row>
    <row r="395">
      <c r="D395" s="39"/>
    </row>
    <row r="396">
      <c r="D396" s="39"/>
    </row>
    <row r="397">
      <c r="D397" s="39"/>
    </row>
    <row r="398">
      <c r="D398" s="39"/>
    </row>
    <row r="399">
      <c r="D399" s="39"/>
    </row>
    <row r="400">
      <c r="D400" s="39"/>
    </row>
    <row r="401">
      <c r="D401" s="39"/>
    </row>
    <row r="402">
      <c r="D402" s="39"/>
    </row>
    <row r="403">
      <c r="D403" s="39"/>
    </row>
    <row r="404">
      <c r="D404" s="39"/>
    </row>
    <row r="405">
      <c r="D405" s="39"/>
    </row>
    <row r="406">
      <c r="D406" s="39"/>
    </row>
    <row r="407">
      <c r="D407" s="39"/>
    </row>
    <row r="408">
      <c r="D408" s="39"/>
    </row>
    <row r="409">
      <c r="D409" s="39"/>
    </row>
    <row r="410">
      <c r="D410" s="39"/>
    </row>
    <row r="411">
      <c r="D411" s="39"/>
    </row>
    <row r="412">
      <c r="D412" s="39"/>
    </row>
    <row r="413">
      <c r="D413" s="39"/>
    </row>
    <row r="414">
      <c r="D414" s="39"/>
    </row>
    <row r="415">
      <c r="D415" s="39"/>
    </row>
    <row r="416">
      <c r="D416" s="39"/>
    </row>
    <row r="417">
      <c r="D417" s="39"/>
    </row>
    <row r="418">
      <c r="D418" s="39"/>
    </row>
    <row r="419">
      <c r="D419" s="39"/>
    </row>
    <row r="420">
      <c r="D420" s="39"/>
    </row>
    <row r="421">
      <c r="D421" s="39"/>
    </row>
    <row r="422">
      <c r="D422" s="39"/>
    </row>
    <row r="423">
      <c r="D423" s="39"/>
    </row>
    <row r="424">
      <c r="D424" s="39"/>
    </row>
    <row r="425">
      <c r="D425" s="39"/>
    </row>
    <row r="426">
      <c r="D426" s="39"/>
    </row>
    <row r="427">
      <c r="D427" s="39"/>
    </row>
    <row r="428">
      <c r="D428" s="39"/>
    </row>
    <row r="429">
      <c r="D429" s="39"/>
    </row>
    <row r="430">
      <c r="D430" s="39"/>
    </row>
    <row r="431">
      <c r="D431" s="39"/>
    </row>
    <row r="432">
      <c r="D432" s="39"/>
    </row>
    <row r="433">
      <c r="D433" s="39"/>
    </row>
    <row r="434">
      <c r="D434" s="39"/>
    </row>
    <row r="435">
      <c r="D435" s="39"/>
    </row>
    <row r="436">
      <c r="D436" s="39"/>
    </row>
    <row r="437">
      <c r="D437" s="39"/>
    </row>
    <row r="438">
      <c r="D438" s="39"/>
    </row>
    <row r="439">
      <c r="D439" s="39"/>
    </row>
    <row r="440">
      <c r="D440" s="39"/>
    </row>
    <row r="441">
      <c r="D441" s="39"/>
    </row>
    <row r="442">
      <c r="D442" s="39"/>
    </row>
    <row r="443">
      <c r="D443" s="39"/>
    </row>
    <row r="444">
      <c r="D444" s="39"/>
    </row>
    <row r="445">
      <c r="D445" s="39"/>
    </row>
    <row r="446">
      <c r="D446" s="39"/>
    </row>
    <row r="447">
      <c r="D447" s="39"/>
    </row>
    <row r="448">
      <c r="D448" s="39"/>
    </row>
    <row r="449">
      <c r="D449" s="39"/>
    </row>
    <row r="450">
      <c r="D450" s="39"/>
    </row>
    <row r="451">
      <c r="D451" s="39"/>
    </row>
    <row r="452">
      <c r="D452" s="39"/>
    </row>
    <row r="453">
      <c r="D453" s="39"/>
    </row>
    <row r="454">
      <c r="D454" s="39"/>
    </row>
    <row r="455">
      <c r="D455" s="39"/>
    </row>
    <row r="456">
      <c r="D456" s="39"/>
    </row>
    <row r="457">
      <c r="D457" s="39"/>
    </row>
    <row r="458">
      <c r="D458" s="39"/>
    </row>
    <row r="459">
      <c r="D459" s="39"/>
    </row>
    <row r="460">
      <c r="D460" s="39"/>
    </row>
    <row r="461">
      <c r="D461" s="39"/>
    </row>
    <row r="462">
      <c r="D462" s="39"/>
    </row>
    <row r="463">
      <c r="D463" s="39"/>
    </row>
    <row r="464">
      <c r="D464" s="39"/>
    </row>
    <row r="465">
      <c r="D465" s="39"/>
    </row>
    <row r="466">
      <c r="D466" s="39"/>
    </row>
    <row r="467">
      <c r="D467" s="39"/>
    </row>
    <row r="468">
      <c r="D468" s="39"/>
    </row>
    <row r="469">
      <c r="D469" s="39"/>
    </row>
    <row r="470">
      <c r="D470" s="39"/>
    </row>
    <row r="471">
      <c r="D471" s="39"/>
    </row>
    <row r="472">
      <c r="D472" s="39"/>
    </row>
    <row r="473">
      <c r="D473" s="39"/>
    </row>
    <row r="474">
      <c r="D474" s="39"/>
    </row>
    <row r="475">
      <c r="D475" s="39"/>
    </row>
    <row r="476">
      <c r="D476" s="39"/>
    </row>
    <row r="477">
      <c r="D477" s="39"/>
    </row>
    <row r="478">
      <c r="D478" s="39"/>
    </row>
    <row r="479">
      <c r="D479" s="39"/>
    </row>
    <row r="480">
      <c r="D480" s="39"/>
    </row>
    <row r="481">
      <c r="D481" s="39"/>
    </row>
    <row r="482">
      <c r="D482" s="39"/>
    </row>
    <row r="483">
      <c r="D483" s="39"/>
    </row>
    <row r="484">
      <c r="D484" s="39"/>
    </row>
    <row r="485">
      <c r="D485" s="39"/>
    </row>
    <row r="486">
      <c r="D486" s="39"/>
    </row>
    <row r="487">
      <c r="D487" s="39"/>
    </row>
    <row r="488">
      <c r="D488" s="39"/>
    </row>
    <row r="489">
      <c r="D489" s="39"/>
    </row>
    <row r="490">
      <c r="D490" s="39"/>
    </row>
    <row r="491">
      <c r="D491" s="39"/>
    </row>
    <row r="492">
      <c r="D492" s="39"/>
    </row>
    <row r="493">
      <c r="D493" s="39"/>
    </row>
    <row r="494">
      <c r="D494" s="39"/>
    </row>
    <row r="495">
      <c r="D495" s="39"/>
    </row>
    <row r="496">
      <c r="D496" s="39"/>
    </row>
    <row r="497">
      <c r="D497" s="39"/>
    </row>
    <row r="498">
      <c r="D498" s="39"/>
    </row>
    <row r="499">
      <c r="D499" s="39"/>
    </row>
    <row r="500">
      <c r="D500" s="39"/>
    </row>
    <row r="501">
      <c r="D501" s="39"/>
    </row>
    <row r="502">
      <c r="D502" s="39"/>
    </row>
    <row r="503">
      <c r="D503" s="39"/>
    </row>
    <row r="504">
      <c r="D504" s="39"/>
    </row>
    <row r="505">
      <c r="D505" s="39"/>
    </row>
    <row r="506">
      <c r="D506" s="39"/>
    </row>
    <row r="507">
      <c r="D507" s="39"/>
    </row>
    <row r="508">
      <c r="D508" s="39"/>
    </row>
    <row r="509">
      <c r="D509" s="39"/>
    </row>
    <row r="510">
      <c r="D510" s="39"/>
    </row>
    <row r="511">
      <c r="D511" s="39"/>
    </row>
    <row r="512">
      <c r="D512" s="39"/>
    </row>
    <row r="513">
      <c r="D513" s="39"/>
    </row>
    <row r="514">
      <c r="D514" s="39"/>
    </row>
    <row r="515">
      <c r="D515" s="39"/>
    </row>
    <row r="516">
      <c r="D516" s="39"/>
    </row>
    <row r="517">
      <c r="D517" s="39"/>
    </row>
    <row r="518">
      <c r="D518" s="39"/>
    </row>
    <row r="519">
      <c r="D519" s="39"/>
    </row>
    <row r="520">
      <c r="D520" s="39"/>
    </row>
    <row r="521">
      <c r="D521" s="39"/>
    </row>
    <row r="522">
      <c r="D522" s="39"/>
    </row>
    <row r="523">
      <c r="D523" s="39"/>
    </row>
    <row r="524">
      <c r="D524" s="39"/>
    </row>
    <row r="525">
      <c r="D525" s="39"/>
    </row>
    <row r="526">
      <c r="D526" s="39"/>
    </row>
    <row r="527">
      <c r="D527" s="39"/>
    </row>
    <row r="528">
      <c r="D528" s="39"/>
    </row>
    <row r="529">
      <c r="D529" s="39"/>
    </row>
    <row r="530">
      <c r="D530" s="39"/>
    </row>
    <row r="531">
      <c r="D531" s="39"/>
    </row>
    <row r="532">
      <c r="D532" s="39"/>
    </row>
    <row r="533">
      <c r="D533" s="39"/>
    </row>
    <row r="534">
      <c r="D534" s="39"/>
    </row>
    <row r="535">
      <c r="D535" s="39"/>
    </row>
    <row r="536">
      <c r="D536" s="39"/>
    </row>
    <row r="537">
      <c r="D537" s="39"/>
    </row>
    <row r="538">
      <c r="D538" s="39"/>
    </row>
    <row r="539">
      <c r="D539" s="39"/>
    </row>
    <row r="540">
      <c r="D540" s="39"/>
    </row>
    <row r="541">
      <c r="D541" s="39"/>
    </row>
    <row r="542">
      <c r="D542" s="39"/>
    </row>
    <row r="543">
      <c r="D543" s="39"/>
    </row>
    <row r="544">
      <c r="D544" s="39"/>
    </row>
    <row r="545">
      <c r="D545" s="39"/>
    </row>
    <row r="546">
      <c r="D546" s="39"/>
    </row>
    <row r="547">
      <c r="D547" s="39"/>
    </row>
    <row r="548">
      <c r="D548" s="39"/>
    </row>
    <row r="549">
      <c r="D549" s="39"/>
    </row>
    <row r="550">
      <c r="D550" s="39"/>
    </row>
    <row r="551">
      <c r="D551" s="39"/>
    </row>
    <row r="552">
      <c r="D552" s="39"/>
    </row>
    <row r="553">
      <c r="D553" s="39"/>
    </row>
    <row r="554">
      <c r="D554" s="39"/>
    </row>
    <row r="555">
      <c r="D555" s="39"/>
    </row>
    <row r="556">
      <c r="D556" s="39"/>
    </row>
    <row r="557">
      <c r="D557" s="39"/>
    </row>
    <row r="558">
      <c r="D558" s="39"/>
    </row>
    <row r="559">
      <c r="D559" s="39"/>
    </row>
    <row r="560">
      <c r="D560" s="39"/>
    </row>
    <row r="561">
      <c r="D561" s="39"/>
    </row>
    <row r="562">
      <c r="D562" s="39"/>
    </row>
    <row r="563">
      <c r="D563" s="39"/>
    </row>
    <row r="564">
      <c r="D564" s="39"/>
    </row>
    <row r="565">
      <c r="D565" s="39"/>
    </row>
    <row r="566">
      <c r="D566" s="39"/>
    </row>
    <row r="567">
      <c r="D567" s="39"/>
    </row>
    <row r="568">
      <c r="D568" s="39"/>
    </row>
    <row r="569">
      <c r="D569" s="39"/>
    </row>
    <row r="570">
      <c r="D570" s="39"/>
    </row>
    <row r="571">
      <c r="D571" s="39"/>
    </row>
    <row r="572">
      <c r="D572" s="39"/>
    </row>
    <row r="573">
      <c r="D573" s="39"/>
    </row>
    <row r="574">
      <c r="D574" s="39"/>
    </row>
    <row r="575">
      <c r="D575" s="39"/>
    </row>
    <row r="576">
      <c r="D576" s="39"/>
    </row>
    <row r="577">
      <c r="D577" s="39"/>
    </row>
    <row r="578">
      <c r="D578" s="39"/>
    </row>
    <row r="579">
      <c r="D579" s="39"/>
    </row>
    <row r="580">
      <c r="D580" s="39"/>
    </row>
    <row r="581">
      <c r="D581" s="39"/>
    </row>
    <row r="582">
      <c r="D582" s="39"/>
    </row>
    <row r="583">
      <c r="D583" s="39"/>
    </row>
    <row r="584">
      <c r="D584" s="39"/>
    </row>
    <row r="585">
      <c r="D585" s="39"/>
    </row>
    <row r="586">
      <c r="D586" s="39"/>
    </row>
    <row r="587">
      <c r="D587" s="39"/>
    </row>
    <row r="588">
      <c r="D588" s="39"/>
    </row>
    <row r="589">
      <c r="D589" s="39"/>
    </row>
    <row r="590">
      <c r="D590" s="39"/>
    </row>
    <row r="591">
      <c r="D591" s="39"/>
    </row>
    <row r="592">
      <c r="D592" s="39"/>
    </row>
    <row r="593">
      <c r="D593" s="39"/>
    </row>
    <row r="594">
      <c r="D594" s="39"/>
    </row>
    <row r="595">
      <c r="D595" s="39"/>
    </row>
    <row r="596">
      <c r="D596" s="39"/>
    </row>
    <row r="597">
      <c r="D597" s="39"/>
    </row>
    <row r="598">
      <c r="D598" s="39"/>
    </row>
    <row r="599">
      <c r="D599" s="39"/>
    </row>
    <row r="600">
      <c r="D600" s="39"/>
    </row>
    <row r="601">
      <c r="D601" s="39"/>
    </row>
    <row r="602">
      <c r="D602" s="39"/>
    </row>
    <row r="603">
      <c r="D603" s="39"/>
    </row>
    <row r="604">
      <c r="D604" s="39"/>
    </row>
    <row r="605">
      <c r="D605" s="39"/>
    </row>
    <row r="606">
      <c r="D606" s="39"/>
    </row>
    <row r="607">
      <c r="D607" s="39"/>
    </row>
    <row r="608">
      <c r="D608" s="39"/>
    </row>
    <row r="609">
      <c r="D609" s="39"/>
    </row>
    <row r="610">
      <c r="D610" s="39"/>
    </row>
    <row r="611">
      <c r="D611" s="39"/>
    </row>
    <row r="612">
      <c r="D612" s="39"/>
    </row>
    <row r="613">
      <c r="D613" s="39"/>
    </row>
    <row r="614">
      <c r="D614" s="39"/>
    </row>
    <row r="615">
      <c r="D615" s="39"/>
    </row>
    <row r="616">
      <c r="D616" s="39"/>
    </row>
    <row r="617">
      <c r="D617" s="39"/>
    </row>
    <row r="618">
      <c r="D618" s="39"/>
    </row>
    <row r="619">
      <c r="D619" s="39"/>
    </row>
    <row r="620">
      <c r="D620" s="39"/>
    </row>
    <row r="621">
      <c r="D621" s="39"/>
    </row>
    <row r="622">
      <c r="D622" s="39"/>
    </row>
    <row r="623">
      <c r="D623" s="39"/>
    </row>
    <row r="624">
      <c r="D624" s="39"/>
    </row>
    <row r="625">
      <c r="D625" s="39"/>
    </row>
    <row r="626">
      <c r="D626" s="39"/>
    </row>
    <row r="627">
      <c r="D627" s="39"/>
    </row>
    <row r="628">
      <c r="D628" s="39"/>
    </row>
    <row r="629">
      <c r="D629" s="39"/>
    </row>
    <row r="630">
      <c r="D630" s="39"/>
    </row>
    <row r="631">
      <c r="D631" s="39"/>
    </row>
    <row r="632">
      <c r="D632" s="39"/>
    </row>
    <row r="633">
      <c r="D633" s="39"/>
    </row>
    <row r="634">
      <c r="D634" s="39"/>
    </row>
    <row r="635">
      <c r="D635" s="39"/>
    </row>
    <row r="636">
      <c r="D636" s="39"/>
    </row>
    <row r="637">
      <c r="D637" s="39"/>
    </row>
    <row r="638">
      <c r="D638" s="39"/>
    </row>
    <row r="639">
      <c r="D639" s="39"/>
    </row>
    <row r="640">
      <c r="D640" s="39"/>
    </row>
    <row r="641">
      <c r="D641" s="39"/>
    </row>
    <row r="642">
      <c r="D642" s="39"/>
    </row>
    <row r="643">
      <c r="D643" s="39"/>
    </row>
    <row r="644">
      <c r="D644" s="39"/>
    </row>
    <row r="645">
      <c r="D645" s="39"/>
    </row>
    <row r="646">
      <c r="D646" s="39"/>
    </row>
    <row r="647">
      <c r="D647" s="39"/>
    </row>
    <row r="648">
      <c r="D648" s="39"/>
    </row>
    <row r="649">
      <c r="D649" s="39"/>
    </row>
    <row r="650">
      <c r="D650" s="39"/>
    </row>
    <row r="651">
      <c r="D651" s="39"/>
    </row>
    <row r="652">
      <c r="D652" s="39"/>
    </row>
    <row r="653">
      <c r="D653" s="39"/>
    </row>
    <row r="654">
      <c r="D654" s="39"/>
    </row>
    <row r="655">
      <c r="D655" s="39"/>
    </row>
    <row r="656">
      <c r="D656" s="39"/>
    </row>
    <row r="657">
      <c r="D657" s="39"/>
    </row>
    <row r="658">
      <c r="D658" s="39"/>
    </row>
    <row r="659">
      <c r="D659" s="39"/>
    </row>
    <row r="660">
      <c r="D660" s="39"/>
    </row>
    <row r="661">
      <c r="D661" s="39"/>
    </row>
    <row r="662">
      <c r="D662" s="39"/>
    </row>
    <row r="663">
      <c r="D663" s="39"/>
    </row>
    <row r="664">
      <c r="D664" s="39"/>
    </row>
    <row r="665">
      <c r="D665" s="39"/>
    </row>
    <row r="666">
      <c r="D666" s="39"/>
    </row>
    <row r="667">
      <c r="D667" s="39"/>
    </row>
    <row r="668">
      <c r="D668" s="39"/>
    </row>
    <row r="669">
      <c r="D669" s="39"/>
    </row>
    <row r="670">
      <c r="D670" s="39"/>
    </row>
    <row r="671">
      <c r="D671" s="39"/>
    </row>
    <row r="672">
      <c r="D672" s="39"/>
    </row>
    <row r="673">
      <c r="D673" s="39"/>
    </row>
    <row r="674">
      <c r="D674" s="39"/>
    </row>
    <row r="675">
      <c r="D675" s="39"/>
    </row>
    <row r="676">
      <c r="D676" s="39"/>
    </row>
    <row r="677">
      <c r="D677" s="39"/>
    </row>
    <row r="678">
      <c r="D678" s="39"/>
    </row>
    <row r="679">
      <c r="D679" s="39"/>
    </row>
    <row r="680">
      <c r="D680" s="39"/>
    </row>
    <row r="681">
      <c r="D681" s="39"/>
    </row>
    <row r="682">
      <c r="D682" s="39"/>
    </row>
    <row r="683">
      <c r="D683" s="39"/>
    </row>
    <row r="684">
      <c r="D684" s="39"/>
    </row>
    <row r="685">
      <c r="D685" s="39"/>
    </row>
    <row r="686">
      <c r="D686" s="39"/>
    </row>
    <row r="687">
      <c r="D687" s="39"/>
    </row>
    <row r="688">
      <c r="D688" s="39"/>
    </row>
    <row r="689">
      <c r="D689" s="39"/>
    </row>
    <row r="690">
      <c r="D690" s="39"/>
    </row>
    <row r="691">
      <c r="D691" s="39"/>
    </row>
    <row r="692">
      <c r="D692" s="39"/>
    </row>
    <row r="693">
      <c r="D693" s="39"/>
    </row>
    <row r="694">
      <c r="D694" s="39"/>
    </row>
    <row r="695">
      <c r="D695" s="39"/>
    </row>
    <row r="696">
      <c r="D696" s="39"/>
    </row>
    <row r="697">
      <c r="D697" s="39"/>
    </row>
    <row r="698">
      <c r="D698" s="39"/>
    </row>
    <row r="699">
      <c r="D699" s="39"/>
    </row>
    <row r="700">
      <c r="D700" s="39"/>
    </row>
    <row r="701">
      <c r="D701" s="39"/>
    </row>
    <row r="702">
      <c r="D702" s="39"/>
    </row>
    <row r="703">
      <c r="D703" s="39"/>
    </row>
    <row r="704">
      <c r="D704" s="39"/>
    </row>
    <row r="705">
      <c r="D705" s="39"/>
    </row>
    <row r="706">
      <c r="D706" s="39"/>
    </row>
    <row r="707">
      <c r="D707" s="39"/>
    </row>
    <row r="708">
      <c r="D708" s="39"/>
    </row>
    <row r="709">
      <c r="D709" s="39"/>
    </row>
    <row r="710">
      <c r="D710" s="39"/>
    </row>
    <row r="711">
      <c r="D711" s="39"/>
    </row>
    <row r="712">
      <c r="D712" s="39"/>
    </row>
    <row r="713">
      <c r="D713" s="39"/>
    </row>
    <row r="714">
      <c r="D714" s="39"/>
    </row>
    <row r="715">
      <c r="D715" s="39"/>
    </row>
    <row r="716">
      <c r="D716" s="39"/>
    </row>
    <row r="717">
      <c r="D717" s="39"/>
    </row>
    <row r="718">
      <c r="D718" s="39"/>
    </row>
    <row r="719">
      <c r="D719" s="39"/>
    </row>
    <row r="720">
      <c r="D720" s="39"/>
    </row>
    <row r="721">
      <c r="D721" s="39"/>
    </row>
    <row r="722">
      <c r="D722" s="39"/>
    </row>
    <row r="723">
      <c r="D723" s="39"/>
    </row>
    <row r="724">
      <c r="D724" s="39"/>
    </row>
    <row r="725">
      <c r="D725" s="39"/>
    </row>
    <row r="726">
      <c r="D726" s="39"/>
    </row>
    <row r="727">
      <c r="D727" s="39"/>
    </row>
    <row r="728">
      <c r="D728" s="39"/>
    </row>
    <row r="729">
      <c r="D729" s="39"/>
    </row>
    <row r="730">
      <c r="D730" s="39"/>
    </row>
    <row r="731">
      <c r="D731" s="39"/>
    </row>
    <row r="732">
      <c r="D732" s="39"/>
    </row>
    <row r="733">
      <c r="D733" s="39"/>
    </row>
    <row r="734">
      <c r="D734" s="39"/>
    </row>
    <row r="735">
      <c r="D735" s="39"/>
    </row>
    <row r="736">
      <c r="D736" s="39"/>
    </row>
    <row r="737">
      <c r="D737" s="39"/>
    </row>
    <row r="738">
      <c r="D738" s="39"/>
    </row>
    <row r="739">
      <c r="D739" s="39"/>
    </row>
    <row r="740">
      <c r="D740" s="39"/>
    </row>
    <row r="741">
      <c r="D741" s="39"/>
    </row>
    <row r="742">
      <c r="D742" s="39"/>
    </row>
    <row r="743">
      <c r="D743" s="39"/>
    </row>
    <row r="744">
      <c r="D744" s="39"/>
    </row>
    <row r="745">
      <c r="D745" s="39"/>
    </row>
    <row r="746">
      <c r="D746" s="39"/>
    </row>
    <row r="747">
      <c r="D747" s="39"/>
    </row>
    <row r="748">
      <c r="D748" s="39"/>
    </row>
    <row r="749">
      <c r="D749" s="39"/>
    </row>
    <row r="750">
      <c r="D750" s="39"/>
    </row>
    <row r="751">
      <c r="D751" s="39"/>
    </row>
    <row r="752">
      <c r="D752" s="39"/>
    </row>
    <row r="753">
      <c r="D753" s="39"/>
    </row>
    <row r="754">
      <c r="D754" s="39"/>
    </row>
    <row r="755">
      <c r="D755" s="39"/>
    </row>
    <row r="756">
      <c r="D756" s="39"/>
    </row>
    <row r="757">
      <c r="D757" s="39"/>
    </row>
    <row r="758">
      <c r="D758" s="39"/>
    </row>
    <row r="759">
      <c r="D759" s="39"/>
    </row>
    <row r="760">
      <c r="D760" s="39"/>
    </row>
    <row r="761">
      <c r="D761" s="39"/>
    </row>
    <row r="762">
      <c r="D762" s="39"/>
    </row>
    <row r="763">
      <c r="D763" s="39"/>
    </row>
    <row r="764">
      <c r="D764" s="39"/>
    </row>
    <row r="765">
      <c r="D765" s="39"/>
    </row>
    <row r="766">
      <c r="D766" s="39"/>
    </row>
    <row r="767">
      <c r="D767" s="39"/>
    </row>
    <row r="768">
      <c r="D768" s="39"/>
    </row>
    <row r="769">
      <c r="D769" s="39"/>
    </row>
    <row r="770">
      <c r="D770" s="39"/>
    </row>
    <row r="771">
      <c r="D771" s="39"/>
    </row>
    <row r="772">
      <c r="D772" s="39"/>
    </row>
    <row r="773">
      <c r="D773" s="39"/>
    </row>
    <row r="774">
      <c r="D774" s="39"/>
    </row>
    <row r="775">
      <c r="D775" s="39"/>
    </row>
    <row r="776">
      <c r="D776" s="39"/>
    </row>
    <row r="777">
      <c r="D777" s="39"/>
    </row>
    <row r="778">
      <c r="D778" s="39"/>
    </row>
    <row r="779">
      <c r="D779" s="39"/>
    </row>
    <row r="780">
      <c r="D780" s="39"/>
    </row>
    <row r="781">
      <c r="D781" s="39"/>
    </row>
    <row r="782">
      <c r="D782" s="39"/>
    </row>
    <row r="783">
      <c r="D783" s="39"/>
    </row>
    <row r="784">
      <c r="D784" s="39"/>
    </row>
    <row r="785">
      <c r="D785" s="39"/>
    </row>
    <row r="786">
      <c r="D786" s="39"/>
    </row>
    <row r="787">
      <c r="D787" s="39"/>
    </row>
    <row r="788">
      <c r="D788" s="39"/>
    </row>
    <row r="789">
      <c r="D789" s="39"/>
    </row>
    <row r="790">
      <c r="D790" s="39"/>
    </row>
    <row r="791">
      <c r="D791" s="39"/>
    </row>
    <row r="792">
      <c r="D792" s="39"/>
    </row>
    <row r="793">
      <c r="D793" s="39"/>
    </row>
    <row r="794">
      <c r="D794" s="39"/>
    </row>
    <row r="795">
      <c r="D795" s="39"/>
    </row>
    <row r="796">
      <c r="D796" s="39"/>
    </row>
    <row r="797">
      <c r="D797" s="39"/>
    </row>
    <row r="798">
      <c r="D798" s="39"/>
    </row>
    <row r="799">
      <c r="D799" s="39"/>
    </row>
    <row r="800">
      <c r="D800" s="39"/>
    </row>
    <row r="801">
      <c r="D801" s="39"/>
    </row>
    <row r="802">
      <c r="D802" s="39"/>
    </row>
    <row r="803">
      <c r="D803" s="39"/>
    </row>
    <row r="804">
      <c r="D804" s="39"/>
    </row>
    <row r="805">
      <c r="D805" s="39"/>
    </row>
    <row r="806">
      <c r="D806" s="39"/>
    </row>
    <row r="807">
      <c r="D807" s="39"/>
    </row>
    <row r="808">
      <c r="D808" s="39"/>
    </row>
    <row r="809">
      <c r="D809" s="39"/>
    </row>
    <row r="810">
      <c r="D810" s="39"/>
    </row>
    <row r="811">
      <c r="D811" s="39"/>
    </row>
    <row r="812">
      <c r="D812" s="39"/>
    </row>
    <row r="813">
      <c r="D813" s="39"/>
    </row>
    <row r="814">
      <c r="D814" s="39"/>
    </row>
    <row r="815">
      <c r="D815" s="39"/>
    </row>
    <row r="816">
      <c r="D816" s="39"/>
    </row>
    <row r="817">
      <c r="D817" s="39"/>
    </row>
    <row r="818">
      <c r="D818" s="39"/>
    </row>
    <row r="819">
      <c r="D819" s="39"/>
    </row>
    <row r="820">
      <c r="D820" s="39"/>
    </row>
    <row r="821">
      <c r="D821" s="39"/>
    </row>
    <row r="822">
      <c r="D822" s="39"/>
    </row>
    <row r="823">
      <c r="D823" s="39"/>
    </row>
    <row r="824">
      <c r="D824" s="39"/>
    </row>
    <row r="825">
      <c r="D825" s="39"/>
    </row>
    <row r="826">
      <c r="D826" s="39"/>
    </row>
    <row r="827">
      <c r="D827" s="39"/>
    </row>
    <row r="828">
      <c r="D828" s="39"/>
    </row>
    <row r="829">
      <c r="D829" s="39"/>
    </row>
    <row r="830">
      <c r="D830" s="39"/>
    </row>
    <row r="831">
      <c r="D831" s="39"/>
    </row>
    <row r="832">
      <c r="D832" s="39"/>
    </row>
    <row r="833">
      <c r="D833" s="39"/>
    </row>
    <row r="834">
      <c r="D834" s="39"/>
    </row>
    <row r="835">
      <c r="D835" s="39"/>
    </row>
    <row r="836">
      <c r="D836" s="39"/>
    </row>
    <row r="837">
      <c r="D837" s="39"/>
    </row>
    <row r="838">
      <c r="D838" s="39"/>
    </row>
    <row r="839">
      <c r="D839" s="39"/>
    </row>
    <row r="840">
      <c r="D840" s="39"/>
    </row>
    <row r="841">
      <c r="D841" s="39"/>
    </row>
    <row r="842">
      <c r="D842" s="39"/>
    </row>
    <row r="843">
      <c r="D843" s="39"/>
    </row>
    <row r="844">
      <c r="D844" s="39"/>
    </row>
    <row r="845">
      <c r="D845" s="39"/>
    </row>
    <row r="846">
      <c r="D846" s="39"/>
    </row>
    <row r="847">
      <c r="D847" s="39"/>
    </row>
    <row r="848">
      <c r="D848" s="39"/>
    </row>
    <row r="849">
      <c r="D849" s="39"/>
    </row>
    <row r="850">
      <c r="D850" s="39"/>
    </row>
    <row r="851">
      <c r="D851" s="39"/>
    </row>
    <row r="852">
      <c r="D852" s="39"/>
    </row>
    <row r="853">
      <c r="D853" s="39"/>
    </row>
    <row r="854">
      <c r="D854" s="39"/>
    </row>
    <row r="855">
      <c r="D855" s="39"/>
    </row>
    <row r="856">
      <c r="D856" s="39"/>
    </row>
    <row r="857">
      <c r="D857" s="39"/>
    </row>
    <row r="858">
      <c r="D858" s="39"/>
    </row>
    <row r="859">
      <c r="D859" s="39"/>
    </row>
    <row r="860">
      <c r="D860" s="39"/>
    </row>
    <row r="861">
      <c r="D861" s="39"/>
    </row>
    <row r="862">
      <c r="D862" s="39"/>
    </row>
    <row r="863">
      <c r="D863" s="39"/>
    </row>
    <row r="864">
      <c r="D864" s="39"/>
    </row>
    <row r="865">
      <c r="D865" s="39"/>
    </row>
    <row r="866">
      <c r="D866" s="39"/>
    </row>
    <row r="867">
      <c r="D867" s="39"/>
    </row>
    <row r="868">
      <c r="D868" s="39"/>
    </row>
    <row r="869">
      <c r="D869" s="39"/>
    </row>
    <row r="870">
      <c r="D870" s="39"/>
    </row>
    <row r="871">
      <c r="D871" s="39"/>
    </row>
    <row r="872">
      <c r="D872" s="39"/>
    </row>
    <row r="873">
      <c r="D873" s="39"/>
    </row>
    <row r="874">
      <c r="D874" s="39"/>
    </row>
    <row r="875">
      <c r="D875" s="39"/>
    </row>
    <row r="876">
      <c r="D876" s="39"/>
    </row>
    <row r="877">
      <c r="D877" s="39"/>
    </row>
    <row r="878">
      <c r="D878" s="39"/>
    </row>
    <row r="879">
      <c r="D879" s="39"/>
    </row>
    <row r="880">
      <c r="D880" s="39"/>
    </row>
    <row r="881">
      <c r="D881" s="39"/>
    </row>
    <row r="882">
      <c r="D882" s="39"/>
    </row>
    <row r="883">
      <c r="D883" s="39"/>
    </row>
    <row r="884">
      <c r="D884" s="39"/>
    </row>
    <row r="885">
      <c r="D885" s="39"/>
    </row>
    <row r="886">
      <c r="D886" s="39"/>
    </row>
    <row r="887">
      <c r="D887" s="39"/>
    </row>
    <row r="888">
      <c r="D888" s="39"/>
    </row>
    <row r="889">
      <c r="D889" s="39"/>
    </row>
    <row r="890">
      <c r="D890" s="39"/>
    </row>
    <row r="891">
      <c r="D891" s="39"/>
    </row>
    <row r="892">
      <c r="D892" s="39"/>
    </row>
    <row r="893">
      <c r="D893" s="39"/>
    </row>
    <row r="894">
      <c r="D894" s="39"/>
    </row>
    <row r="895">
      <c r="D895" s="39"/>
    </row>
    <row r="896">
      <c r="D896" s="39"/>
    </row>
    <row r="897">
      <c r="D897" s="39"/>
    </row>
    <row r="898">
      <c r="D898" s="39"/>
    </row>
    <row r="899">
      <c r="D899" s="39"/>
    </row>
    <row r="900">
      <c r="D900" s="39"/>
    </row>
    <row r="901">
      <c r="D901" s="39"/>
    </row>
    <row r="902">
      <c r="D902" s="39"/>
    </row>
    <row r="903">
      <c r="D903" s="39"/>
    </row>
    <row r="904">
      <c r="D904" s="39"/>
    </row>
    <row r="905">
      <c r="D905" s="39"/>
    </row>
    <row r="906">
      <c r="D906" s="39"/>
    </row>
    <row r="907">
      <c r="D907" s="39"/>
    </row>
    <row r="908">
      <c r="D908" s="39"/>
    </row>
    <row r="909">
      <c r="D909" s="39"/>
    </row>
    <row r="910">
      <c r="D910" s="39"/>
    </row>
    <row r="911">
      <c r="D911" s="39"/>
    </row>
    <row r="912">
      <c r="D912" s="39"/>
    </row>
    <row r="913">
      <c r="D913" s="39"/>
    </row>
    <row r="914">
      <c r="D914" s="39"/>
    </row>
    <row r="915">
      <c r="D915" s="39"/>
    </row>
    <row r="916">
      <c r="D916" s="39"/>
    </row>
    <row r="917">
      <c r="D917" s="39"/>
    </row>
    <row r="918">
      <c r="D918" s="39"/>
    </row>
    <row r="919">
      <c r="D919" s="39"/>
    </row>
    <row r="920">
      <c r="D920" s="39"/>
    </row>
    <row r="921">
      <c r="D921" s="39"/>
    </row>
    <row r="922">
      <c r="D922" s="39"/>
    </row>
    <row r="923">
      <c r="D923" s="39"/>
    </row>
    <row r="924">
      <c r="D924" s="39"/>
    </row>
    <row r="925">
      <c r="D925" s="39"/>
    </row>
    <row r="926">
      <c r="D926" s="39"/>
    </row>
    <row r="927">
      <c r="D927" s="39"/>
    </row>
    <row r="928">
      <c r="D928" s="39"/>
    </row>
    <row r="929">
      <c r="D929" s="39"/>
    </row>
    <row r="930">
      <c r="D930" s="39"/>
    </row>
    <row r="931">
      <c r="D931" s="39"/>
    </row>
    <row r="932">
      <c r="D932" s="39"/>
    </row>
    <row r="933">
      <c r="D933" s="39"/>
    </row>
    <row r="934">
      <c r="D934" s="39"/>
    </row>
    <row r="935">
      <c r="D935" s="39"/>
    </row>
    <row r="936">
      <c r="D936" s="39"/>
    </row>
    <row r="937">
      <c r="D937" s="39"/>
    </row>
    <row r="938">
      <c r="D938" s="39"/>
    </row>
    <row r="939">
      <c r="D939" s="39"/>
    </row>
    <row r="940">
      <c r="D940" s="39"/>
    </row>
    <row r="941">
      <c r="D941" s="39"/>
    </row>
    <row r="942">
      <c r="D942" s="39"/>
    </row>
    <row r="943">
      <c r="D943" s="39"/>
    </row>
    <row r="944">
      <c r="D944" s="39"/>
    </row>
    <row r="945">
      <c r="D945" s="39"/>
    </row>
    <row r="946">
      <c r="D946" s="39"/>
    </row>
    <row r="947">
      <c r="D947" s="39"/>
    </row>
    <row r="948">
      <c r="D948" s="39"/>
    </row>
    <row r="949">
      <c r="D949" s="39"/>
    </row>
    <row r="950">
      <c r="D950" s="39"/>
    </row>
    <row r="951">
      <c r="D951" s="39"/>
    </row>
    <row r="952">
      <c r="D952" s="39"/>
    </row>
    <row r="953">
      <c r="D953" s="39"/>
    </row>
    <row r="954">
      <c r="D954" s="39"/>
    </row>
    <row r="955">
      <c r="D955" s="39"/>
    </row>
    <row r="956">
      <c r="D956" s="39"/>
    </row>
    <row r="957">
      <c r="D957" s="39"/>
    </row>
    <row r="958">
      <c r="D958" s="39"/>
    </row>
    <row r="959">
      <c r="D959" s="39"/>
    </row>
    <row r="960">
      <c r="D960" s="39"/>
    </row>
    <row r="961">
      <c r="D961" s="39"/>
    </row>
    <row r="962">
      <c r="D962" s="39"/>
    </row>
    <row r="963">
      <c r="D963" s="39"/>
    </row>
    <row r="964">
      <c r="D964" s="39"/>
    </row>
    <row r="965">
      <c r="D965" s="39"/>
    </row>
    <row r="966">
      <c r="D966" s="39"/>
    </row>
    <row r="967">
      <c r="D967" s="39"/>
    </row>
    <row r="968">
      <c r="D968" s="39"/>
    </row>
    <row r="969">
      <c r="D969" s="39"/>
    </row>
    <row r="970">
      <c r="D970" s="39"/>
    </row>
    <row r="971">
      <c r="D971" s="39"/>
    </row>
    <row r="972">
      <c r="D972" s="39"/>
    </row>
    <row r="973">
      <c r="D973" s="39"/>
    </row>
    <row r="974">
      <c r="D974" s="39"/>
    </row>
    <row r="975">
      <c r="D975" s="39"/>
    </row>
    <row r="976">
      <c r="D976" s="39"/>
    </row>
    <row r="977">
      <c r="D977" s="39"/>
    </row>
    <row r="978">
      <c r="D978" s="39"/>
    </row>
    <row r="979">
      <c r="D979" s="39"/>
    </row>
    <row r="980">
      <c r="D980" s="39"/>
    </row>
    <row r="981">
      <c r="D981" s="39"/>
    </row>
    <row r="982">
      <c r="D982" s="39"/>
    </row>
    <row r="983">
      <c r="D983" s="39"/>
    </row>
    <row r="984">
      <c r="D984" s="39"/>
    </row>
    <row r="985">
      <c r="D985" s="39"/>
    </row>
    <row r="986">
      <c r="D986" s="39"/>
    </row>
    <row r="987">
      <c r="D987" s="39"/>
    </row>
    <row r="988">
      <c r="D988" s="39"/>
    </row>
    <row r="989">
      <c r="D989" s="39"/>
    </row>
    <row r="990">
      <c r="D990" s="39"/>
    </row>
    <row r="991">
      <c r="D991" s="39"/>
    </row>
    <row r="992">
      <c r="D992" s="39"/>
    </row>
    <row r="993">
      <c r="D993" s="39"/>
    </row>
    <row r="994">
      <c r="D994" s="39"/>
    </row>
    <row r="995">
      <c r="D995" s="39"/>
    </row>
    <row r="996">
      <c r="D996" s="39"/>
    </row>
    <row r="997">
      <c r="D997" s="39"/>
    </row>
    <row r="998">
      <c r="D998" s="39"/>
    </row>
    <row r="999">
      <c r="D999" s="39"/>
    </row>
    <row r="1000">
      <c r="D1000" s="39"/>
    </row>
  </sheetData>
  <mergeCells count="9">
    <mergeCell ref="K26:K27"/>
    <mergeCell ref="J29:K30"/>
    <mergeCell ref="A1:K5"/>
    <mergeCell ref="G7:K8"/>
    <mergeCell ref="G18:K19"/>
    <mergeCell ref="J23:K23"/>
    <mergeCell ref="J24:J25"/>
    <mergeCell ref="K24:K25"/>
    <mergeCell ref="J26:J27"/>
  </mergeCells>
  <conditionalFormatting sqref="A8:D301">
    <cfRule type="expression" dxfId="10" priority="1">
      <formula>AND($C8&lt;&gt;"", $D8="")</formula>
    </cfRule>
  </conditionalFormatting>
  <conditionalFormatting sqref="G18:K19">
    <cfRule type="expression" dxfId="11" priority="2">
      <formula>H16-K16&lt;0</formula>
    </cfRule>
  </conditionalFormatting>
  <conditionalFormatting sqref="G18:K19">
    <cfRule type="expression" dxfId="12" priority="3">
      <formula>H16-K16&gt;0</formula>
    </cfRule>
  </conditionalFormatting>
  <conditionalFormatting sqref="G18:K19">
    <cfRule type="expression" dxfId="13" priority="4">
      <formula>H16-K16=0</formula>
    </cfRule>
  </conditionalFormatting>
  <drawing r:id="rId1"/>
  <tableParts count="3">
    <tablePart r:id="rId5"/>
    <tablePart r:id="rId6"/>
    <tablePart r:id="rId7"/>
  </tableParts>
</worksheet>
</file>