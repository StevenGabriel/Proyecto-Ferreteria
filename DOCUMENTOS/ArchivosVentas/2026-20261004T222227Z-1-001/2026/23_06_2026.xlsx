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<sst xmlns="http://schemas.openxmlformats.org/spreadsheetml/2006/main" count="95" uniqueCount="94">
  <si>
    <t>HOJA DE CALCULO FERRETERIA</t>
  </si>
  <si>
    <t>CODIGO</t>
  </si>
  <si>
    <t>CANTIDAD</t>
  </si>
  <si>
    <t>DESCRIPCION</t>
  </si>
  <si>
    <t>TOTAL</t>
  </si>
  <si>
    <t>HORA</t>
  </si>
  <si>
    <t>CUADRAR</t>
  </si>
  <si>
    <t>clavija lateral</t>
  </si>
  <si>
    <t>toma sobreponer</t>
  </si>
  <si>
    <t>MONEDAS</t>
  </si>
  <si>
    <t>CAJA CHICA</t>
  </si>
  <si>
    <t>pastina gris</t>
  </si>
  <si>
    <t>BILLETES 10-20</t>
  </si>
  <si>
    <t>TOTAL VENTAS DIA</t>
  </si>
  <si>
    <t>disco uyustool 7</t>
  </si>
  <si>
    <t>BILLETES 50-100-200</t>
  </si>
  <si>
    <t>AUMENTO DE DINERO</t>
  </si>
  <si>
    <t>kl clavo 3</t>
  </si>
  <si>
    <t>INGRESOS YAPE</t>
  </si>
  <si>
    <t>disco cermica 4</t>
  </si>
  <si>
    <t>INGRESOS TARJETA</t>
  </si>
  <si>
    <t>disco copa trenzada 4</t>
  </si>
  <si>
    <t>GASTOS VARIOS</t>
  </si>
  <si>
    <t>tubo conduit</t>
  </si>
  <si>
    <t>tirafonfo 1/4x2</t>
  </si>
  <si>
    <t>DINERO GANADO HOY:</t>
  </si>
  <si>
    <t>CANTIDAD DINERO CAJA:</t>
  </si>
  <si>
    <t>arandela</t>
  </si>
  <si>
    <t>yeso</t>
  </si>
  <si>
    <t>tuercas</t>
  </si>
  <si>
    <t>ergaton 25mm</t>
  </si>
  <si>
    <t>guante truper</t>
  </si>
  <si>
    <t>tirafondo 14 x 3</t>
  </si>
  <si>
    <t>ramplu 10 lh</t>
  </si>
  <si>
    <t>YAPE MAMÁ</t>
  </si>
  <si>
    <t>YAPE PAPÁ</t>
  </si>
  <si>
    <t>YAPE</t>
  </si>
  <si>
    <t>ramplu 8 lh</t>
  </si>
  <si>
    <t>Monto Total YAPE (No tocar):</t>
  </si>
  <si>
    <t>latex marfil</t>
  </si>
  <si>
    <t>lija 120</t>
  </si>
  <si>
    <t>Monto Total Registrado en aplicacion</t>
  </si>
  <si>
    <t>lija 220</t>
  </si>
  <si>
    <t>ramplu lh8</t>
  </si>
  <si>
    <t>chip 5x50</t>
  </si>
  <si>
    <t>bocha 2</t>
  </si>
  <si>
    <t>adaptador internet</t>
  </si>
  <si>
    <t>alargador 3m</t>
  </si>
  <si>
    <t>rodillo anrigoteo</t>
  </si>
  <si>
    <t>niple fg 1/2</t>
  </si>
  <si>
    <t>PAGOS YAPE</t>
  </si>
  <si>
    <t>DESCRIPCION PAGO</t>
  </si>
  <si>
    <t>codo fg 1/2</t>
  </si>
  <si>
    <t>fresa</t>
  </si>
  <si>
    <t>2M</t>
  </si>
  <si>
    <t>MANGUERA NIVEL 3/8</t>
  </si>
  <si>
    <t>DISCO COPA 4</t>
  </si>
  <si>
    <t>ESPIGA 3/4</t>
  </si>
  <si>
    <t>ABRAZADERA</t>
  </si>
  <si>
    <t>YESO</t>
  </si>
  <si>
    <t>TAPA CIEGA</t>
  </si>
  <si>
    <t>BARNIZ</t>
  </si>
  <si>
    <t>20CM</t>
  </si>
  <si>
    <t>LIJA 220</t>
  </si>
  <si>
    <t>BOCA 1</t>
  </si>
  <si>
    <t>DISCO GALLETA</t>
  </si>
  <si>
    <t>CLEFA 100ML</t>
  </si>
  <si>
    <t>2PAR</t>
  </si>
  <si>
    <t>BROCAGRA 2</t>
  </si>
  <si>
    <t>ASPITADORA JADEVER</t>
  </si>
  <si>
    <t>DISCO CONCRETO 7</t>
  </si>
  <si>
    <t>SUPER GLU</t>
  </si>
  <si>
    <t>DESARMADOR REVERSIBLE</t>
  </si>
  <si>
    <t>CINTA AISLANTE</t>
  </si>
  <si>
    <t>LATEX CAFE 1L</t>
  </si>
  <si>
    <t>FLAPER</t>
  </si>
  <si>
    <t>BARRA L 1/2</t>
  </si>
  <si>
    <t>CANDADO 45M</t>
  </si>
  <si>
    <t>2K</t>
  </si>
  <si>
    <t>ALAMBRE AMARRE</t>
  </si>
  <si>
    <t>KL CLAVO 21/2</t>
  </si>
  <si>
    <t>POXIPOL METALICO</t>
  </si>
  <si>
    <t>SILIONA TRANSPARENTE</t>
  </si>
  <si>
    <t>3M</t>
  </si>
  <si>
    <t>ALAMBRE 12</t>
  </si>
  <si>
    <t>SUMIDERO FV</t>
  </si>
  <si>
    <t>JUEGO DE DADOS</t>
  </si>
  <si>
    <t>RAMPLU 10LH</t>
  </si>
  <si>
    <t>PRESINTO 10CM</t>
  </si>
  <si>
    <t>gotita</t>
  </si>
  <si>
    <t>ecole</t>
  </si>
  <si>
    <t>poxiln</t>
  </si>
  <si>
    <t>piton de gas</t>
  </si>
  <si>
    <t xml:space="preserve">alargdro corriente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</si>
</sst>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666666"/>
        <bgColor rgb="FF666666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8.0</v>
      </c>
      <c r="E8" s="8">
        <v>46196.36379398148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8.0</v>
      </c>
      <c r="E9" s="8">
        <v>46196.36385170139</v>
      </c>
      <c r="F9" s="2"/>
      <c r="G9" s="9" t="s">
        <v>9</v>
      </c>
      <c r="H9" s="10">
        <v>134.0</v>
      </c>
      <c r="I9" s="2"/>
      <c r="J9" s="9" t="s">
        <v>10</v>
      </c>
      <c r="K9" s="10">
        <v>839.0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23.0</v>
      </c>
      <c r="E10" s="8">
        <v>46196.374013402776</v>
      </c>
      <c r="F10" s="2"/>
      <c r="G10" s="9" t="s">
        <v>12</v>
      </c>
      <c r="H10" s="10">
        <v>340.0</v>
      </c>
      <c r="I10" s="2"/>
      <c r="J10" s="9" t="s">
        <v>13</v>
      </c>
      <c r="K10" s="11">
        <f>SUM(PRINCIPAL[TOTAL])</f>
        <v>2031.5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53.0</v>
      </c>
      <c r="E11" s="8">
        <v>46196.3814575463</v>
      </c>
      <c r="F11" s="2"/>
      <c r="G11" s="9" t="s">
        <v>15</v>
      </c>
      <c r="H11" s="10">
        <v>1000.0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20.0</v>
      </c>
      <c r="E12" s="8">
        <v>46196.381514016204</v>
      </c>
      <c r="F12" s="2"/>
      <c r="G12" s="9" t="s">
        <v>18</v>
      </c>
      <c r="H12" s="12">
        <f>SUM(G24:H361)</f>
        <v>1408.5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28.0</v>
      </c>
      <c r="E13" s="8">
        <v>46196.38312237269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39.0</v>
      </c>
      <c r="E14" s="8">
        <v>46196.38362814815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14.0</v>
      </c>
      <c r="E15" s="8">
        <v>46196.390177152774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12.0</v>
      </c>
      <c r="C16" s="7" t="s">
        <v>24</v>
      </c>
      <c r="D16" s="6">
        <v>7.0</v>
      </c>
      <c r="E16" s="8">
        <v>46196.410616354166</v>
      </c>
      <c r="F16" s="2"/>
      <c r="G16" s="15" t="s">
        <v>25</v>
      </c>
      <c r="H16" s="16">
        <f>SUM(H9:H14)</f>
        <v>2882.5</v>
      </c>
      <c r="I16" s="3"/>
      <c r="J16" s="15" t="s">
        <v>26</v>
      </c>
      <c r="K16" s="16">
        <f>SUM(K9:K11)</f>
        <v>2870.5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12.0</v>
      </c>
      <c r="C17" s="7" t="s">
        <v>27</v>
      </c>
      <c r="D17" s="6">
        <v>3.0</v>
      </c>
      <c r="E17" s="8">
        <v>46196.41069710648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16.0</v>
      </c>
      <c r="E18" s="8">
        <v>46196.41237706019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4.0</v>
      </c>
      <c r="C19" s="7" t="s">
        <v>29</v>
      </c>
      <c r="D19" s="18">
        <v>2.0</v>
      </c>
      <c r="E19" s="8">
        <v>46196.41692765046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40.0</v>
      </c>
      <c r="C20" s="7" t="s">
        <v>30</v>
      </c>
      <c r="D20" s="6">
        <v>80.0</v>
      </c>
      <c r="E20" s="8">
        <v>46196.417097893514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19.0</v>
      </c>
      <c r="E21" s="8">
        <v>46196.42438616898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4.0</v>
      </c>
      <c r="C22" s="7" t="s">
        <v>32</v>
      </c>
      <c r="D22" s="6">
        <v>3.5</v>
      </c>
      <c r="E22" s="8">
        <v>46196.43405575231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4.0</v>
      </c>
      <c r="C23" s="7" t="s">
        <v>33</v>
      </c>
      <c r="D23" s="6">
        <v>4.0</v>
      </c>
      <c r="E23" s="8">
        <v>46196.43414670139</v>
      </c>
      <c r="F23" s="2"/>
      <c r="G23" s="20" t="s">
        <v>34</v>
      </c>
      <c r="H23" s="20" t="s">
        <v>35</v>
      </c>
      <c r="I23" s="2"/>
      <c r="J23" s="21" t="s">
        <v>36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4.0</v>
      </c>
      <c r="C24" s="7" t="s">
        <v>37</v>
      </c>
      <c r="D24" s="6">
        <v>2.0</v>
      </c>
      <c r="E24" s="8">
        <v>46196.434293645834</v>
      </c>
      <c r="F24" s="2"/>
      <c r="G24" s="23">
        <v>67.0</v>
      </c>
      <c r="H24" s="24"/>
      <c r="I24" s="2"/>
      <c r="J24" s="25" t="s">
        <v>38</v>
      </c>
      <c r="K24" s="26">
        <f>SUM(INGRESOS_YAPE[])</f>
        <v>1408.5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136.0</v>
      </c>
      <c r="E25" s="8">
        <v>46196.44746923611</v>
      </c>
      <c r="F25" s="2"/>
      <c r="G25" s="23">
        <v>80.0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27">
        <v>46054.0</v>
      </c>
      <c r="C26" s="7" t="s">
        <v>40</v>
      </c>
      <c r="D26" s="6">
        <v>5.0</v>
      </c>
      <c r="E26" s="8">
        <v>46196.447669270834</v>
      </c>
      <c r="F26" s="2"/>
      <c r="G26" s="28">
        <v>170.0</v>
      </c>
      <c r="H26" s="24"/>
      <c r="I26" s="2"/>
      <c r="J26" s="29" t="s">
        <v>41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27">
        <v>46054.0</v>
      </c>
      <c r="C27" s="7" t="s">
        <v>42</v>
      </c>
      <c r="D27" s="6">
        <v>5.0</v>
      </c>
      <c r="E27" s="8">
        <v>46196.44775150463</v>
      </c>
      <c r="F27" s="2"/>
      <c r="G27" s="23">
        <v>31.5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20.0</v>
      </c>
      <c r="C28" s="7" t="s">
        <v>43</v>
      </c>
      <c r="D28" s="6">
        <v>10.0</v>
      </c>
      <c r="E28" s="8">
        <v>46196.451654930555</v>
      </c>
      <c r="F28" s="2"/>
      <c r="G28" s="23">
        <v>58.0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20.0</v>
      </c>
      <c r="C29" s="7" t="s">
        <v>44</v>
      </c>
      <c r="D29" s="6">
        <v>8.0</v>
      </c>
      <c r="E29" s="8">
        <v>46196.45175945602</v>
      </c>
      <c r="F29" s="2"/>
      <c r="G29" s="23">
        <v>94.0</v>
      </c>
      <c r="H29" s="24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1408,50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6.0</v>
      </c>
      <c r="E30" s="8">
        <v>46196.451868414355</v>
      </c>
      <c r="F30" s="2"/>
      <c r="G30" s="23">
        <v>320.0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25.0</v>
      </c>
      <c r="E31" s="8">
        <v>46196.45204200232</v>
      </c>
      <c r="F31" s="2"/>
      <c r="G31" s="23">
        <v>12.0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33.0</v>
      </c>
      <c r="E32" s="8">
        <v>46196.45208150463</v>
      </c>
      <c r="F32" s="2"/>
      <c r="G32" s="23">
        <v>24.0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31.5</v>
      </c>
      <c r="E33" s="8">
        <v>46196.45239265046</v>
      </c>
      <c r="F33" s="2"/>
      <c r="G33" s="23">
        <v>8.0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12.5</v>
      </c>
      <c r="E34" s="8">
        <v>46196.45252803241</v>
      </c>
      <c r="F34" s="2"/>
      <c r="G34" s="23">
        <v>200.0</v>
      </c>
      <c r="H34" s="24"/>
      <c r="I34" s="2"/>
      <c r="J34" s="32" t="s">
        <v>50</v>
      </c>
      <c r="K34" s="32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12.0</v>
      </c>
      <c r="E35" s="8">
        <v>46196.45257814815</v>
      </c>
      <c r="F35" s="2"/>
      <c r="G35" s="23">
        <v>35.0</v>
      </c>
      <c r="H35" s="24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94.0</v>
      </c>
      <c r="E36" s="8">
        <v>46196.45432945601</v>
      </c>
      <c r="F36" s="2"/>
      <c r="G36" s="23">
        <v>52.0</v>
      </c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 t="s">
        <v>54</v>
      </c>
      <c r="C37" s="7" t="s">
        <v>55</v>
      </c>
      <c r="D37" s="6">
        <v>13.0</v>
      </c>
      <c r="E37" s="8">
        <v>46196.456977106485</v>
      </c>
      <c r="F37" s="2"/>
      <c r="G37" s="23">
        <v>58.0</v>
      </c>
      <c r="H37" s="24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10.0</v>
      </c>
      <c r="C38" s="7" t="s">
        <v>56</v>
      </c>
      <c r="D38" s="6">
        <v>320.0</v>
      </c>
      <c r="E38" s="8">
        <v>46196.45727542824</v>
      </c>
      <c r="F38" s="2"/>
      <c r="G38" s="23">
        <v>120.0</v>
      </c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6.0</v>
      </c>
      <c r="E39" s="8">
        <v>46196.4676044213</v>
      </c>
      <c r="F39" s="2"/>
      <c r="G39" s="23">
        <v>38.0</v>
      </c>
      <c r="H39" s="24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4.0</v>
      </c>
      <c r="E40" s="8">
        <v>46196.467672314815</v>
      </c>
      <c r="F40" s="2"/>
      <c r="G40" s="23">
        <v>16.0</v>
      </c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16.0</v>
      </c>
      <c r="E41" s="8">
        <v>46196.469356319445</v>
      </c>
      <c r="F41" s="2"/>
      <c r="G41" s="23">
        <v>25.0</v>
      </c>
      <c r="H41" s="24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8.0</v>
      </c>
      <c r="C42" s="7" t="s">
        <v>60</v>
      </c>
      <c r="D42" s="6">
        <v>12.0</v>
      </c>
      <c r="E42" s="8">
        <v>46196.47745961805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18.0</v>
      </c>
      <c r="E43" s="8">
        <v>46196.49433579861</v>
      </c>
      <c r="F43" s="2"/>
      <c r="G43" s="24"/>
      <c r="H43" s="24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 t="s">
        <v>62</v>
      </c>
      <c r="C44" s="7" t="s">
        <v>63</v>
      </c>
      <c r="D44" s="6">
        <v>2.0</v>
      </c>
      <c r="E44" s="8">
        <v>46196.49439344907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4.0</v>
      </c>
      <c r="E45" s="8">
        <v>46196.49446988426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65</v>
      </c>
      <c r="D46" s="6">
        <v>10.0</v>
      </c>
      <c r="E46" s="8">
        <v>46196.50788535879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15.0</v>
      </c>
      <c r="E47" s="8">
        <v>46196.51349895833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67</v>
      </c>
      <c r="C48" s="7" t="s">
        <v>68</v>
      </c>
      <c r="D48" s="6">
        <v>8.0</v>
      </c>
      <c r="E48" s="8">
        <v>46196.51354565972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69</v>
      </c>
      <c r="D49" s="6">
        <v>180.0</v>
      </c>
      <c r="E49" s="8">
        <v>46196.52338990741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70</v>
      </c>
      <c r="D50" s="6">
        <v>50.0</v>
      </c>
      <c r="E50" s="8">
        <v>46196.537048287035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71</v>
      </c>
      <c r="D51" s="6">
        <v>15.0</v>
      </c>
      <c r="E51" s="8">
        <v>46196.53712091435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72</v>
      </c>
      <c r="D52" s="6">
        <v>7.0</v>
      </c>
      <c r="E52" s="8">
        <v>46196.54443270834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73</v>
      </c>
      <c r="D53" s="6">
        <v>9.0</v>
      </c>
      <c r="E53" s="8">
        <v>46196.54521387731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74</v>
      </c>
      <c r="D54" s="6">
        <v>35.0</v>
      </c>
      <c r="E54" s="8">
        <v>46196.556499224534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8.0</v>
      </c>
      <c r="E55" s="8">
        <v>46196.55895464121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76</v>
      </c>
      <c r="D56" s="18">
        <v>52.0</v>
      </c>
      <c r="E56" s="8">
        <v>46196.56971310185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40.0</v>
      </c>
      <c r="E57" s="8">
        <v>46196.575062488424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 t="s">
        <v>78</v>
      </c>
      <c r="C58" s="7" t="s">
        <v>79</v>
      </c>
      <c r="D58" s="6">
        <v>38.0</v>
      </c>
      <c r="E58" s="8">
        <v>46196.582597939814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80</v>
      </c>
      <c r="D59" s="6">
        <v>20.0</v>
      </c>
      <c r="E59" s="8">
        <v>46196.582786597224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81</v>
      </c>
      <c r="D60" s="6">
        <v>36.0</v>
      </c>
      <c r="E60" s="8">
        <v>46196.58288645833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82</v>
      </c>
      <c r="D61" s="6">
        <v>26.0</v>
      </c>
      <c r="E61" s="8">
        <v>46196.59916266204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83</v>
      </c>
      <c r="C62" s="7" t="s">
        <v>84</v>
      </c>
      <c r="D62" s="6">
        <v>44.0</v>
      </c>
      <c r="E62" s="8">
        <v>46196.61198255787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85</v>
      </c>
      <c r="D63" s="6">
        <v>70.0</v>
      </c>
      <c r="E63" s="8">
        <v>46196.64403090278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86</v>
      </c>
      <c r="D64" s="6">
        <v>120.0</v>
      </c>
      <c r="E64" s="8">
        <v>46196.66221418981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4.0</v>
      </c>
      <c r="C65" s="7" t="s">
        <v>87</v>
      </c>
      <c r="D65" s="6">
        <v>4.0</v>
      </c>
      <c r="E65" s="8">
        <v>46196.66335969907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88</v>
      </c>
      <c r="D66" s="6">
        <v>12.0</v>
      </c>
      <c r="E66" s="8">
        <v>46196.66430326389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89</v>
      </c>
      <c r="D67" s="6">
        <v>11.0</v>
      </c>
      <c r="E67" s="8">
        <v>46196.69632564815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90</v>
      </c>
      <c r="D68" s="6">
        <v>24.0</v>
      </c>
      <c r="E68" s="8">
        <v>46196.69649966435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91</v>
      </c>
      <c r="D69" s="6">
        <v>38.0</v>
      </c>
      <c r="E69" s="8">
        <v>46196.709282615746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92</v>
      </c>
      <c r="D70" s="6">
        <v>16.0</v>
      </c>
      <c r="E70" s="8">
        <v>46196.72230417824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77</v>
      </c>
      <c r="D71" s="6">
        <v>16.0</v>
      </c>
      <c r="E71" s="8">
        <v>46196.746768425925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93</v>
      </c>
      <c r="D72" s="6">
        <v>25.0</v>
      </c>
      <c r="E72" s="8">
        <v>46196.75968967592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5"/>
      <c r="D73" s="36"/>
      <c r="E73" s="37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5"/>
      <c r="D74" s="36"/>
      <c r="E74" s="37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5"/>
      <c r="D75" s="36"/>
      <c r="E75" s="37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5"/>
      <c r="D76" s="36"/>
      <c r="E76" s="37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5"/>
      <c r="D77" s="36"/>
      <c r="E77" s="37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5"/>
      <c r="D78" s="36"/>
      <c r="E78" s="37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5"/>
      <c r="D79" s="36"/>
      <c r="E79" s="37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7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