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<sst xmlns="http://schemas.openxmlformats.org/spreadsheetml/2006/main" count="85" uniqueCount="84">
  <si>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</si>
  <si>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</si>
  <si>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</si>
  <si>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</si>
  <si>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</si>
  <si>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</si>
  <si>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</si>
  <si>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LLAVE PIPA </t>
  </si>
  <si>
    <t>1KL</t>
  </si>
  <si>
    <t>ALAMBRE AMARRE</t>
  </si>
  <si>
    <t>MONEDAS</t>
  </si>
  <si>
    <t>CAJA CHICA</t>
  </si>
  <si>
    <t>CARBON 50</t>
  </si>
  <si>
    <t>BILLETES 10-20</t>
  </si>
  <si>
    <t>TOTAL VENTAS DIA</t>
  </si>
  <si>
    <t>PASTINA PLATA</t>
  </si>
  <si>
    <t>BILLETES 50-100-200</t>
  </si>
  <si>
    <t>AUMENTO DE DINERO</t>
  </si>
  <si>
    <t>BROCHA 6</t>
  </si>
  <si>
    <t>INGRESOS YAPE</t>
  </si>
  <si>
    <t>lente tr con liga</t>
  </si>
  <si>
    <t>INGRESOS TARJETA</t>
  </si>
  <si>
    <t>foco lavaplatos</t>
  </si>
  <si>
    <t>GASTOS VARIOS</t>
  </si>
  <si>
    <t>foco 50w</t>
  </si>
  <si>
    <t>chicotillo 40cm</t>
  </si>
  <si>
    <t>DINERO GANADO HOY:</t>
  </si>
  <si>
    <t>CANTIDAD DINERO CAJA:</t>
  </si>
  <si>
    <t xml:space="preserve">grifo fv </t>
  </si>
  <si>
    <t>teflon</t>
  </si>
  <si>
    <t>1jgo</t>
  </si>
  <si>
    <t xml:space="preserve">mini alicate </t>
  </si>
  <si>
    <t>cupla 1/2</t>
  </si>
  <si>
    <t>flotador margirius</t>
  </si>
  <si>
    <t>resistencia</t>
  </si>
  <si>
    <t>carbon 298</t>
  </si>
  <si>
    <t>YAPE MAMÁ</t>
  </si>
  <si>
    <t>YAPE PAPÁ</t>
  </si>
  <si>
    <t>YAPE</t>
  </si>
  <si>
    <t>desarmador rever</t>
  </si>
  <si>
    <t>Monto Total YAPE (No tocar):</t>
  </si>
  <si>
    <t>disco copa 4</t>
  </si>
  <si>
    <t>aerosol negro mate</t>
  </si>
  <si>
    <t>Monto Total Registrado en aplicacion</t>
  </si>
  <si>
    <t>flexo 8m tr</t>
  </si>
  <si>
    <t xml:space="preserve">brochha </t>
  </si>
  <si>
    <t>clavo</t>
  </si>
  <si>
    <t>rodillo</t>
  </si>
  <si>
    <t>latex</t>
  </si>
  <si>
    <t>bateria</t>
  </si>
  <si>
    <t>1 mt</t>
  </si>
  <si>
    <t>malla mm</t>
  </si>
  <si>
    <t>aeerosol negro mate</t>
  </si>
  <si>
    <t>PAGOS YAPE</t>
  </si>
  <si>
    <t>DESCRIPCION PAGO</t>
  </si>
  <si>
    <t>disco uyusto</t>
  </si>
  <si>
    <t xml:space="preserve">broca irwin </t>
  </si>
  <si>
    <t>broca truper</t>
  </si>
  <si>
    <t>cable bipolara</t>
  </si>
  <si>
    <t>interrupto de paso</t>
  </si>
  <si>
    <t>siquet</t>
  </si>
  <si>
    <t xml:space="preserve">clabija </t>
  </si>
  <si>
    <t>lija  1/2 m</t>
  </si>
  <si>
    <t>llae combinada 7</t>
  </si>
  <si>
    <t>CINTA TELA</t>
  </si>
  <si>
    <t>ALARGADOR 20M</t>
  </si>
  <si>
    <t>CHIP 4.5X25</t>
  </si>
  <si>
    <t>RAMPLU 6</t>
  </si>
  <si>
    <t>ARMELLA ELE</t>
  </si>
  <si>
    <t>ALICATE LLAVE DE FILTRO</t>
  </si>
  <si>
    <t>ANGULS TUPER</t>
  </si>
  <si>
    <t xml:space="preserve">LLAVE </t>
  </si>
  <si>
    <t>CLAVIJA TRAMONTIA</t>
  </si>
  <si>
    <t>FOCO TRAMONIA</t>
  </si>
  <si>
    <t>COPLA 11/2</t>
  </si>
  <si>
    <t>PARES DE BISAGRA DE 2</t>
  </si>
  <si>
    <t xml:space="preserve"> DISCO DE CORTE</t>
  </si>
  <si>
    <t>BOLSAS</t>
  </si>
  <si>
    <t>TERMICO</t>
  </si>
  <si>
    <t>M CABLE</t>
  </si>
  <si>
    <t>SOQUET</t>
  </si>
  <si>
    <t>CINA AISLANTE</t>
  </si>
  <si>
    <t>INTERP DE PASO</t>
  </si>
  <si>
    <t>FOCO INCANDESNEE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</si>
</sst>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E69138"/>
        <bgColor rgb="FFE69138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55.0</v>
      </c>
      <c r="E8" s="8">
        <v>46276.35933975695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 t="s">
        <v>8</v>
      </c>
      <c r="C9" s="7" t="s">
        <v>9</v>
      </c>
      <c r="D9" s="6">
        <v>20.0</v>
      </c>
      <c r="E9" s="8">
        <v>46276.36239606481</v>
      </c>
      <c r="F9" s="2"/>
      <c r="G9" s="9" t="s">
        <v>10</v>
      </c>
      <c r="H9" s="10">
        <v>169.0</v>
      </c>
      <c r="I9" s="2"/>
      <c r="J9" s="9" t="s">
        <v>11</v>
      </c>
      <c r="K9" s="10">
        <v>730.0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12</v>
      </c>
      <c r="D10" s="6">
        <v>26.0</v>
      </c>
      <c r="E10" s="8">
        <v>46276.36770234954</v>
      </c>
      <c r="F10" s="2"/>
      <c r="G10" s="9" t="s">
        <v>13</v>
      </c>
      <c r="H10" s="10">
        <v>360.0</v>
      </c>
      <c r="I10" s="2"/>
      <c r="J10" s="9" t="s">
        <v>14</v>
      </c>
      <c r="K10" s="11">
        <f>SUM(PRINCIPAL[TOTAL])</f>
        <v>2111.5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5.0</v>
      </c>
      <c r="C11" s="7" t="s">
        <v>15</v>
      </c>
      <c r="D11" s="6">
        <v>105.0</v>
      </c>
      <c r="E11" s="8">
        <v>46276.376247754626</v>
      </c>
      <c r="F11" s="2"/>
      <c r="G11" s="9" t="s">
        <v>16</v>
      </c>
      <c r="H11" s="10">
        <v>1150.0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18</v>
      </c>
      <c r="D12" s="6">
        <v>48.0</v>
      </c>
      <c r="E12" s="8">
        <v>46276.37720125</v>
      </c>
      <c r="F12" s="2"/>
      <c r="G12" s="9" t="s">
        <v>19</v>
      </c>
      <c r="H12" s="12">
        <f>SUM(G24:H361)</f>
        <v>1047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59.0</v>
      </c>
      <c r="E13" s="8">
        <v>46276.410726539354</v>
      </c>
      <c r="F13" s="2"/>
      <c r="G13" s="9" t="s">
        <v>21</v>
      </c>
      <c r="H13" s="10">
        <v>174.0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135.0</v>
      </c>
      <c r="E14" s="8">
        <v>46276.43993974537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3.0</v>
      </c>
      <c r="C15" s="7" t="s">
        <v>24</v>
      </c>
      <c r="D15" s="6">
        <v>174.0</v>
      </c>
      <c r="E15" s="8">
        <v>46276.440003738426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60.0</v>
      </c>
      <c r="E16" s="8">
        <v>46276.441370138884</v>
      </c>
      <c r="F16" s="2"/>
      <c r="G16" s="15" t="s">
        <v>26</v>
      </c>
      <c r="H16" s="16">
        <f>SUM(H9:H14)</f>
        <v>2900</v>
      </c>
      <c r="I16" s="3"/>
      <c r="J16" s="15" t="s">
        <v>27</v>
      </c>
      <c r="K16" s="16">
        <f>SUM(K9:K11)</f>
        <v>2841.5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95.0</v>
      </c>
      <c r="E17" s="8">
        <v>46276.44163746528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3.0</v>
      </c>
      <c r="E18" s="8">
        <v>46276.44170094907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58,50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30</v>
      </c>
      <c r="C19" s="7" t="s">
        <v>31</v>
      </c>
      <c r="D19" s="18">
        <v>65.0</v>
      </c>
      <c r="E19" s="8">
        <v>46276.45967859954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32</v>
      </c>
      <c r="D20" s="6">
        <v>3.5</v>
      </c>
      <c r="E20" s="8">
        <v>46276.459954687496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33</v>
      </c>
      <c r="D21" s="6">
        <v>115.0</v>
      </c>
      <c r="E21" s="8">
        <v>46276.47244341436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34</v>
      </c>
      <c r="D22" s="6">
        <v>64.0</v>
      </c>
      <c r="E22" s="8">
        <v>46276.48383751157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35</v>
      </c>
      <c r="D23" s="6">
        <v>27.0</v>
      </c>
      <c r="E23" s="8">
        <v>46276.543184236114</v>
      </c>
      <c r="F23" s="2"/>
      <c r="G23" s="20" t="s">
        <v>36</v>
      </c>
      <c r="H23" s="20" t="s">
        <v>37</v>
      </c>
      <c r="I23" s="2"/>
      <c r="J23" s="21" t="s">
        <v>38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39</v>
      </c>
      <c r="D24" s="6">
        <v>9.0</v>
      </c>
      <c r="E24" s="8">
        <v>46276.52611883102</v>
      </c>
      <c r="F24" s="2"/>
      <c r="G24" s="23">
        <v>55.0</v>
      </c>
      <c r="H24" s="24"/>
      <c r="I24" s="2"/>
      <c r="J24" s="25" t="s">
        <v>40</v>
      </c>
      <c r="K24" s="26">
        <f>SUM(INGRESOS_YAPE[])</f>
        <v>1047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41</v>
      </c>
      <c r="D25" s="6">
        <v>34.0</v>
      </c>
      <c r="E25" s="8">
        <v>46276.52605818287</v>
      </c>
      <c r="F25" s="2"/>
      <c r="G25" s="23">
        <v>135.0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42</v>
      </c>
      <c r="D26" s="6">
        <v>20.0</v>
      </c>
      <c r="E26" s="8">
        <v>46276.543237488426</v>
      </c>
      <c r="F26" s="2"/>
      <c r="G26" s="27">
        <v>158.0</v>
      </c>
      <c r="H26" s="24"/>
      <c r="I26" s="2"/>
      <c r="J26" s="28" t="s">
        <v>43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44</v>
      </c>
      <c r="D27" s="6">
        <v>95.0</v>
      </c>
      <c r="E27" s="8">
        <v>46276.5539031713</v>
      </c>
      <c r="F27" s="2"/>
      <c r="G27" s="23">
        <v>115.0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45</v>
      </c>
      <c r="D28" s="6">
        <v>9.0</v>
      </c>
      <c r="E28" s="8">
        <v>46276.58538143519</v>
      </c>
      <c r="F28" s="2"/>
      <c r="G28" s="23">
        <v>64.0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46</v>
      </c>
      <c r="D29" s="6">
        <v>78.0</v>
      </c>
      <c r="E29" s="8">
        <v>46276.58550407407</v>
      </c>
      <c r="F29" s="2"/>
      <c r="G29" s="23">
        <v>70.0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1047,00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26.0</v>
      </c>
      <c r="E30" s="8">
        <v>46276.58566793981</v>
      </c>
      <c r="F30" s="2"/>
      <c r="G30" s="23">
        <v>30.0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48</v>
      </c>
      <c r="D31" s="6">
        <v>44.0</v>
      </c>
      <c r="E31" s="8">
        <v>46276.58594577546</v>
      </c>
      <c r="F31" s="2"/>
      <c r="G31" s="23">
        <v>79.0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49</v>
      </c>
      <c r="D32" s="6">
        <v>27.0</v>
      </c>
      <c r="E32" s="8">
        <v>46276.58973359954</v>
      </c>
      <c r="F32" s="2"/>
      <c r="G32" s="23">
        <v>78.0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 t="s">
        <v>50</v>
      </c>
      <c r="C33" s="7" t="s">
        <v>51</v>
      </c>
      <c r="D33" s="6">
        <v>28.0</v>
      </c>
      <c r="E33" s="8">
        <v>46276.60302300926</v>
      </c>
      <c r="F33" s="2"/>
      <c r="G33" s="23">
        <v>28.0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52</v>
      </c>
      <c r="D34" s="6">
        <v>20.0</v>
      </c>
      <c r="E34" s="8">
        <v>46276.63395377315</v>
      </c>
      <c r="F34" s="2"/>
      <c r="G34" s="23">
        <v>180.0</v>
      </c>
      <c r="H34" s="24"/>
      <c r="I34" s="2"/>
      <c r="J34" s="31" t="s">
        <v>53</v>
      </c>
      <c r="K34" s="31" t="s">
        <v>54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12.0</v>
      </c>
      <c r="C35" s="7" t="s">
        <v>55</v>
      </c>
      <c r="D35" s="6">
        <v>10.0</v>
      </c>
      <c r="E35" s="8">
        <v>46276.634044328704</v>
      </c>
      <c r="F35" s="2"/>
      <c r="G35" s="23">
        <v>55.0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56</v>
      </c>
      <c r="D36" s="6">
        <v>20.0</v>
      </c>
      <c r="E36" s="8">
        <v>46276.63417024305</v>
      </c>
      <c r="F36" s="2"/>
      <c r="G36" s="24"/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57</v>
      </c>
      <c r="D37" s="6">
        <v>30.0</v>
      </c>
      <c r="E37" s="8">
        <v>46276.63422489583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1.5</v>
      </c>
      <c r="C38" s="7" t="s">
        <v>58</v>
      </c>
      <c r="D38" s="6">
        <v>6.0</v>
      </c>
      <c r="E38" s="8">
        <v>46276.63488759259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59</v>
      </c>
      <c r="D39" s="6">
        <v>6.0</v>
      </c>
      <c r="E39" s="8">
        <v>46276.63494186343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60</v>
      </c>
      <c r="D40" s="6">
        <v>5.0</v>
      </c>
      <c r="E40" s="8">
        <v>46276.63502133102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61</v>
      </c>
      <c r="D41" s="6">
        <v>8.0</v>
      </c>
      <c r="E41" s="8">
        <v>46276.63506453704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62</v>
      </c>
      <c r="D42" s="6">
        <v>5.0</v>
      </c>
      <c r="E42" s="8">
        <v>46276.63549991898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63</v>
      </c>
      <c r="D43" s="6">
        <v>18.0</v>
      </c>
      <c r="E43" s="8">
        <v>46276.67380188657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64</v>
      </c>
      <c r="D44" s="6">
        <v>19.0</v>
      </c>
      <c r="E44" s="8">
        <v>46276.67701540509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65</v>
      </c>
      <c r="D45" s="6">
        <v>100.0</v>
      </c>
      <c r="E45" s="8">
        <v>46276.69066877315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6.0</v>
      </c>
      <c r="C46" s="7" t="s">
        <v>66</v>
      </c>
      <c r="D46" s="6">
        <v>1.5</v>
      </c>
      <c r="E46" s="8">
        <v>46276.69381864583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6.0</v>
      </c>
      <c r="C47" s="7" t="s">
        <v>67</v>
      </c>
      <c r="D47" s="6">
        <v>1.0</v>
      </c>
      <c r="E47" s="8">
        <v>46276.69373185185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4.0</v>
      </c>
      <c r="C48" s="7" t="s">
        <v>68</v>
      </c>
      <c r="D48" s="6">
        <v>2.0</v>
      </c>
      <c r="E48" s="8">
        <v>46276.70055653935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4.0</v>
      </c>
      <c r="C49" s="7" t="s">
        <v>67</v>
      </c>
      <c r="D49" s="6">
        <v>0.5</v>
      </c>
      <c r="E49" s="8">
        <v>46276.700628125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177.5</v>
      </c>
      <c r="E50" s="8">
        <v>46276.70071871528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22.0</v>
      </c>
      <c r="C51" s="7" t="s">
        <v>70</v>
      </c>
      <c r="D51" s="6">
        <v>39.0</v>
      </c>
      <c r="E51" s="8">
        <v>46276.72113334491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17.0</v>
      </c>
      <c r="E52" s="8">
        <v>46276.72123376158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18.0</v>
      </c>
      <c r="E53" s="8">
        <v>46276.72564297453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73</v>
      </c>
      <c r="D54" s="6">
        <v>18.0</v>
      </c>
      <c r="E54" s="8">
        <v>46276.725718125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6">
        <v>13.0</v>
      </c>
      <c r="E55" s="8">
        <v>46276.73693085648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8.0</v>
      </c>
      <c r="C56" s="7" t="s">
        <v>75</v>
      </c>
      <c r="D56" s="6">
        <v>40.0</v>
      </c>
      <c r="E56" s="8">
        <v>46276.73958627315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76</v>
      </c>
      <c r="D57" s="6">
        <v>10.0</v>
      </c>
      <c r="E57" s="8">
        <v>46276.7400916551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3.0</v>
      </c>
      <c r="C58" s="7" t="s">
        <v>77</v>
      </c>
      <c r="D58" s="6">
        <v>18.0</v>
      </c>
      <c r="E58" s="8">
        <v>46276.74618457176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26.0</v>
      </c>
      <c r="E59" s="8">
        <v>46276.75141347222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5.0</v>
      </c>
      <c r="C60" s="7" t="s">
        <v>79</v>
      </c>
      <c r="D60" s="6">
        <v>17.5</v>
      </c>
      <c r="E60" s="8">
        <v>46276.751470034724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3.0</v>
      </c>
      <c r="C61" s="7" t="s">
        <v>80</v>
      </c>
      <c r="D61" s="6">
        <v>18.0</v>
      </c>
      <c r="E61" s="8">
        <v>46276.75154662037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81</v>
      </c>
      <c r="D62" s="6">
        <v>6.0</v>
      </c>
      <c r="E62" s="8">
        <v>46276.751614513894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82</v>
      </c>
      <c r="D63" s="6">
        <v>5.0</v>
      </c>
      <c r="E63" s="8">
        <v>46276.75172082176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3.0</v>
      </c>
      <c r="C64" s="7" t="s">
        <v>83</v>
      </c>
      <c r="D64" s="6">
        <v>12.0</v>
      </c>
      <c r="E64" s="8">
        <v>46276.75183961805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34"/>
      <c r="D65" s="35"/>
      <c r="E65" s="36"/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34"/>
      <c r="D66" s="35"/>
      <c r="E66" s="36"/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4"/>
      <c r="D67" s="35"/>
      <c r="E67" s="36"/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4"/>
      <c r="D68" s="35"/>
      <c r="E68" s="36"/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4"/>
      <c r="D69" s="35"/>
      <c r="E69" s="36"/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4"/>
      <c r="D70" s="35"/>
      <c r="E70" s="36"/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4"/>
      <c r="D71" s="35"/>
      <c r="E71" s="36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4"/>
      <c r="D72" s="35"/>
      <c r="E72" s="36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4"/>
      <c r="D73" s="35"/>
      <c r="E73" s="36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4"/>
      <c r="D74" s="35"/>
      <c r="E74" s="36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6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6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6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6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6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6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6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6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