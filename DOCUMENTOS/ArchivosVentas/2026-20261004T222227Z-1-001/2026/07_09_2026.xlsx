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<sst xmlns="http://schemas.openxmlformats.org/spreadsheetml/2006/main" count="102" uniqueCount="101">
  <si>
    <t>HOJA DE CALCULO FERRETERIA</t>
  </si>
  <si>
    <t>CODIGO</t>
  </si>
  <si>
    <t>CANTIDAD</t>
  </si>
  <si>
    <t>DESCRIPCION</t>
  </si>
  <si>
    <t>TOTAL</t>
  </si>
  <si>
    <t>HORA</t>
  </si>
  <si>
    <t>CUADRAR</t>
  </si>
  <si>
    <t>teflon</t>
  </si>
  <si>
    <t>silciona transparente</t>
  </si>
  <si>
    <t>MONEDAS</t>
  </si>
  <si>
    <t>CAJA CHICA</t>
  </si>
  <si>
    <t>pico</t>
  </si>
  <si>
    <t>BILLETES 10-20</t>
  </si>
  <si>
    <t>TOTAL VENTAS DIA</t>
  </si>
  <si>
    <t>juego de brocas avellanadora</t>
  </si>
  <si>
    <t>BILLETES 50-100-200</t>
  </si>
  <si>
    <t>AUMENTO DE DINERO</t>
  </si>
  <si>
    <t>adapador 3/4 tramon</t>
  </si>
  <si>
    <t>INGRESOS YAPE</t>
  </si>
  <si>
    <t>cautin 200w</t>
  </si>
  <si>
    <t>INGRESOS TARJETA</t>
  </si>
  <si>
    <t>abrazadera 1/2</t>
  </si>
  <si>
    <t>GASTOS VARIOS</t>
  </si>
  <si>
    <t>alicate punta tramontina</t>
  </si>
  <si>
    <t>2m</t>
  </si>
  <si>
    <t>lija 100</t>
  </si>
  <si>
    <t>DINERO GANADO HOY:</t>
  </si>
  <si>
    <t>CANTIDAD DINERO CAJA:</t>
  </si>
  <si>
    <t>nitrolac negro 220</t>
  </si>
  <si>
    <t xml:space="preserve">guante </t>
  </si>
  <si>
    <t>bandolas</t>
  </si>
  <si>
    <t>llave combinada 8</t>
  </si>
  <si>
    <t>cepillo acero</t>
  </si>
  <si>
    <t>adaptador 11/4</t>
  </si>
  <si>
    <t>foco corona</t>
  </si>
  <si>
    <t>YAPE MAMÁ</t>
  </si>
  <si>
    <t>YAPE PAPÁ</t>
  </si>
  <si>
    <t>YAPE</t>
  </si>
  <si>
    <t xml:space="preserve">adaptador </t>
  </si>
  <si>
    <t>Monto Total YAPE (No tocar):</t>
  </si>
  <si>
    <t>pernos</t>
  </si>
  <si>
    <t>copla 3/4 pvc</t>
  </si>
  <si>
    <t>Monto Total Registrado en aplicacion</t>
  </si>
  <si>
    <t>codo fg 1</t>
  </si>
  <si>
    <t>broca concreto 6</t>
  </si>
  <si>
    <t>broca 10mm</t>
  </si>
  <si>
    <t>broca 14mm</t>
  </si>
  <si>
    <t>broca 16mm</t>
  </si>
  <si>
    <t>flexo 5m</t>
  </si>
  <si>
    <t>llave crecen 8</t>
  </si>
  <si>
    <t>laminas</t>
  </si>
  <si>
    <t>PAGOS YAPE</t>
  </si>
  <si>
    <t>DESCRIPCION PAGO</t>
  </si>
  <si>
    <t>piulpito</t>
  </si>
  <si>
    <t>llave de paso 1/2</t>
  </si>
  <si>
    <t>codo fg 1/2</t>
  </si>
  <si>
    <t>niple fg 1/2</t>
  </si>
  <si>
    <t>tapon macho fg 1/2</t>
  </si>
  <si>
    <t>copla fg 1/2</t>
  </si>
  <si>
    <t>teflon caja</t>
  </si>
  <si>
    <t>cinta aislante</t>
  </si>
  <si>
    <t>tee fg 1/2</t>
  </si>
  <si>
    <t>grifos lavamanos</t>
  </si>
  <si>
    <t>cuello de cera</t>
  </si>
  <si>
    <t>perno para inodoro</t>
  </si>
  <si>
    <t>silicona trans</t>
  </si>
  <si>
    <t>perno para tanke</t>
  </si>
  <si>
    <t>sifon lavamanos</t>
  </si>
  <si>
    <t>chicotilllos 30cm</t>
  </si>
  <si>
    <t>chicotillo 40cm</t>
  </si>
  <si>
    <t>chicotillo 60cm</t>
  </si>
  <si>
    <t>pegamento pvc</t>
  </si>
  <si>
    <t>pistola para silicona</t>
  </si>
  <si>
    <t>broca concreto tr</t>
  </si>
  <si>
    <t>sifon corrigado</t>
  </si>
  <si>
    <t>codo 1/2 pvc</t>
  </si>
  <si>
    <t>tapa inodoro</t>
  </si>
  <si>
    <t>chupador 1</t>
  </si>
  <si>
    <t>valvula retencion 1</t>
  </si>
  <si>
    <t>rueda tr</t>
  </si>
  <si>
    <t xml:space="preserve">autopperldofnat </t>
  </si>
  <si>
    <t>2M</t>
  </si>
  <si>
    <t>CADENA 5/16</t>
  </si>
  <si>
    <t>1KL</t>
  </si>
  <si>
    <t>ALAMBRE AMARRE</t>
  </si>
  <si>
    <t>TIJERA DE PODAR</t>
  </si>
  <si>
    <t>PILAS AA</t>
  </si>
  <si>
    <t>GUANTE TR</t>
  </si>
  <si>
    <t>REPUESTO DE ESTILTE</t>
  </si>
  <si>
    <t>A40</t>
  </si>
  <si>
    <t>ADAPTADOR ULTRA</t>
  </si>
  <si>
    <t>1M</t>
  </si>
  <si>
    <t>MANGUERA NIVEL 3/8</t>
  </si>
  <si>
    <t>INFLADOE</t>
  </si>
  <si>
    <t>JGO IRRIGACION</t>
  </si>
  <si>
    <t>3M</t>
  </si>
  <si>
    <t>MANGUERA 3/8</t>
  </si>
  <si>
    <t>GOTITA</t>
  </si>
  <si>
    <t>ESPATULAS STURPER</t>
  </si>
  <si>
    <t>duchas</t>
  </si>
  <si>
    <t>sumaj pachay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</si>
</sst>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6.0</v>
      </c>
      <c r="E8" s="8">
        <v>46272.407019108796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33.0</v>
      </c>
      <c r="E9" s="8">
        <v>46272.40721131944</v>
      </c>
      <c r="F9" s="2"/>
      <c r="G9" s="9" t="s">
        <v>9</v>
      </c>
      <c r="H9" s="10">
        <v>92.5</v>
      </c>
      <c r="I9" s="2"/>
      <c r="J9" s="9" t="s">
        <v>10</v>
      </c>
      <c r="K9" s="10">
        <v>379.0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7.0</v>
      </c>
      <c r="E10" s="8">
        <v>46272.40727921296</v>
      </c>
      <c r="F10" s="2"/>
      <c r="G10" s="9" t="s">
        <v>12</v>
      </c>
      <c r="H10" s="10">
        <v>160.0</v>
      </c>
      <c r="I10" s="2"/>
      <c r="J10" s="9" t="s">
        <v>13</v>
      </c>
      <c r="K10" s="11">
        <f>SUM(PRINCIPAL[TOTAL])</f>
        <v>4307.5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59.0</v>
      </c>
      <c r="E11" s="8">
        <v>46272.40777398148</v>
      </c>
      <c r="F11" s="2"/>
      <c r="G11" s="9" t="s">
        <v>15</v>
      </c>
      <c r="H11" s="10">
        <v>1500.0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32.0</v>
      </c>
      <c r="E12" s="8">
        <v>46272.408728344904</v>
      </c>
      <c r="F12" s="2"/>
      <c r="G12" s="9" t="s">
        <v>18</v>
      </c>
      <c r="H12" s="12">
        <f>SUM(G24:H361)</f>
        <v>2654.5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14">
        <v>98.0</v>
      </c>
      <c r="E13" s="8">
        <v>46272.40887994213</v>
      </c>
      <c r="F13" s="2"/>
      <c r="G13" s="9" t="s">
        <v>20</v>
      </c>
      <c r="H13" s="10">
        <v>344.0</v>
      </c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4.0</v>
      </c>
      <c r="C14" s="7" t="s">
        <v>21</v>
      </c>
      <c r="D14" s="6">
        <v>14.0</v>
      </c>
      <c r="E14" s="8">
        <v>46272.414831319446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41.0</v>
      </c>
      <c r="E15" s="8">
        <v>46272.414956168985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20.0</v>
      </c>
      <c r="E16" s="8">
        <v>46272.41713789351</v>
      </c>
      <c r="F16" s="2"/>
      <c r="G16" s="16" t="s">
        <v>26</v>
      </c>
      <c r="H16" s="17">
        <f>SUM(H9:H14)</f>
        <v>4751</v>
      </c>
      <c r="I16" s="3"/>
      <c r="J16" s="16" t="s">
        <v>27</v>
      </c>
      <c r="K16" s="17">
        <f>SUM(K9:K11)</f>
        <v>4686.5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27.0</v>
      </c>
      <c r="E17" s="8">
        <v>46272.41915083333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3.0</v>
      </c>
      <c r="C18" s="7" t="s">
        <v>29</v>
      </c>
      <c r="D18" s="18">
        <v>24.0</v>
      </c>
      <c r="E18" s="8">
        <v>46272.42086008102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5.0</v>
      </c>
      <c r="C19" s="7" t="s">
        <v>30</v>
      </c>
      <c r="D19" s="6">
        <v>50.0</v>
      </c>
      <c r="E19" s="8">
        <v>46272.432294479164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15.0</v>
      </c>
      <c r="E20" s="8">
        <v>46272.4432484375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12.0</v>
      </c>
      <c r="E21" s="8">
        <v>46272.470810520834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10.0</v>
      </c>
      <c r="E22" s="8">
        <v>46272.47415353009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18">
        <v>12.0</v>
      </c>
      <c r="E23" s="8">
        <v>46272.4841465625</v>
      </c>
      <c r="F23" s="2"/>
      <c r="G23" s="21" t="s">
        <v>35</v>
      </c>
      <c r="H23" s="21" t="s">
        <v>36</v>
      </c>
      <c r="I23" s="2"/>
      <c r="J23" s="22" t="s">
        <v>37</v>
      </c>
      <c r="L23" s="23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15.0</v>
      </c>
      <c r="E24" s="8">
        <v>46272.48455221065</v>
      </c>
      <c r="F24" s="2"/>
      <c r="G24" s="24">
        <v>78.0</v>
      </c>
      <c r="H24" s="25"/>
      <c r="I24" s="2"/>
      <c r="J24" s="26" t="s">
        <v>39</v>
      </c>
      <c r="K24" s="27">
        <f>SUM(INGRESOS_YAPE[])</f>
        <v>2654.5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4.0</v>
      </c>
      <c r="C25" s="7" t="s">
        <v>40</v>
      </c>
      <c r="D25" s="18">
        <v>9.0</v>
      </c>
      <c r="E25" s="8">
        <v>46272.502982418984</v>
      </c>
      <c r="F25" s="2"/>
      <c r="G25" s="24">
        <v>59.0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41</v>
      </c>
      <c r="D26" s="6">
        <v>6.0</v>
      </c>
      <c r="E26" s="8">
        <v>46272.50427770833</v>
      </c>
      <c r="F26" s="2"/>
      <c r="G26" s="28">
        <v>27.0</v>
      </c>
      <c r="H26" s="25"/>
      <c r="I26" s="2"/>
      <c r="J26" s="29" t="s">
        <v>42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32.0</v>
      </c>
      <c r="E27" s="8">
        <v>46272.504227673606</v>
      </c>
      <c r="F27" s="2"/>
      <c r="G27" s="24">
        <v>800.0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17.0</v>
      </c>
      <c r="E28" s="8">
        <v>46272.505126759264</v>
      </c>
      <c r="F28" s="2"/>
      <c r="G28" s="24">
        <v>9.0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66.0</v>
      </c>
      <c r="E29" s="8">
        <v>46272.52362515046</v>
      </c>
      <c r="F29" s="2"/>
      <c r="G29" s="24">
        <v>455.0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2654,50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114.0</v>
      </c>
      <c r="E30" s="8">
        <v>46272.52407712963</v>
      </c>
      <c r="F30" s="2"/>
      <c r="G30" s="24">
        <v>576.0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275.0</v>
      </c>
      <c r="E31" s="8">
        <v>46272.52411539352</v>
      </c>
      <c r="F31" s="2"/>
      <c r="G31" s="24">
        <v>25.0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25.0</v>
      </c>
      <c r="E32" s="8">
        <v>46272.52585936342</v>
      </c>
      <c r="F32" s="2"/>
      <c r="G32" s="24">
        <v>5.0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40.0</v>
      </c>
      <c r="E33" s="8">
        <v>46272.52594771991</v>
      </c>
      <c r="F33" s="2"/>
      <c r="G33" s="24">
        <v>8.5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50</v>
      </c>
      <c r="D34" s="6">
        <v>20.0</v>
      </c>
      <c r="E34" s="8">
        <v>46272.526026886575</v>
      </c>
      <c r="F34" s="2"/>
      <c r="G34" s="24">
        <v>612.0</v>
      </c>
      <c r="H34" s="25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27.0</v>
      </c>
      <c r="E35" s="8">
        <v>46272.52609506944</v>
      </c>
      <c r="F35" s="2"/>
      <c r="G35" s="25"/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54</v>
      </c>
      <c r="D36" s="6">
        <v>280.0</v>
      </c>
      <c r="E36" s="8">
        <v>46272.526383344906</v>
      </c>
      <c r="F36" s="2"/>
      <c r="G36" s="25"/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4.0</v>
      </c>
      <c r="C37" s="7" t="s">
        <v>55</v>
      </c>
      <c r="D37" s="6">
        <v>56.0</v>
      </c>
      <c r="E37" s="8">
        <v>46272.52652496527</v>
      </c>
      <c r="F37" s="2"/>
      <c r="G37" s="25"/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56</v>
      </c>
      <c r="D38" s="6">
        <v>29.0</v>
      </c>
      <c r="E38" s="8">
        <v>46272.52664423611</v>
      </c>
      <c r="F38" s="2"/>
      <c r="G38" s="25"/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57</v>
      </c>
      <c r="D39" s="6">
        <v>25.0</v>
      </c>
      <c r="E39" s="8">
        <v>46272.52682244213</v>
      </c>
      <c r="F39" s="2"/>
      <c r="G39" s="25"/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58</v>
      </c>
      <c r="D40" s="6">
        <v>62.0</v>
      </c>
      <c r="E40" s="8">
        <v>46272.526928900465</v>
      </c>
      <c r="F40" s="2"/>
      <c r="G40" s="25"/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36.0</v>
      </c>
      <c r="E41" s="8">
        <v>46272.527252106476</v>
      </c>
      <c r="F41" s="2"/>
      <c r="G41" s="25"/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14.0</v>
      </c>
      <c r="E42" s="8">
        <v>46272.52778715278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4.0</v>
      </c>
      <c r="C43" s="7" t="s">
        <v>61</v>
      </c>
      <c r="D43" s="6">
        <v>64.0</v>
      </c>
      <c r="E43" s="8">
        <v>46272.52783820602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62</v>
      </c>
      <c r="D44" s="6">
        <v>140.0</v>
      </c>
      <c r="E44" s="8">
        <v>46272.529852708336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5.0</v>
      </c>
      <c r="C45" s="7" t="s">
        <v>63</v>
      </c>
      <c r="D45" s="6">
        <v>120.0</v>
      </c>
      <c r="E45" s="8">
        <v>46272.52998723379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5.0</v>
      </c>
      <c r="C46" s="7" t="s">
        <v>64</v>
      </c>
      <c r="D46" s="6">
        <v>50.0</v>
      </c>
      <c r="E46" s="8">
        <v>46272.530148136575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65</v>
      </c>
      <c r="D47" s="6">
        <v>78.0</v>
      </c>
      <c r="E47" s="8">
        <v>46272.53025650463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66</v>
      </c>
      <c r="D48" s="6">
        <v>28.0</v>
      </c>
      <c r="E48" s="8">
        <v>46272.53183638889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67</v>
      </c>
      <c r="D49" s="6">
        <v>110.0</v>
      </c>
      <c r="E49" s="8">
        <v>46272.532044293985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5.0</v>
      </c>
      <c r="C50" s="7" t="s">
        <v>68</v>
      </c>
      <c r="D50" s="6">
        <v>75.0</v>
      </c>
      <c r="E50" s="8">
        <v>46272.5321722338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69</v>
      </c>
      <c r="D51" s="6">
        <v>28.0</v>
      </c>
      <c r="E51" s="8">
        <v>46272.53236546296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70</v>
      </c>
      <c r="D52" s="6">
        <v>38.0</v>
      </c>
      <c r="E52" s="8">
        <v>46272.532453912034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17.0</v>
      </c>
      <c r="E53" s="8">
        <v>46272.53263324074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25.0</v>
      </c>
      <c r="E54" s="8">
        <v>46272.53275642361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23.0</v>
      </c>
      <c r="E55" s="8">
        <v>46272.53341246527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6.0</v>
      </c>
      <c r="C56" s="7" t="s">
        <v>40</v>
      </c>
      <c r="D56" s="6">
        <v>4.0</v>
      </c>
      <c r="E56" s="8">
        <v>46272.53347653935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74</v>
      </c>
      <c r="D57" s="6">
        <v>60.0</v>
      </c>
      <c r="E57" s="8">
        <v>46272.53375017361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4.0</v>
      </c>
      <c r="E58" s="8">
        <v>46272.5338734838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142.0</v>
      </c>
      <c r="E59" s="8">
        <v>46272.535734942125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97.0</v>
      </c>
      <c r="E60" s="8">
        <v>46272.53588350695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105.0</v>
      </c>
      <c r="E61" s="8">
        <v>46272.53598545139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14.0</v>
      </c>
      <c r="E62" s="8">
        <v>46272.55504574074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60.0</v>
      </c>
      <c r="C63" s="7" t="s">
        <v>80</v>
      </c>
      <c r="D63" s="6">
        <v>32.5</v>
      </c>
      <c r="E63" s="8">
        <v>46272.56369214121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81</v>
      </c>
      <c r="C64" s="7" t="s">
        <v>82</v>
      </c>
      <c r="D64" s="6">
        <v>90.0</v>
      </c>
      <c r="E64" s="8">
        <v>46272.582945925926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 t="s">
        <v>83</v>
      </c>
      <c r="C65" s="7" t="s">
        <v>84</v>
      </c>
      <c r="D65" s="6">
        <v>20.0</v>
      </c>
      <c r="E65" s="8">
        <v>46272.58533539352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133.0</v>
      </c>
      <c r="E66" s="8">
        <v>46272.62560131944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20.0</v>
      </c>
      <c r="E67" s="8">
        <v>46272.62584302083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87</v>
      </c>
      <c r="D68" s="6">
        <v>46.0</v>
      </c>
      <c r="E68" s="8">
        <v>46272.62597079861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19.0</v>
      </c>
      <c r="E69" s="8">
        <v>46272.630164745366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35.0</v>
      </c>
      <c r="E70" s="8">
        <v>46272.626196006946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90</v>
      </c>
      <c r="D71" s="6">
        <v>5.0</v>
      </c>
      <c r="E71" s="8">
        <v>46272.63025333334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 t="s">
        <v>91</v>
      </c>
      <c r="C72" s="7" t="s">
        <v>92</v>
      </c>
      <c r="D72" s="6">
        <v>8.5</v>
      </c>
      <c r="E72" s="8">
        <v>46272.63179836806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93</v>
      </c>
      <c r="D73" s="6">
        <v>38.0</v>
      </c>
      <c r="E73" s="8">
        <v>46272.63728814815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94</v>
      </c>
      <c r="D74" s="6">
        <v>30.0</v>
      </c>
      <c r="E74" s="8">
        <v>46272.6417033912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95</v>
      </c>
      <c r="C75" s="7" t="s">
        <v>96</v>
      </c>
      <c r="D75" s="6">
        <v>19.5</v>
      </c>
      <c r="E75" s="8">
        <v>46272.66120870371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97</v>
      </c>
      <c r="D76" s="6">
        <v>11.0</v>
      </c>
      <c r="E76" s="8">
        <v>46272.67232728009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98</v>
      </c>
      <c r="D77" s="6">
        <v>78.0</v>
      </c>
      <c r="E77" s="8">
        <v>46272.77538222222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99</v>
      </c>
      <c r="D78" s="6">
        <v>280.0</v>
      </c>
      <c r="E78" s="8">
        <v>46272.7756013426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100</v>
      </c>
      <c r="D79" s="6">
        <v>612.0</v>
      </c>
      <c r="E79" s="8">
        <v>46272.78777185185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7"/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