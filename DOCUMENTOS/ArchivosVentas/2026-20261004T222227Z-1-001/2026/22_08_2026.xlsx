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<sst xmlns="http://schemas.openxmlformats.org/spreadsheetml/2006/main" count="91" uniqueCount="89">
  <si>
    <t>HOJA DE CALCULO FERRETERIA</t>
  </si>
  <si>
    <t>CODIGO</t>
  </si>
  <si>
    <t>CANTIDAD</t>
  </si>
  <si>
    <t>DESCRIPCION</t>
  </si>
  <si>
    <t>TOTAL</t>
  </si>
  <si>
    <t>HORA</t>
  </si>
  <si>
    <t>CUADRAR</t>
  </si>
  <si>
    <t>guante asatex</t>
  </si>
  <si>
    <t>bateria baño boton superios</t>
  </si>
  <si>
    <t>MONEDAS</t>
  </si>
  <si>
    <t>CAJA CHICA</t>
  </si>
  <si>
    <t>rodillo tigre antigoa</t>
  </si>
  <si>
    <t>BILLETES 10-20</t>
  </si>
  <si>
    <t>TOTAL VENTAS DIA</t>
  </si>
  <si>
    <t>m lija 120</t>
  </si>
  <si>
    <t>BILLETES 50-100-200</t>
  </si>
  <si>
    <t>AUMENTO DE DINERO</t>
  </si>
  <si>
    <t>barazadera cañeria 1</t>
  </si>
  <si>
    <t>INGRESOS YAPE</t>
  </si>
  <si>
    <t>abrazadera desague 11/2</t>
  </si>
  <si>
    <t>INGRESOS TARJETA</t>
  </si>
  <si>
    <t>sopapa astra</t>
  </si>
  <si>
    <t>GASTOS VARIOS</t>
  </si>
  <si>
    <t>sopapap lavaplatos</t>
  </si>
  <si>
    <t>desarmasor reversigle</t>
  </si>
  <si>
    <t>DINERO GANADO HOY:</t>
  </si>
  <si>
    <t>CANTIDAD DINERO CAJA:</t>
  </si>
  <si>
    <t>acople rapido</t>
  </si>
  <si>
    <t>1kl</t>
  </si>
  <si>
    <t>alalmbre amarre</t>
  </si>
  <si>
    <t>alambre galbanizado 20</t>
  </si>
  <si>
    <t>alargador 10m</t>
  </si>
  <si>
    <t>grampas rt</t>
  </si>
  <si>
    <t>4m</t>
  </si>
  <si>
    <t>plastio 1m</t>
  </si>
  <si>
    <t>estilete1</t>
  </si>
  <si>
    <t>YAPE MAMÁ</t>
  </si>
  <si>
    <t>YAPE PAPÁ</t>
  </si>
  <si>
    <t>YAPE</t>
  </si>
  <si>
    <t>union de manguera</t>
  </si>
  <si>
    <t>Monto Total YAPE (No tocar):</t>
  </si>
  <si>
    <t>20m</t>
  </si>
  <si>
    <t>hilo para podar</t>
  </si>
  <si>
    <t>fleper astra</t>
  </si>
  <si>
    <t>Monto Total Registrado en aplicacion</t>
  </si>
  <si>
    <t>broca encastre</t>
  </si>
  <si>
    <t>PUNTAS PARA TALADRO</t>
  </si>
  <si>
    <t>juego de sierras copa</t>
  </si>
  <si>
    <t>juego sierras caladora</t>
  </si>
  <si>
    <t>calador pretul</t>
  </si>
  <si>
    <t>rodillo 5cm</t>
  </si>
  <si>
    <t>8,5m</t>
  </si>
  <si>
    <t>bipolar 12</t>
  </si>
  <si>
    <t>cubre cable 10x15</t>
  </si>
  <si>
    <t>PAGOS YAPE</t>
  </si>
  <si>
    <t>DESCRIPCION PAGO</t>
  </si>
  <si>
    <t>ramplu 6</t>
  </si>
  <si>
    <t>chip 4 x 30</t>
  </si>
  <si>
    <t>cinta silante</t>
  </si>
  <si>
    <t>estaño hilo</t>
  </si>
  <si>
    <t>6m</t>
  </si>
  <si>
    <t>perlon 10</t>
  </si>
  <si>
    <t>llave de paso 3/4</t>
  </si>
  <si>
    <t>codo 3/4 tigre</t>
  </si>
  <si>
    <t>codo fg 3/4</t>
  </si>
  <si>
    <t>1/2m</t>
  </si>
  <si>
    <t>cañerocañeria 3/4</t>
  </si>
  <si>
    <t>cubre cable 19x39</t>
  </si>
  <si>
    <t>cinta asinlante</t>
  </si>
  <si>
    <t>doble contacto 1</t>
  </si>
  <si>
    <t>caja de distribucion 15x15</t>
  </si>
  <si>
    <t>a40</t>
  </si>
  <si>
    <t>aerosol plateado</t>
  </si>
  <si>
    <t>manguera trans 1</t>
  </si>
  <si>
    <t>clavija redonda</t>
  </si>
  <si>
    <t>clavija plano</t>
  </si>
  <si>
    <t>teflon</t>
  </si>
  <si>
    <t>alicate</t>
  </si>
  <si>
    <t>martillo chato</t>
  </si>
  <si>
    <t>TIRAFONDO</t>
  </si>
  <si>
    <t>PERNOS</t>
  </si>
  <si>
    <t>MASQUIN 3/4</t>
  </si>
  <si>
    <t>UTOMATICA</t>
  </si>
  <si>
    <t>CODO 1</t>
  </si>
  <si>
    <t>SIFON ASTRA</t>
  </si>
  <si>
    <t>CHICOTILLO COFLEX</t>
  </si>
  <si>
    <t>SIFON LAPLABOLT</t>
  </si>
  <si>
    <t>CODOD 3/4</t>
  </si>
  <si>
    <t>CLEFA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</si>
</sst>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26.0</v>
      </c>
      <c r="E8" s="8">
        <v>46256.37334679398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120.0</v>
      </c>
      <c r="E9" s="8">
        <v>46256.377019872685</v>
      </c>
      <c r="F9" s="2"/>
      <c r="G9" s="9" t="s">
        <v>9</v>
      </c>
      <c r="H9" s="10">
        <v>76.0</v>
      </c>
      <c r="I9" s="2"/>
      <c r="J9" s="9" t="s">
        <v>10</v>
      </c>
      <c r="K9" s="10">
        <v>529.0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34.0</v>
      </c>
      <c r="E10" s="8">
        <v>46256.3771699537</v>
      </c>
      <c r="F10" s="2"/>
      <c r="G10" s="9" t="s">
        <v>12</v>
      </c>
      <c r="H10" s="10">
        <v>220.0</v>
      </c>
      <c r="I10" s="2"/>
      <c r="J10" s="9" t="s">
        <v>13</v>
      </c>
      <c r="K10" s="11">
        <f>SUM(PRINCIPAL[TOTAL])</f>
        <v>2411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20.0</v>
      </c>
      <c r="E11" s="8">
        <v>46256.37722195602</v>
      </c>
      <c r="F11" s="2"/>
      <c r="G11" s="9" t="s">
        <v>15</v>
      </c>
      <c r="H11" s="10">
        <v>1550.0</v>
      </c>
      <c r="I11" s="2"/>
      <c r="J11" s="9" t="s">
        <v>16</v>
      </c>
      <c r="K11" s="10">
        <v>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3.0</v>
      </c>
      <c r="E12" s="8">
        <v>46256.380175196755</v>
      </c>
      <c r="F12" s="2"/>
      <c r="G12" s="9" t="s">
        <v>18</v>
      </c>
      <c r="H12" s="12">
        <f>SUM(G24:H361)</f>
        <v>1023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3.0</v>
      </c>
      <c r="E13" s="8">
        <v>46256.38024789352</v>
      </c>
      <c r="F13" s="2"/>
      <c r="G13" s="9" t="s">
        <v>20</v>
      </c>
      <c r="H13" s="10">
        <v>151.0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58.0</v>
      </c>
      <c r="E14" s="8">
        <v>46256.42408877314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93.0</v>
      </c>
      <c r="E15" s="8">
        <v>46256.42427880787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13.0</v>
      </c>
      <c r="E16" s="8">
        <v>46256.42777012731</v>
      </c>
      <c r="F16" s="2"/>
      <c r="G16" s="15" t="s">
        <v>25</v>
      </c>
      <c r="H16" s="16">
        <f>SUM(H9:H14)</f>
        <v>3020</v>
      </c>
      <c r="I16" s="3"/>
      <c r="J16" s="15" t="s">
        <v>26</v>
      </c>
      <c r="K16" s="16">
        <f>SUM(K9:K11)</f>
        <v>3020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25.0</v>
      </c>
      <c r="E17" s="8">
        <v>46256.427853402776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 t="s">
        <v>28</v>
      </c>
      <c r="C18" s="7" t="s">
        <v>29</v>
      </c>
      <c r="D18" s="6">
        <v>20.0</v>
      </c>
      <c r="E18" s="8">
        <v>46256.43022521991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Las cantidades son iguales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28</v>
      </c>
      <c r="C19" s="7" t="s">
        <v>30</v>
      </c>
      <c r="D19" s="6">
        <v>30.0</v>
      </c>
      <c r="E19" s="8">
        <v>46256.43168179398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75.0</v>
      </c>
      <c r="E20" s="8">
        <v>46256.4445072338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9.0</v>
      </c>
      <c r="E21" s="8">
        <v>46256.44456686343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33</v>
      </c>
      <c r="C22" s="7" t="s">
        <v>34</v>
      </c>
      <c r="D22" s="6">
        <v>32.0</v>
      </c>
      <c r="E22" s="8">
        <v>46256.45873943287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35</v>
      </c>
      <c r="D23" s="6">
        <v>8.0</v>
      </c>
      <c r="E23" s="8">
        <v>46256.458862037034</v>
      </c>
      <c r="F23" s="2"/>
      <c r="G23" s="19" t="s">
        <v>36</v>
      </c>
      <c r="H23" s="19" t="s">
        <v>37</v>
      </c>
      <c r="I23" s="2"/>
      <c r="J23" s="20" t="s">
        <v>38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39</v>
      </c>
      <c r="D24" s="6">
        <v>16.0</v>
      </c>
      <c r="E24" s="8">
        <v>46256.4602753125</v>
      </c>
      <c r="F24" s="2"/>
      <c r="G24" s="22">
        <v>54.0</v>
      </c>
      <c r="H24" s="23"/>
      <c r="I24" s="2"/>
      <c r="J24" s="24" t="s">
        <v>40</v>
      </c>
      <c r="K24" s="25">
        <f>SUM(INGRESOS_YAPE[])</f>
        <v>1023</v>
      </c>
      <c r="L24" s="2"/>
      <c r="M24" s="2"/>
      <c r="N24" s="2"/>
      <c r="O24" s="2"/>
      <c r="P24" s="2"/>
      <c r="Q24" s="2"/>
    </row>
    <row r="25" ht="22.5" customHeight="1">
      <c r="A25" s="13"/>
      <c r="B25" s="6" t="s">
        <v>41</v>
      </c>
      <c r="C25" s="7" t="s">
        <v>42</v>
      </c>
      <c r="D25" s="6">
        <v>30.0</v>
      </c>
      <c r="E25" s="8">
        <v>46256.46036671296</v>
      </c>
      <c r="F25" s="2"/>
      <c r="G25" s="22">
        <v>45.0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43</v>
      </c>
      <c r="D26" s="6">
        <v>8.0</v>
      </c>
      <c r="E26" s="8">
        <v>46256.46869201389</v>
      </c>
      <c r="F26" s="2"/>
      <c r="G26" s="26">
        <v>482.0</v>
      </c>
      <c r="H26" s="23"/>
      <c r="I26" s="2"/>
      <c r="J26" s="27" t="s">
        <v>44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45</v>
      </c>
      <c r="D27" s="6">
        <v>19.0</v>
      </c>
      <c r="E27" s="8">
        <v>46256.47359616898</v>
      </c>
      <c r="F27" s="2"/>
      <c r="G27" s="22">
        <v>48.0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46</v>
      </c>
      <c r="D28" s="6">
        <v>26.0</v>
      </c>
      <c r="E28" s="8">
        <v>46256.479150659725</v>
      </c>
      <c r="F28" s="2"/>
      <c r="G28" s="22">
        <v>144.0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47</v>
      </c>
      <c r="D29" s="6">
        <v>120.0</v>
      </c>
      <c r="E29" s="8">
        <v>46256.480798634264</v>
      </c>
      <c r="F29" s="2"/>
      <c r="G29" s="22">
        <v>82.0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1023,00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48</v>
      </c>
      <c r="D30" s="6">
        <v>47.0</v>
      </c>
      <c r="E30" s="8">
        <v>46256.48107384259</v>
      </c>
      <c r="F30" s="2"/>
      <c r="G30" s="22">
        <v>168.0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49</v>
      </c>
      <c r="D31" s="6">
        <v>315.0</v>
      </c>
      <c r="E31" s="8">
        <v>46256.48095481482</v>
      </c>
      <c r="F31" s="2"/>
      <c r="G31" s="22"/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50</v>
      </c>
      <c r="D32" s="6">
        <v>13.0</v>
      </c>
      <c r="E32" s="8">
        <v>46256.4884025</v>
      </c>
      <c r="F32" s="2"/>
      <c r="G32" s="23"/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 t="s">
        <v>51</v>
      </c>
      <c r="C33" s="7" t="s">
        <v>52</v>
      </c>
      <c r="D33" s="6">
        <v>25.5</v>
      </c>
      <c r="E33" s="8">
        <v>46256.496128287035</v>
      </c>
      <c r="F33" s="2"/>
      <c r="G33" s="23"/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5.0</v>
      </c>
      <c r="C34" s="7" t="s">
        <v>53</v>
      </c>
      <c r="D34" s="6">
        <v>40.0</v>
      </c>
      <c r="E34" s="8">
        <v>46256.496329988426</v>
      </c>
      <c r="F34" s="2"/>
      <c r="G34" s="23"/>
      <c r="H34" s="23"/>
      <c r="I34" s="2"/>
      <c r="J34" s="30" t="s">
        <v>54</v>
      </c>
      <c r="K34" s="30" t="s">
        <v>55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12.0</v>
      </c>
      <c r="C35" s="7" t="s">
        <v>56</v>
      </c>
      <c r="D35" s="6">
        <v>1.5</v>
      </c>
      <c r="E35" s="8">
        <v>46256.49644834491</v>
      </c>
      <c r="F35" s="2"/>
      <c r="G35" s="23"/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57</v>
      </c>
      <c r="D36" s="6">
        <v>3.0</v>
      </c>
      <c r="E36" s="8">
        <v>46256.49653766204</v>
      </c>
      <c r="F36" s="2"/>
      <c r="G36" s="23"/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58</v>
      </c>
      <c r="D37" s="6">
        <v>28.0</v>
      </c>
      <c r="E37" s="8">
        <v>46256.50519574074</v>
      </c>
      <c r="F37" s="2"/>
      <c r="G37" s="23"/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1.5</v>
      </c>
      <c r="C38" s="7" t="s">
        <v>59</v>
      </c>
      <c r="D38" s="6">
        <v>10.5</v>
      </c>
      <c r="E38" s="8">
        <v>46256.49792872685</v>
      </c>
      <c r="F38" s="2"/>
      <c r="G38" s="23"/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 t="s">
        <v>60</v>
      </c>
      <c r="C39" s="7" t="s">
        <v>61</v>
      </c>
      <c r="D39" s="6">
        <v>48.0</v>
      </c>
      <c r="E39" s="8">
        <v>46256.50528222222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62</v>
      </c>
      <c r="D40" s="6">
        <v>110.0</v>
      </c>
      <c r="E40" s="8">
        <v>46256.53036640046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63</v>
      </c>
      <c r="D41" s="6">
        <v>5.5</v>
      </c>
      <c r="E41" s="8">
        <v>46256.53042214121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64</v>
      </c>
      <c r="D42" s="6">
        <v>22.0</v>
      </c>
      <c r="E42" s="8">
        <v>46256.53048050926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 t="s">
        <v>65</v>
      </c>
      <c r="C43" s="7" t="s">
        <v>66</v>
      </c>
      <c r="D43" s="6">
        <v>6.5</v>
      </c>
      <c r="E43" s="8">
        <v>46256.530928113425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67</v>
      </c>
      <c r="D44" s="6">
        <v>26.0</v>
      </c>
      <c r="E44" s="8">
        <v>46256.5361662963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68</v>
      </c>
      <c r="D45" s="6">
        <v>9.0</v>
      </c>
      <c r="E45" s="8">
        <v>46256.536019756946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69</v>
      </c>
      <c r="D46" s="6">
        <v>18.0</v>
      </c>
      <c r="E46" s="8">
        <v>46256.53593825232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70</v>
      </c>
      <c r="D47" s="6">
        <v>20.0</v>
      </c>
      <c r="E47" s="8">
        <v>46256.53645841435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71</v>
      </c>
      <c r="D48" s="6">
        <v>33.0</v>
      </c>
      <c r="E48" s="8">
        <v>46256.536513900464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72</v>
      </c>
      <c r="D49" s="6">
        <v>20.0</v>
      </c>
      <c r="E49" s="8">
        <v>46256.543784444446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73</v>
      </c>
      <c r="D50" s="6">
        <v>25.0</v>
      </c>
      <c r="E50" s="8">
        <v>46256.56485285879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74</v>
      </c>
      <c r="D51" s="6">
        <v>12.0</v>
      </c>
      <c r="E51" s="8">
        <v>46256.54399929398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3.0</v>
      </c>
      <c r="C52" s="7" t="s">
        <v>75</v>
      </c>
      <c r="D52" s="6">
        <v>18.0</v>
      </c>
      <c r="E52" s="8">
        <v>46256.54393858796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76</v>
      </c>
      <c r="D53" s="6">
        <v>2.5</v>
      </c>
      <c r="E53" s="8">
        <v>46256.54385135417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76</v>
      </c>
      <c r="D54" s="6">
        <v>2.5</v>
      </c>
      <c r="E54" s="8">
        <v>46256.56546412037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77</v>
      </c>
      <c r="D55" s="6">
        <v>80.0</v>
      </c>
      <c r="E55" s="8">
        <v>46256.56560418982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6.0</v>
      </c>
      <c r="C56" s="7" t="s">
        <v>78</v>
      </c>
      <c r="D56" s="6">
        <v>168.0</v>
      </c>
      <c r="E56" s="8">
        <v>46256.58738474537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12.0</v>
      </c>
      <c r="C57" s="7" t="s">
        <v>79</v>
      </c>
      <c r="D57" s="6">
        <v>9.5</v>
      </c>
      <c r="E57" s="8">
        <v>46256.60228857639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80</v>
      </c>
      <c r="D58" s="6">
        <v>15.0</v>
      </c>
      <c r="E58" s="8">
        <v>46256.60241763889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81</v>
      </c>
      <c r="D59" s="6">
        <v>9.0</v>
      </c>
      <c r="E59" s="8">
        <v>46256.62119199074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82</v>
      </c>
      <c r="D60" s="6">
        <v>258.0</v>
      </c>
      <c r="E60" s="8">
        <v>46256.64910436343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83</v>
      </c>
      <c r="D61" s="6">
        <v>10.0</v>
      </c>
      <c r="E61" s="8">
        <v>46256.649159664354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84</v>
      </c>
      <c r="D62" s="6">
        <v>62.0</v>
      </c>
      <c r="E62" s="8">
        <v>46256.64941482639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85</v>
      </c>
      <c r="D63" s="6">
        <v>55.0</v>
      </c>
      <c r="E63" s="8">
        <v>46256.649471261575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86</v>
      </c>
      <c r="D64" s="6">
        <v>45.0</v>
      </c>
      <c r="E64" s="8">
        <v>46256.6495358449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4.0</v>
      </c>
      <c r="C65" s="7" t="s">
        <v>87</v>
      </c>
      <c r="D65" s="6">
        <v>20.0</v>
      </c>
      <c r="E65" s="8">
        <v>46256.64957706019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88</v>
      </c>
      <c r="D66" s="6">
        <v>30.0</v>
      </c>
      <c r="E66" s="8">
        <v>46256.66611092593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33"/>
      <c r="D67" s="34"/>
      <c r="E67" s="35"/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33"/>
      <c r="D68" s="34"/>
      <c r="E68" s="35"/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33"/>
      <c r="D69" s="34"/>
      <c r="E69" s="35"/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33"/>
      <c r="D70" s="34"/>
      <c r="E70" s="35"/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33"/>
      <c r="D71" s="34"/>
      <c r="E71" s="35"/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33"/>
      <c r="D72" s="34"/>
      <c r="E72" s="35"/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33"/>
      <c r="D73" s="34"/>
      <c r="E73" s="35"/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33"/>
      <c r="D74" s="34"/>
      <c r="E74" s="35"/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3"/>
      <c r="D75" s="34"/>
      <c r="E75" s="35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3"/>
      <c r="D76" s="34"/>
      <c r="E76" s="35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3"/>
      <c r="D77" s="34"/>
      <c r="E77" s="35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3"/>
      <c r="D78" s="34"/>
      <c r="E78" s="35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3"/>
      <c r="D79" s="34"/>
      <c r="E79" s="35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