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<sst xmlns="http://schemas.openxmlformats.org/spreadsheetml/2006/main" count="90" uniqueCount="87">
  <si>
    <t>HOJA DE CALCULO FERRETERIA</t>
  </si>
  <si>
    <t>CODIGO</t>
  </si>
  <si>
    <t>CANTIDAD</t>
  </si>
  <si>
    <t>DESCRIPCION</t>
  </si>
  <si>
    <t>TOTAL</t>
  </si>
  <si>
    <t>HORA</t>
  </si>
  <si>
    <t>CUADRAR</t>
  </si>
  <si>
    <t>brocas truper</t>
  </si>
  <si>
    <t>MONEDAS</t>
  </si>
  <si>
    <t>CAJA CHICA</t>
  </si>
  <si>
    <t>juego de llaves alen</t>
  </si>
  <si>
    <t>BILLETES 10-20</t>
  </si>
  <si>
    <t>TOTAL VENTAS DIA</t>
  </si>
  <si>
    <t>biscagra torneada</t>
  </si>
  <si>
    <t>BILLETES 50-100-200</t>
  </si>
  <si>
    <t>AUMENTO DE DINERO</t>
  </si>
  <si>
    <t>perno expancivo 8mm</t>
  </si>
  <si>
    <t>INGRESOS YAPE</t>
  </si>
  <si>
    <t>disco concreto 4</t>
  </si>
  <si>
    <t>INGRESOS TARJETA</t>
  </si>
  <si>
    <t>cal</t>
  </si>
  <si>
    <t>GASTOS VARIOS</t>
  </si>
  <si>
    <t>sika</t>
  </si>
  <si>
    <t>DISCIO CORTE7</t>
  </si>
  <si>
    <t>DINERO GANADO HOY:</t>
  </si>
  <si>
    <t>CANTIDAD DINERO CAJA:</t>
  </si>
  <si>
    <t>CLAVO 1</t>
  </si>
  <si>
    <t>REPARO</t>
  </si>
  <si>
    <t>MASQUIN 3/4</t>
  </si>
  <si>
    <t>alicate fuerza</t>
  </si>
  <si>
    <t>armella ele</t>
  </si>
  <si>
    <t>ramplu 6 lh</t>
  </si>
  <si>
    <t>aerosol negro mate</t>
  </si>
  <si>
    <t>YAPE MAMÁ</t>
  </si>
  <si>
    <t>YAPE PAPÁ</t>
  </si>
  <si>
    <t>YAPE</t>
  </si>
  <si>
    <t>ckavija redonod</t>
  </si>
  <si>
    <t>Monto Total YAPE (No tocar):</t>
  </si>
  <si>
    <t>aerpsol</t>
  </si>
  <si>
    <t>2m</t>
  </si>
  <si>
    <t>manguera 3/4 y goma 11/4</t>
  </si>
  <si>
    <t>Monto Total Registrado en aplicacion</t>
  </si>
  <si>
    <t>aerosol blanco brillo</t>
  </si>
  <si>
    <t>lija 1000</t>
  </si>
  <si>
    <t>lija 360</t>
  </si>
  <si>
    <t>lija2000</t>
  </si>
  <si>
    <t>ija</t>
  </si>
  <si>
    <t>pie de amigo 6x4</t>
  </si>
  <si>
    <t>hilo 1,5</t>
  </si>
  <si>
    <t>PAGOS YAPE</t>
  </si>
  <si>
    <t>DESCRIPCION PAGO</t>
  </si>
  <si>
    <t>clvo 1</t>
  </si>
  <si>
    <t>ramplu 12</t>
  </si>
  <si>
    <t>tirafondo 5/16x21/2</t>
  </si>
  <si>
    <t>broca concreo 12</t>
  </si>
  <si>
    <t>pico de loro uyus</t>
  </si>
  <si>
    <t>pasacable tr</t>
  </si>
  <si>
    <t>adaptador kontac</t>
  </si>
  <si>
    <t>cinta peligro</t>
  </si>
  <si>
    <t>gamchos calamin</t>
  </si>
  <si>
    <t>cadado hermex 40mm</t>
  </si>
  <si>
    <t>cautin 300w</t>
  </si>
  <si>
    <t>destapa caños tr</t>
  </si>
  <si>
    <t>lija 220</t>
  </si>
  <si>
    <t>clavo 32mm</t>
  </si>
  <si>
    <t>placa doble epem</t>
  </si>
  <si>
    <t>casquete</t>
  </si>
  <si>
    <t>toma blanco</t>
  </si>
  <si>
    <t>guante tr</t>
  </si>
  <si>
    <t>claviaj trmaon</t>
  </si>
  <si>
    <t>PEGAMENTO PVC</t>
  </si>
  <si>
    <t>CLAVP 3 1/2</t>
  </si>
  <si>
    <t>ALAMBRE DE AMMARE</t>
  </si>
  <si>
    <t>TEFLON</t>
  </si>
  <si>
    <t>POXILINA</t>
  </si>
  <si>
    <t xml:space="preserve">DECRU D </t>
  </si>
  <si>
    <t>COPLA FG 3/4</t>
  </si>
  <si>
    <t>ESTILETE TR</t>
  </si>
  <si>
    <t>CUELLO DE CERA</t>
  </si>
  <si>
    <t>BROCA MAERA 8</t>
  </si>
  <si>
    <t>BROCA MADERA 13</t>
  </si>
  <si>
    <t>PREOSTATO</t>
  </si>
  <si>
    <t>MANOMETR</t>
  </si>
  <si>
    <t>LAMBRE GALVANIZA</t>
  </si>
  <si>
    <t>M MANGUERA TRAMONTINA</t>
  </si>
  <si>
    <t>CINTA DOBLE CONA¿TACTO 3M</t>
  </si>
  <si>
    <t>CARPICOLA SCHET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</si>
</sst>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5.0</v>
      </c>
      <c r="C8" s="7" t="s">
        <v>7</v>
      </c>
      <c r="D8" s="6">
        <v>45.0</v>
      </c>
      <c r="E8" s="8">
        <v>46294.35260628472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3.0</v>
      </c>
      <c r="C9" s="7" t="s">
        <v>7</v>
      </c>
      <c r="D9" s="6">
        <v>30.0</v>
      </c>
      <c r="E9" s="8">
        <v>46294.35259137732</v>
      </c>
      <c r="F9" s="2"/>
      <c r="G9" s="9" t="s">
        <v>8</v>
      </c>
      <c r="H9" s="10">
        <v>302.5</v>
      </c>
      <c r="I9" s="2"/>
      <c r="J9" s="9" t="s">
        <v>9</v>
      </c>
      <c r="K9" s="10">
        <v>783.5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10</v>
      </c>
      <c r="D10" s="6">
        <v>62.0</v>
      </c>
      <c r="E10" s="8">
        <v>46294.35263026621</v>
      </c>
      <c r="F10" s="2"/>
      <c r="G10" s="9" t="s">
        <v>11</v>
      </c>
      <c r="H10" s="10">
        <v>480.0</v>
      </c>
      <c r="I10" s="2"/>
      <c r="J10" s="9" t="s">
        <v>12</v>
      </c>
      <c r="K10" s="11">
        <f>SUM(PRINCIPAL[TOTAL])</f>
        <v>3310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12.0</v>
      </c>
      <c r="C11" s="7" t="s">
        <v>13</v>
      </c>
      <c r="D11" s="6">
        <v>90.0</v>
      </c>
      <c r="E11" s="8">
        <v>46294.37622185185</v>
      </c>
      <c r="F11" s="2"/>
      <c r="G11" s="9" t="s">
        <v>14</v>
      </c>
      <c r="H11" s="10">
        <v>1950.0</v>
      </c>
      <c r="I11" s="2"/>
      <c r="J11" s="9" t="s">
        <v>15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3.0</v>
      </c>
      <c r="C12" s="7" t="s">
        <v>16</v>
      </c>
      <c r="D12" s="6">
        <v>51.0</v>
      </c>
      <c r="E12" s="8">
        <v>46294.37617362269</v>
      </c>
      <c r="F12" s="2"/>
      <c r="G12" s="9" t="s">
        <v>17</v>
      </c>
      <c r="H12" s="12">
        <f>SUM(G24:H361)</f>
        <v>1317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18</v>
      </c>
      <c r="D13" s="6">
        <v>24.0</v>
      </c>
      <c r="E13" s="8">
        <v>46294.37593606481</v>
      </c>
      <c r="F13" s="2"/>
      <c r="G13" s="9" t="s">
        <v>19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20</v>
      </c>
      <c r="D14" s="6">
        <v>20.0</v>
      </c>
      <c r="E14" s="8">
        <v>46294.38482171296</v>
      </c>
      <c r="F14" s="2"/>
      <c r="G14" s="9" t="s">
        <v>21</v>
      </c>
      <c r="H14" s="10">
        <v>180.0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22</v>
      </c>
      <c r="D15" s="6">
        <v>29.0</v>
      </c>
      <c r="E15" s="8">
        <v>46294.38196184028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23</v>
      </c>
      <c r="D16" s="6">
        <v>73.0</v>
      </c>
      <c r="E16" s="8">
        <v>46294.38486373842</v>
      </c>
      <c r="F16" s="2"/>
      <c r="G16" s="15" t="s">
        <v>24</v>
      </c>
      <c r="H16" s="16">
        <f>SUM(H9:H14)</f>
        <v>4229.5</v>
      </c>
      <c r="I16" s="3"/>
      <c r="J16" s="15" t="s">
        <v>25</v>
      </c>
      <c r="K16" s="16">
        <f>SUM(K9:K11)</f>
        <v>4093.5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3.0</v>
      </c>
      <c r="E17" s="8">
        <v>46294.38495553241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17">
        <v>9.0</v>
      </c>
      <c r="E18" s="8">
        <v>46294.39124819444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136,00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28</v>
      </c>
      <c r="D19" s="6">
        <v>20.0</v>
      </c>
      <c r="E19" s="8">
        <v>46294.403601701386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48.0</v>
      </c>
      <c r="E20" s="8">
        <v>46294.415278761575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10.0</v>
      </c>
      <c r="C21" s="7" t="s">
        <v>30</v>
      </c>
      <c r="D21" s="6">
        <v>5.0</v>
      </c>
      <c r="E21" s="8">
        <v>46294.41542800926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24.0</v>
      </c>
      <c r="C22" s="7" t="s">
        <v>31</v>
      </c>
      <c r="D22" s="6">
        <v>6.0</v>
      </c>
      <c r="E22" s="8">
        <v>46294.41975114583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20.0</v>
      </c>
      <c r="E23" s="8">
        <v>46294.4268674537</v>
      </c>
      <c r="F23" s="2"/>
      <c r="G23" s="20" t="s">
        <v>33</v>
      </c>
      <c r="H23" s="20" t="s">
        <v>34</v>
      </c>
      <c r="I23" s="2"/>
      <c r="J23" s="21" t="s">
        <v>35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6.0</v>
      </c>
      <c r="E24" s="8">
        <v>46294.426938599536</v>
      </c>
      <c r="F24" s="2"/>
      <c r="G24" s="23">
        <v>53.0</v>
      </c>
      <c r="H24" s="24"/>
      <c r="I24" s="2"/>
      <c r="J24" s="25" t="s">
        <v>37</v>
      </c>
      <c r="K24" s="26">
        <f>SUM(INGRESOS_YAPE[])</f>
        <v>1317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38</v>
      </c>
      <c r="D25" s="6">
        <v>40.0</v>
      </c>
      <c r="E25" s="8">
        <v>46294.43959681713</v>
      </c>
      <c r="F25" s="2"/>
      <c r="G25" s="23">
        <v>6.0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 t="s">
        <v>39</v>
      </c>
      <c r="C26" s="7" t="s">
        <v>40</v>
      </c>
      <c r="D26" s="6">
        <v>21.0</v>
      </c>
      <c r="E26" s="8">
        <v>46294.4416457176</v>
      </c>
      <c r="F26" s="2"/>
      <c r="G26" s="27">
        <v>13.0</v>
      </c>
      <c r="H26" s="24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42</v>
      </c>
      <c r="D27" s="6">
        <v>40.0</v>
      </c>
      <c r="E27" s="8">
        <v>46294.45943847222</v>
      </c>
      <c r="F27" s="2"/>
      <c r="G27" s="23">
        <v>6.0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6.0</v>
      </c>
      <c r="E28" s="8">
        <v>46294.45936342592</v>
      </c>
      <c r="F28" s="2"/>
      <c r="G28" s="23">
        <v>20.0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6.0</v>
      </c>
      <c r="E29" s="8">
        <v>46294.45932589121</v>
      </c>
      <c r="F29" s="2"/>
      <c r="G29" s="23">
        <v>53.0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1317,00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8.0</v>
      </c>
      <c r="E30" s="8">
        <v>46294.45926805555</v>
      </c>
      <c r="F30" s="2"/>
      <c r="G30" s="23">
        <v>480.0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12.0</v>
      </c>
      <c r="E31" s="8">
        <v>46294.45922445602</v>
      </c>
      <c r="F31" s="2"/>
      <c r="G31" s="23">
        <v>60.0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6.0</v>
      </c>
      <c r="E32" s="8">
        <v>46294.46498746528</v>
      </c>
      <c r="F32" s="2"/>
      <c r="G32" s="23">
        <v>59.0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6.0</v>
      </c>
      <c r="C33" s="7" t="s">
        <v>47</v>
      </c>
      <c r="D33" s="6">
        <v>24.0</v>
      </c>
      <c r="E33" s="8">
        <v>46294.4771955787</v>
      </c>
      <c r="F33" s="2"/>
      <c r="G33" s="23">
        <v>260.0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39</v>
      </c>
      <c r="C34" s="7" t="s">
        <v>48</v>
      </c>
      <c r="D34" s="6">
        <v>3.0</v>
      </c>
      <c r="E34" s="8">
        <v>46294.48389541666</v>
      </c>
      <c r="F34" s="2"/>
      <c r="G34" s="23">
        <v>21.0</v>
      </c>
      <c r="H34" s="24"/>
      <c r="I34" s="2"/>
      <c r="J34" s="31" t="s">
        <v>49</v>
      </c>
      <c r="K34" s="31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51</v>
      </c>
      <c r="D35" s="6">
        <v>18.0</v>
      </c>
      <c r="E35" s="8">
        <v>46294.48989375</v>
      </c>
      <c r="F35" s="2"/>
      <c r="G35" s="23">
        <v>106.0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6.0</v>
      </c>
      <c r="C36" s="7" t="s">
        <v>52</v>
      </c>
      <c r="D36" s="6">
        <v>3.0</v>
      </c>
      <c r="E36" s="8">
        <v>46294.49400111111</v>
      </c>
      <c r="F36" s="2"/>
      <c r="G36" s="23">
        <v>136.0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6.0</v>
      </c>
      <c r="C37" s="7" t="s">
        <v>53</v>
      </c>
      <c r="D37" s="6">
        <v>7.0</v>
      </c>
      <c r="E37" s="8">
        <v>46294.499331666666</v>
      </c>
      <c r="F37" s="2"/>
      <c r="G37" s="23">
        <v>44.0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43.0</v>
      </c>
      <c r="E38" s="8">
        <v>46294.49380052084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17">
        <v>55.0</v>
      </c>
      <c r="E39" s="8">
        <v>46294.49937327547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480.0</v>
      </c>
      <c r="E40" s="8">
        <v>46294.50808988426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4.0</v>
      </c>
      <c r="C41" s="7" t="s">
        <v>57</v>
      </c>
      <c r="D41" s="6">
        <v>60.0</v>
      </c>
      <c r="E41" s="8">
        <v>46294.51271711805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59.0</v>
      </c>
      <c r="E42" s="8">
        <v>46294.52594487269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100.0</v>
      </c>
      <c r="C43" s="7" t="s">
        <v>59</v>
      </c>
      <c r="D43" s="6">
        <v>98.0</v>
      </c>
      <c r="E43" s="8">
        <v>46294.542051655095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21.0</v>
      </c>
      <c r="E44" s="8">
        <v>46294.545963993056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61</v>
      </c>
      <c r="D45" s="6">
        <v>260.0</v>
      </c>
      <c r="E45" s="8">
        <v>46294.56740479167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270.0</v>
      </c>
      <c r="E46" s="8">
        <v>46294.58411140046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6.0</v>
      </c>
      <c r="E47" s="8">
        <v>46294.59891966435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64</v>
      </c>
      <c r="D48" s="6">
        <v>98.0</v>
      </c>
      <c r="E48" s="8">
        <v>46294.61211023148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65</v>
      </c>
      <c r="D49" s="17">
        <v>18.0</v>
      </c>
      <c r="E49" s="8">
        <v>46294.62062320602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15.0</v>
      </c>
      <c r="E50" s="8">
        <v>46294.62120677083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67</v>
      </c>
      <c r="D51" s="6">
        <v>22.0</v>
      </c>
      <c r="E51" s="8">
        <v>46294.62129019676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23.0</v>
      </c>
      <c r="E52" s="8">
        <v>46294.62131016204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69</v>
      </c>
      <c r="D53" s="6">
        <v>16.0</v>
      </c>
      <c r="E53" s="8">
        <v>46294.62285511574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6">
        <v>82.0</v>
      </c>
      <c r="E54" s="8">
        <v>46294.62284820602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20.0</v>
      </c>
      <c r="E55" s="8">
        <v>46294.63319570602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20.0</v>
      </c>
      <c r="E56" s="8">
        <v>46294.63322251158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3.0</v>
      </c>
      <c r="E57" s="8">
        <v>46294.63844116898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38.0</v>
      </c>
      <c r="E58" s="8">
        <v>46294.63857087963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65.0</v>
      </c>
      <c r="E59" s="8">
        <v>46294.64121011574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21.0</v>
      </c>
      <c r="E60" s="8">
        <v>46294.65451789352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106.0</v>
      </c>
      <c r="E61" s="8">
        <v>46294.66302630787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30.0</v>
      </c>
      <c r="E62" s="8">
        <v>46294.708097372684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12.0</v>
      </c>
      <c r="E63" s="8">
        <v>46294.71583223379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25.0</v>
      </c>
      <c r="E64" s="8">
        <v>46294.71591125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75.0</v>
      </c>
      <c r="E65" s="8">
        <v>46294.73429528935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55.0</v>
      </c>
      <c r="E66" s="8">
        <v>46294.7343305324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0.5</v>
      </c>
      <c r="C67" s="7" t="s">
        <v>83</v>
      </c>
      <c r="D67" s="6">
        <v>15.0</v>
      </c>
      <c r="E67" s="8">
        <v>46294.73915679398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15.0</v>
      </c>
      <c r="C68" s="7" t="s">
        <v>84</v>
      </c>
      <c r="D68" s="6">
        <v>120.0</v>
      </c>
      <c r="E68" s="8">
        <v>46294.74323063657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300.0</v>
      </c>
      <c r="E69" s="8">
        <v>46294.743386898146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44.0</v>
      </c>
      <c r="E70" s="8">
        <v>46294.753848831024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