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<sst xmlns="http://schemas.openxmlformats.org/spreadsheetml/2006/main" count="98" uniqueCount="93">
  <si>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</si>
  <si>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</si>
  <si>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</si>
  <si>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</si>
  <si>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</si>
  <si>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</si>
  <si>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</si>
  <si>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termcio sica </t>
  </si>
  <si>
    <t>broca emcastre 6</t>
  </si>
  <si>
    <t>MONEDAS</t>
  </si>
  <si>
    <t>CAJA CHICA</t>
  </si>
  <si>
    <t>lente tr</t>
  </si>
  <si>
    <t>BILLETES 10-20</t>
  </si>
  <si>
    <t>TOTAL VENTAS DIA</t>
  </si>
  <si>
    <t>martillo de goma jadever</t>
  </si>
  <si>
    <t>BILLETES 50-100-200</t>
  </si>
  <si>
    <t>AUMENTO DE DINERO</t>
  </si>
  <si>
    <t>brocha 1 atlas</t>
  </si>
  <si>
    <t>INGRESOS YAPE</t>
  </si>
  <si>
    <t>teflon</t>
  </si>
  <si>
    <t>INGRESOS TARJETA</t>
  </si>
  <si>
    <t>tee 1/2 tigre</t>
  </si>
  <si>
    <t>GASTOS VARIOS</t>
  </si>
  <si>
    <t>codo 1/2 tigre</t>
  </si>
  <si>
    <t>tapon 1/2 macho</t>
  </si>
  <si>
    <t>DINERO GANADO HOY:</t>
  </si>
  <si>
    <t>CANTIDAD DINERO CAJA:</t>
  </si>
  <si>
    <t>valvula retencion vertica 11/2</t>
  </si>
  <si>
    <t>broca concreto tosle</t>
  </si>
  <si>
    <t>wd40</t>
  </si>
  <si>
    <t>disco galleta uyus</t>
  </si>
  <si>
    <t>estilete pretul</t>
  </si>
  <si>
    <t>YAPE MAMÁ</t>
  </si>
  <si>
    <t>YAPE PAPÁ</t>
  </si>
  <si>
    <t>YAPE</t>
  </si>
  <si>
    <t>broca paleta 1/2</t>
  </si>
  <si>
    <t>Monto Total YAPE (No tocar):</t>
  </si>
  <si>
    <t>pigmento negro</t>
  </si>
  <si>
    <t>aerosol negro brillo</t>
  </si>
  <si>
    <t>Monto Total Registrado en aplicacion</t>
  </si>
  <si>
    <t>cinta tela gris</t>
  </si>
  <si>
    <t>bolsita de clavos 1</t>
  </si>
  <si>
    <t>pisto asilicona tr</t>
  </si>
  <si>
    <t>carpicola 75ml</t>
  </si>
  <si>
    <t>cinta asilante</t>
  </si>
  <si>
    <t>lija200</t>
  </si>
  <si>
    <t>PAGOS YAPE</t>
  </si>
  <si>
    <t>DESCRIPCION PAGO</t>
  </si>
  <si>
    <t>FRESA TR</t>
  </si>
  <si>
    <t>CALIBRADOR DE BUJIAS</t>
  </si>
  <si>
    <t>ALICATE FUERZA YUS</t>
  </si>
  <si>
    <t>ESILETE TR</t>
  </si>
  <si>
    <t>pie de amigo 10x12</t>
  </si>
  <si>
    <t>chip4.5x45</t>
  </si>
  <si>
    <t>ramplu 8</t>
  </si>
  <si>
    <t>pie de amigo 3"</t>
  </si>
  <si>
    <t>broca punta flecha 6</t>
  </si>
  <si>
    <t>remache 4x12</t>
  </si>
  <si>
    <t>cint aasilante tr</t>
  </si>
  <si>
    <t>clevija suhco</t>
  </si>
  <si>
    <t>1kl</t>
  </si>
  <si>
    <t>electrodo 7018</t>
  </si>
  <si>
    <t>lija 360</t>
  </si>
  <si>
    <t>lija 1000</t>
  </si>
  <si>
    <t>lija 1500</t>
  </si>
  <si>
    <t>lija 600</t>
  </si>
  <si>
    <t>poxilina</t>
  </si>
  <si>
    <t>llave combinada</t>
  </si>
  <si>
    <t>eversibles</t>
  </si>
  <si>
    <t>jugo de dado jadever</t>
  </si>
  <si>
    <t>adaptador truper</t>
  </si>
  <si>
    <t>clavo 19mm</t>
  </si>
  <si>
    <t>guante asate</t>
  </si>
  <si>
    <t>bolsa de precintos</t>
  </si>
  <si>
    <t>broca 8mm</t>
  </si>
  <si>
    <t>disco concreto 4</t>
  </si>
  <si>
    <t>cinta aislante</t>
  </si>
  <si>
    <t>grampas 1/4</t>
  </si>
  <si>
    <t>catalizador para masillla plastica</t>
  </si>
  <si>
    <t>resistencia</t>
  </si>
  <si>
    <t xml:space="preserve">jugo del llaves alen </t>
  </si>
  <si>
    <t>llave pipa</t>
  </si>
  <si>
    <t>pico</t>
  </si>
  <si>
    <t>conexion rap</t>
  </si>
  <si>
    <t>pila durac</t>
  </si>
  <si>
    <t>GIRFO FV</t>
  </si>
  <si>
    <t>CLAVO CLAVADORA</t>
  </si>
  <si>
    <t xml:space="preserve">CAUTIN </t>
  </si>
  <si>
    <t>VARILLAS DE BRONCE</t>
  </si>
  <si>
    <t>POMADA</t>
  </si>
  <si>
    <t>CUCHILLAS ESTILETE</t>
  </si>
  <si>
    <t>BROCHAS ATLAS 2</t>
  </si>
  <si>
    <t>BROCHAS ATAS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</si>
</sst>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1" fillId="9" fontId="5" numFmtId="0" xfId="0" applyAlignment="1" applyBorder="1" applyFill="1" applyFont="1">
      <alignment horizontal="center" readingOrder="0" shrinkToFit="0" vertical="center" wrapText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50.0</v>
      </c>
      <c r="E8" s="8">
        <v>46282.35342313658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14.0</v>
      </c>
      <c r="E9" s="8">
        <v>46282.35799135416</v>
      </c>
      <c r="F9" s="2"/>
      <c r="G9" s="9" t="s">
        <v>9</v>
      </c>
      <c r="H9" s="10">
        <v>77.5</v>
      </c>
      <c r="I9" s="2"/>
      <c r="J9" s="9" t="s">
        <v>10</v>
      </c>
      <c r="K9" s="10">
        <v>651.0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19.0</v>
      </c>
      <c r="E10" s="8">
        <v>46282.37744650463</v>
      </c>
      <c r="F10" s="2"/>
      <c r="G10" s="9" t="s">
        <v>12</v>
      </c>
      <c r="H10" s="10">
        <v>180.0</v>
      </c>
      <c r="I10" s="2"/>
      <c r="J10" s="9" t="s">
        <v>13</v>
      </c>
      <c r="K10" s="11">
        <f>SUM(PRINCIPAL[TOTAL])</f>
        <v>2763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25.0</v>
      </c>
      <c r="E11" s="8">
        <v>46282.382182546295</v>
      </c>
      <c r="F11" s="2"/>
      <c r="G11" s="9" t="s">
        <v>15</v>
      </c>
      <c r="H11" s="10">
        <v>1600.0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10.0</v>
      </c>
      <c r="E12" s="8">
        <v>46282.38362320602</v>
      </c>
      <c r="F12" s="2"/>
      <c r="G12" s="9" t="s">
        <v>18</v>
      </c>
      <c r="H12" s="12">
        <f>SUM(G24:H361)</f>
        <v>1590.5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3.0</v>
      </c>
      <c r="E13" s="8">
        <v>46282.39634144676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6.0</v>
      </c>
      <c r="E14" s="8">
        <v>46282.39642421296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4.0</v>
      </c>
      <c r="E15" s="8">
        <v>46282.396543124996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4.0</v>
      </c>
      <c r="C16" s="7" t="s">
        <v>24</v>
      </c>
      <c r="D16" s="6">
        <v>8.0</v>
      </c>
      <c r="E16" s="8">
        <v>46282.396811956016</v>
      </c>
      <c r="F16" s="2"/>
      <c r="G16" s="15" t="s">
        <v>25</v>
      </c>
      <c r="H16" s="16">
        <f>SUM(H9:H14)</f>
        <v>3448</v>
      </c>
      <c r="I16" s="3"/>
      <c r="J16" s="15" t="s">
        <v>26</v>
      </c>
      <c r="K16" s="16">
        <f>SUM(K9:K11)</f>
        <v>3414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235.0</v>
      </c>
      <c r="E17" s="8">
        <v>46282.39849704861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110.0</v>
      </c>
      <c r="E18" s="8">
        <v>46282.40647048611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34,00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90.0</v>
      </c>
      <c r="E19" s="8">
        <v>46282.42002039352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3.0</v>
      </c>
      <c r="C20" s="7" t="s">
        <v>30</v>
      </c>
      <c r="D20" s="6">
        <v>15.0</v>
      </c>
      <c r="E20" s="8">
        <v>46282.424653078706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19.0</v>
      </c>
      <c r="E21" s="8">
        <v>46282.42473145833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23</v>
      </c>
      <c r="D22" s="6">
        <v>4.0</v>
      </c>
      <c r="E22" s="8">
        <v>46282.42944732639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19</v>
      </c>
      <c r="D23" s="6">
        <v>3.0</v>
      </c>
      <c r="E23" s="8">
        <v>46282.42949278935</v>
      </c>
      <c r="F23" s="2"/>
      <c r="G23" s="19" t="s">
        <v>32</v>
      </c>
      <c r="H23" s="19" t="s">
        <v>33</v>
      </c>
      <c r="I23" s="2"/>
      <c r="J23" s="20" t="s">
        <v>34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35</v>
      </c>
      <c r="D24" s="6">
        <v>50.0</v>
      </c>
      <c r="E24" s="8">
        <v>46282.43696989583</v>
      </c>
      <c r="F24" s="2"/>
      <c r="G24" s="22">
        <v>50.0</v>
      </c>
      <c r="H24" s="23"/>
      <c r="I24" s="2"/>
      <c r="J24" s="24" t="s">
        <v>36</v>
      </c>
      <c r="K24" s="25">
        <f>SUM(INGRESOS_YAPE[])</f>
        <v>1590.5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10.0</v>
      </c>
      <c r="E25" s="26"/>
      <c r="F25" s="2"/>
      <c r="G25" s="22">
        <v>25.0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20.0</v>
      </c>
      <c r="E26" s="8">
        <v>46282.44017873843</v>
      </c>
      <c r="F26" s="2"/>
      <c r="G26" s="27">
        <v>10.0</v>
      </c>
      <c r="H26" s="23"/>
      <c r="I26" s="2"/>
      <c r="J26" s="28" t="s">
        <v>39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21</v>
      </c>
      <c r="D27" s="6">
        <v>6.0</v>
      </c>
      <c r="E27" s="8">
        <v>46282.44392065972</v>
      </c>
      <c r="F27" s="2"/>
      <c r="G27" s="22">
        <v>34.0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18.0</v>
      </c>
      <c r="E28" s="8">
        <v>46282.44788039352</v>
      </c>
      <c r="F28" s="2"/>
      <c r="G28" s="22">
        <v>50.0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30">
        <v>3.0</v>
      </c>
      <c r="E29" s="8">
        <v>46282.448715300925</v>
      </c>
      <c r="F29" s="2"/>
      <c r="G29" s="22">
        <v>20.0</v>
      </c>
      <c r="H29" s="23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1590,50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37</v>
      </c>
      <c r="D30" s="6">
        <v>10.0</v>
      </c>
      <c r="E30" s="8">
        <v>46282.45307184028</v>
      </c>
      <c r="F30" s="2"/>
      <c r="G30" s="22">
        <v>24.0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42</v>
      </c>
      <c r="D31" s="6">
        <v>43.0</v>
      </c>
      <c r="E31" s="8">
        <v>46282.45496004629</v>
      </c>
      <c r="F31" s="2"/>
      <c r="G31" s="22">
        <v>7.0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43</v>
      </c>
      <c r="D32" s="6">
        <v>7.0</v>
      </c>
      <c r="E32" s="8">
        <v>46282.48140935185</v>
      </c>
      <c r="F32" s="2"/>
      <c r="G32" s="22">
        <v>61.0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44</v>
      </c>
      <c r="D33" s="6">
        <v>14.0</v>
      </c>
      <c r="E33" s="8">
        <v>46282.49323732639</v>
      </c>
      <c r="F33" s="2"/>
      <c r="G33" s="22">
        <v>40.0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45</v>
      </c>
      <c r="D34" s="6">
        <v>12.0</v>
      </c>
      <c r="E34" s="8">
        <v>46282.49552222222</v>
      </c>
      <c r="F34" s="2"/>
      <c r="G34" s="22">
        <v>24.0</v>
      </c>
      <c r="H34" s="23"/>
      <c r="I34" s="2"/>
      <c r="J34" s="32" t="s">
        <v>46</v>
      </c>
      <c r="K34" s="32" t="s">
        <v>47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48</v>
      </c>
      <c r="D35" s="6">
        <v>61.0</v>
      </c>
      <c r="E35" s="8">
        <v>46282.51645498842</v>
      </c>
      <c r="F35" s="2"/>
      <c r="G35" s="22">
        <v>55.5</v>
      </c>
      <c r="H35" s="23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29</v>
      </c>
      <c r="D36" s="6">
        <v>90.0</v>
      </c>
      <c r="E36" s="8">
        <v>46282.50594945602</v>
      </c>
      <c r="F36" s="2"/>
      <c r="G36" s="22">
        <v>35.0</v>
      </c>
      <c r="H36" s="23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>
        <v>64.0</v>
      </c>
      <c r="E37" s="8">
        <v>46282.5235350463</v>
      </c>
      <c r="F37" s="2"/>
      <c r="G37" s="22">
        <v>250.0</v>
      </c>
      <c r="H37" s="23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40.0</v>
      </c>
      <c r="E38" s="8">
        <v>46282.5412137963</v>
      </c>
      <c r="F38" s="2"/>
      <c r="G38" s="22">
        <v>63.0</v>
      </c>
      <c r="H38" s="23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24.0</v>
      </c>
      <c r="E39" s="8">
        <v>46282.546733090276</v>
      </c>
      <c r="F39" s="2"/>
      <c r="G39" s="22">
        <v>36.0</v>
      </c>
      <c r="H39" s="23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52</v>
      </c>
      <c r="D40" s="6">
        <v>16.0</v>
      </c>
      <c r="E40" s="8">
        <v>46282.57025326389</v>
      </c>
      <c r="F40" s="2"/>
      <c r="G40" s="22">
        <v>24.0</v>
      </c>
      <c r="H40" s="23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24.0</v>
      </c>
      <c r="C41" s="7" t="s">
        <v>53</v>
      </c>
      <c r="D41" s="6">
        <v>7.0</v>
      </c>
      <c r="E41" s="8">
        <v>46282.57014391204</v>
      </c>
      <c r="F41" s="2"/>
      <c r="G41" s="22">
        <v>11.0</v>
      </c>
      <c r="H41" s="23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24.0</v>
      </c>
      <c r="C42" s="7" t="s">
        <v>54</v>
      </c>
      <c r="D42" s="6">
        <v>5.0</v>
      </c>
      <c r="E42" s="8">
        <v>46282.570081875005</v>
      </c>
      <c r="F42" s="2"/>
      <c r="G42" s="22">
        <v>97.0</v>
      </c>
      <c r="H42" s="23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55</v>
      </c>
      <c r="D43" s="6">
        <v>9.0</v>
      </c>
      <c r="E43" s="8">
        <v>46282.57001417824</v>
      </c>
      <c r="F43" s="2"/>
      <c r="G43" s="22">
        <v>33.0</v>
      </c>
      <c r="H43" s="23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34.0</v>
      </c>
      <c r="E44" s="8">
        <v>46282.58186146991</v>
      </c>
      <c r="F44" s="2"/>
      <c r="G44" s="22">
        <v>49.0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102.0</v>
      </c>
      <c r="C45" s="7" t="s">
        <v>57</v>
      </c>
      <c r="D45" s="6">
        <v>21.5</v>
      </c>
      <c r="E45" s="8">
        <v>46282.58199644676</v>
      </c>
      <c r="F45" s="2"/>
      <c r="G45" s="22">
        <v>262.0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9.0</v>
      </c>
      <c r="E46" s="8">
        <v>46282.583853993056</v>
      </c>
      <c r="F46" s="2"/>
      <c r="G46" s="22">
        <v>330.0</v>
      </c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35.0</v>
      </c>
      <c r="E47" s="8">
        <v>46282.593760856485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60</v>
      </c>
      <c r="C48" s="7" t="s">
        <v>61</v>
      </c>
      <c r="D48" s="6">
        <v>64.0</v>
      </c>
      <c r="E48" s="8">
        <v>46282.59881815972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8.0</v>
      </c>
      <c r="E49" s="8">
        <v>46282.5988834375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63</v>
      </c>
      <c r="D50" s="6">
        <v>8.0</v>
      </c>
      <c r="E50" s="8">
        <v>46282.599294155094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64</v>
      </c>
      <c r="D51" s="6">
        <v>8.0</v>
      </c>
      <c r="E51" s="8">
        <v>46282.599185486106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65</v>
      </c>
      <c r="D52" s="6">
        <v>6.0</v>
      </c>
      <c r="E52" s="8">
        <v>46282.598967708334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66</v>
      </c>
      <c r="D53" s="6">
        <v>38.0</v>
      </c>
      <c r="E53" s="8">
        <v>46282.60444452547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67</v>
      </c>
      <c r="D54" s="6">
        <v>10.0</v>
      </c>
      <c r="E54" s="8">
        <v>46282.60534148148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68</v>
      </c>
      <c r="D55" s="6">
        <v>26.0</v>
      </c>
      <c r="E55" s="8">
        <v>46282.605418969906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69</v>
      </c>
      <c r="D56" s="6">
        <v>180.0</v>
      </c>
      <c r="E56" s="8">
        <v>46282.60549277777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70</v>
      </c>
      <c r="D57" s="6">
        <v>35.0</v>
      </c>
      <c r="E57" s="8">
        <v>46282.60556481482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63.0</v>
      </c>
      <c r="E58" s="8">
        <v>46282.62859685185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72</v>
      </c>
      <c r="D59" s="6">
        <v>20.0</v>
      </c>
      <c r="E59" s="8">
        <v>46282.63200395834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73</v>
      </c>
      <c r="D60" s="6">
        <v>36.0</v>
      </c>
      <c r="E60" s="8">
        <v>46282.64479604167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74</v>
      </c>
      <c r="D61" s="6">
        <v>8.5</v>
      </c>
      <c r="E61" s="8">
        <v>46282.66586988426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75</v>
      </c>
      <c r="D62" s="6">
        <v>25.0</v>
      </c>
      <c r="E62" s="8">
        <v>46282.65286274305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14.0</v>
      </c>
      <c r="E63" s="8">
        <v>46282.665976041666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3.0</v>
      </c>
      <c r="C64" s="7" t="s">
        <v>77</v>
      </c>
      <c r="D64" s="6">
        <v>24.0</v>
      </c>
      <c r="E64" s="8">
        <v>46282.68399114584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78</v>
      </c>
      <c r="D65" s="30">
        <v>6.0</v>
      </c>
      <c r="E65" s="8">
        <v>46282.68475090278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79</v>
      </c>
      <c r="D66" s="6">
        <v>24.0</v>
      </c>
      <c r="E66" s="8">
        <v>46282.69289178241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80</v>
      </c>
      <c r="D67" s="6">
        <v>62.0</v>
      </c>
      <c r="E67" s="8">
        <v>46282.71190712963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81</v>
      </c>
      <c r="D68" s="6">
        <v>35.0</v>
      </c>
      <c r="E68" s="8">
        <v>46282.71196326389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82</v>
      </c>
      <c r="D69" s="6">
        <v>8.0</v>
      </c>
      <c r="E69" s="8">
        <v>46282.71712818287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83</v>
      </c>
      <c r="D70" s="6">
        <v>25.0</v>
      </c>
      <c r="E70" s="8">
        <v>46282.71729569444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84</v>
      </c>
      <c r="D71" s="6">
        <v>75.0</v>
      </c>
      <c r="E71" s="8">
        <v>46282.73150068287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85</v>
      </c>
      <c r="D72" s="6">
        <v>90.0</v>
      </c>
      <c r="E72" s="8">
        <v>46282.738724930554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86</v>
      </c>
      <c r="D73" s="6">
        <v>49.0</v>
      </c>
      <c r="E73" s="8">
        <v>46282.74601646991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87</v>
      </c>
      <c r="D74" s="6">
        <v>85.0</v>
      </c>
      <c r="E74" s="8">
        <v>46282.76690185185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4.0</v>
      </c>
      <c r="C75" s="7" t="s">
        <v>88</v>
      </c>
      <c r="D75" s="6">
        <v>112.0</v>
      </c>
      <c r="E75" s="8">
        <v>46282.76695974537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89</v>
      </c>
      <c r="D76" s="6">
        <v>27.0</v>
      </c>
      <c r="E76" s="8">
        <v>46282.767022581014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90</v>
      </c>
      <c r="D77" s="6">
        <v>38.0</v>
      </c>
      <c r="E77" s="8">
        <v>46282.76710078704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20.0</v>
      </c>
      <c r="C78" s="7" t="s">
        <v>91</v>
      </c>
      <c r="D78" s="6">
        <v>280.0</v>
      </c>
      <c r="E78" s="8">
        <v>46282.76717820602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5.0</v>
      </c>
      <c r="C79" s="7" t="s">
        <v>92</v>
      </c>
      <c r="D79" s="6">
        <v>50.0</v>
      </c>
      <c r="E79" s="8">
        <v>46282.76728364584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5"/>
      <c r="D80" s="36"/>
      <c r="E80" s="26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5"/>
      <c r="D81" s="36"/>
      <c r="E81" s="26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26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26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26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26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26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26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26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26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26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26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26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2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2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2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2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2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2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2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2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2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2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2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2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2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2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2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2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2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2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2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2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2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2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2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2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2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2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2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2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2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2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2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2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2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2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2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2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2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2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2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2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2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2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2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2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2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2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2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2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2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2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2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2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2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2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2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2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2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2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2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2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2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2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2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2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2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2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2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2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2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2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2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2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2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2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2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2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2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2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2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2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2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2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2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2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2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2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2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2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2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2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2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2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2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2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2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2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2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2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2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2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2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2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2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2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2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2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2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2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2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2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2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2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2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2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2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2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2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2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2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2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2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2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2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2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2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2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2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2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2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2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2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2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2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2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2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2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2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2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2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2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2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2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2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2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2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2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2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2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2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2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2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2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2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2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2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2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2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2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2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2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2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2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2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2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2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2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2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2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2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2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2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2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2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2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2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2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2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2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2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2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2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2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2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2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2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2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2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2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2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2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2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2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2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2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2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2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2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2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2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2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2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2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2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2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2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2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2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2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2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