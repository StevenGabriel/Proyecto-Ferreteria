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<sst xmlns="http://schemas.openxmlformats.org/spreadsheetml/2006/main" count="116" uniqueCount="113">
  <si>
    <t>HOJA DE CALCULO FERRETERIA</t>
  </si>
  <si>
    <t>CODIGO</t>
  </si>
  <si>
    <t>CANTIDAD</t>
  </si>
  <si>
    <t>DESCRIPCION</t>
  </si>
  <si>
    <t>TOTAL</t>
  </si>
  <si>
    <t>HORA</t>
  </si>
  <si>
    <t>CUADRAR</t>
  </si>
  <si>
    <t>2m</t>
  </si>
  <si>
    <t>lija 120</t>
  </si>
  <si>
    <t>BROCA ABELLAN</t>
  </si>
  <si>
    <t>MONEDAS</t>
  </si>
  <si>
    <t>CAJA CHICA</t>
  </si>
  <si>
    <t>ESCUADEA</t>
  </si>
  <si>
    <t>BILLETES 10-20</t>
  </si>
  <si>
    <t>TOTAL VENTAS DIA</t>
  </si>
  <si>
    <t>HIDROPISTOLA TR</t>
  </si>
  <si>
    <t>BILLETES 50-100-200</t>
  </si>
  <si>
    <t>AUMENTO DE DINERO</t>
  </si>
  <si>
    <t>M MANGUERA 1/2 TRMAON</t>
  </si>
  <si>
    <t>INGRESOS YAPE</t>
  </si>
  <si>
    <t>UNION DE MANGUERA 1/2</t>
  </si>
  <si>
    <t>INGRESOS TARJETA</t>
  </si>
  <si>
    <t>RAMPLU 6</t>
  </si>
  <si>
    <t>GASTOS VARIOS</t>
  </si>
  <si>
    <t>CHIP 4.5X60</t>
  </si>
  <si>
    <t>BROCHA 1</t>
  </si>
  <si>
    <t>DINERO GANADO HOY:</t>
  </si>
  <si>
    <t>CANTIDAD DINERO CAJA:</t>
  </si>
  <si>
    <t>2KL</t>
  </si>
  <si>
    <t>TIZA</t>
  </si>
  <si>
    <t>CINTA PROHIBIDO</t>
  </si>
  <si>
    <t>GUANTE OSCARIA</t>
  </si>
  <si>
    <t>CINTA DOBLE CONTATO</t>
  </si>
  <si>
    <t xml:space="preserve">CARBON </t>
  </si>
  <si>
    <t>FLEXO 10M</t>
  </si>
  <si>
    <t>ALIATE FIERZA</t>
  </si>
  <si>
    <t>YAPE MAMÁ</t>
  </si>
  <si>
    <t>YAPE PAPÁ</t>
  </si>
  <si>
    <t>YAPE</t>
  </si>
  <si>
    <t>BROCA FLECH</t>
  </si>
  <si>
    <t>Monto Total YAPE (No tocar):</t>
  </si>
  <si>
    <t>PER CARROCE</t>
  </si>
  <si>
    <t>CAUTIN CTA100</t>
  </si>
  <si>
    <t>Monto Total Registrado en aplicacion</t>
  </si>
  <si>
    <t>LLAVE COMB</t>
  </si>
  <si>
    <t>GUANTES</t>
  </si>
  <si>
    <t>ESPATUL</t>
  </si>
  <si>
    <t>BROCA TR</t>
  </si>
  <si>
    <t>TENAZA</t>
  </si>
  <si>
    <t>INFLADOR DACRO</t>
  </si>
  <si>
    <t>LLANTA DE CARRETILLA</t>
  </si>
  <si>
    <t>PAGOS YAPE</t>
  </si>
  <si>
    <t>DESCRIPCION PAGO</t>
  </si>
  <si>
    <t>AZADON</t>
  </si>
  <si>
    <t>PAO DE AZADON</t>
  </si>
  <si>
    <t>TIJERA DE PODAR</t>
  </si>
  <si>
    <t>PICOLA PEQUEÑA</t>
  </si>
  <si>
    <t>ADAPTADOR KOMTAK</t>
  </si>
  <si>
    <t>DESARMADOR TR</t>
  </si>
  <si>
    <t>DESARMADOR TRAMONTINA</t>
  </si>
  <si>
    <t>DADO 1/4</t>
  </si>
  <si>
    <t>GUANTE JADEVER</t>
  </si>
  <si>
    <t>1/2 mt</t>
  </si>
  <si>
    <t>aluba</t>
  </si>
  <si>
    <t>eslinga</t>
  </si>
  <si>
    <t>100m</t>
  </si>
  <si>
    <t>rollo cable bipolar 10</t>
  </si>
  <si>
    <t>foco 50w</t>
  </si>
  <si>
    <t>soquet</t>
  </si>
  <si>
    <t>clavijas</t>
  </si>
  <si>
    <t>cinta asilante</t>
  </si>
  <si>
    <t>tapon hembra 3/4 pvc</t>
  </si>
  <si>
    <t>aeroson negro mate</t>
  </si>
  <si>
    <t>serrucho uyus</t>
  </si>
  <si>
    <t>espuma expansiva negro</t>
  </si>
  <si>
    <t>dado 8mm taladro</t>
  </si>
  <si>
    <t>docena autoperforante 12x2</t>
  </si>
  <si>
    <t>juego termocontraible</t>
  </si>
  <si>
    <t>grampa 1 caja</t>
  </si>
  <si>
    <t>broca debor fierro 4</t>
  </si>
  <si>
    <t>chicotill</t>
  </si>
  <si>
    <t>teflon</t>
  </si>
  <si>
    <t>broca encastre 6</t>
  </si>
  <si>
    <t>ramplu 6</t>
  </si>
  <si>
    <t>tornillo 4x60</t>
  </si>
  <si>
    <t>reversible desarmador</t>
  </si>
  <si>
    <t>flexo 10M</t>
  </si>
  <si>
    <t>lapiz bicolor</t>
  </si>
  <si>
    <t>marcador rojo</t>
  </si>
  <si>
    <t>chicotillo 60</t>
  </si>
  <si>
    <t>pastina neomix</t>
  </si>
  <si>
    <t>rejilla 20x20</t>
  </si>
  <si>
    <t>pie de amigo 6x8</t>
  </si>
  <si>
    <t>union patetenfg</t>
  </si>
  <si>
    <t>tapon pvc 1/2</t>
  </si>
  <si>
    <t>5m</t>
  </si>
  <si>
    <t>malla milimetrica 1,5</t>
  </si>
  <si>
    <t>adapteod contal</t>
  </si>
  <si>
    <t>tapon 3/4 tigre</t>
  </si>
  <si>
    <t>sierra irwin</t>
  </si>
  <si>
    <t>tubo led</t>
  </si>
  <si>
    <t>dasarmador rev</t>
  </si>
  <si>
    <t>juego desarmadores</t>
  </si>
  <si>
    <t>hidropistola TR</t>
  </si>
  <si>
    <t>pico tr</t>
  </si>
  <si>
    <t>espiga</t>
  </si>
  <si>
    <t>flexo 8</t>
  </si>
  <si>
    <t>lima truper</t>
  </si>
  <si>
    <t>M AMNGURA NVEL</t>
  </si>
  <si>
    <t>3,5 DOC</t>
  </si>
  <si>
    <t>MINI SIERRA 20002</t>
  </si>
  <si>
    <t>8 MT</t>
  </si>
  <si>
    <t>MANGUERA DE 3/4 PERU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</si>
</sst>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 t="s">
        <v>7</v>
      </c>
      <c r="C8" s="7" t="s">
        <v>8</v>
      </c>
      <c r="D8" s="6">
        <v>20.0</v>
      </c>
      <c r="E8" s="8">
        <v>46275.36335760417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9</v>
      </c>
      <c r="D9" s="6">
        <v>59.0</v>
      </c>
      <c r="E9" s="8">
        <v>46275.37458773148</v>
      </c>
      <c r="F9" s="2"/>
      <c r="G9" s="9" t="s">
        <v>10</v>
      </c>
      <c r="H9" s="10">
        <v>55.5</v>
      </c>
      <c r="I9" s="2"/>
      <c r="J9" s="9" t="s">
        <v>11</v>
      </c>
      <c r="K9" s="10">
        <v>763.0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12</v>
      </c>
      <c r="D10" s="6">
        <v>67.0</v>
      </c>
      <c r="E10" s="8">
        <v>46275.37468395833</v>
      </c>
      <c r="F10" s="2"/>
      <c r="G10" s="9" t="s">
        <v>13</v>
      </c>
      <c r="H10" s="10">
        <v>350.0</v>
      </c>
      <c r="I10" s="2"/>
      <c r="J10" s="9" t="s">
        <v>14</v>
      </c>
      <c r="K10" s="11">
        <f>SUM(PRINCIPAL[TOTAL])</f>
        <v>3966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55.0</v>
      </c>
      <c r="E11" s="8">
        <v>46275.374989895834</v>
      </c>
      <c r="F11" s="2"/>
      <c r="G11" s="9" t="s">
        <v>16</v>
      </c>
      <c r="H11" s="10">
        <v>2000.0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6.0</v>
      </c>
      <c r="C12" s="7" t="s">
        <v>18</v>
      </c>
      <c r="D12" s="6">
        <v>60.0</v>
      </c>
      <c r="E12" s="8">
        <v>46275.375681770834</v>
      </c>
      <c r="F12" s="2"/>
      <c r="G12" s="9" t="s">
        <v>19</v>
      </c>
      <c r="H12" s="12">
        <f>SUM(G24:H361)</f>
        <v>1581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8.0</v>
      </c>
      <c r="E13" s="8">
        <v>46275.375786006945</v>
      </c>
      <c r="F13" s="2"/>
      <c r="G13" s="9" t="s">
        <v>21</v>
      </c>
      <c r="H13" s="10">
        <v>747.0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6.0</v>
      </c>
      <c r="C14" s="7" t="s">
        <v>22</v>
      </c>
      <c r="D14" s="6">
        <v>1.0</v>
      </c>
      <c r="E14" s="8">
        <v>46275.38671947917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6.0</v>
      </c>
      <c r="C15" s="7" t="s">
        <v>24</v>
      </c>
      <c r="D15" s="6">
        <v>2.0</v>
      </c>
      <c r="E15" s="8">
        <v>46275.38678234954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5.0</v>
      </c>
      <c r="E16" s="8">
        <v>46275.38665048611</v>
      </c>
      <c r="F16" s="2"/>
      <c r="G16" s="15" t="s">
        <v>26</v>
      </c>
      <c r="H16" s="16">
        <f>SUM(H9:H14)</f>
        <v>4733.5</v>
      </c>
      <c r="I16" s="3"/>
      <c r="J16" s="15" t="s">
        <v>27</v>
      </c>
      <c r="K16" s="16">
        <f>SUM(K9:K11)</f>
        <v>4729</v>
      </c>
      <c r="L16" s="2"/>
      <c r="M16" s="2"/>
      <c r="N16" s="2"/>
      <c r="O16" s="2"/>
      <c r="P16" s="2"/>
      <c r="Q16" s="2"/>
    </row>
    <row r="17" ht="22.5" customHeight="1">
      <c r="A17" s="13"/>
      <c r="B17" s="6" t="s">
        <v>28</v>
      </c>
      <c r="C17" s="7" t="s">
        <v>29</v>
      </c>
      <c r="D17" s="6">
        <v>6.0</v>
      </c>
      <c r="E17" s="8">
        <v>46275.39260263889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30</v>
      </c>
      <c r="D18" s="6">
        <v>101.0</v>
      </c>
      <c r="E18" s="8">
        <v>46275.39278383102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31</v>
      </c>
      <c r="D19" s="6">
        <v>27.0</v>
      </c>
      <c r="E19" s="8">
        <v>46275.39286532407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32</v>
      </c>
      <c r="D20" s="6">
        <v>83.0</v>
      </c>
      <c r="E20" s="8">
        <v>46275.39736878472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3.0</v>
      </c>
      <c r="C21" s="7" t="s">
        <v>33</v>
      </c>
      <c r="D21" s="6">
        <v>60.0</v>
      </c>
      <c r="E21" s="8">
        <v>46275.40226628473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34</v>
      </c>
      <c r="D22" s="6">
        <v>47.0</v>
      </c>
      <c r="E22" s="8">
        <v>46275.413504745375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35</v>
      </c>
      <c r="D23" s="19">
        <v>42.0</v>
      </c>
      <c r="E23" s="8">
        <v>46275.41359196759</v>
      </c>
      <c r="F23" s="2"/>
      <c r="G23" s="20" t="s">
        <v>36</v>
      </c>
      <c r="H23" s="20" t="s">
        <v>37</v>
      </c>
      <c r="I23" s="2"/>
      <c r="J23" s="21" t="s">
        <v>38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39</v>
      </c>
      <c r="D24" s="6">
        <v>70.0</v>
      </c>
      <c r="E24" s="8">
        <v>46275.41690858796</v>
      </c>
      <c r="F24" s="2"/>
      <c r="G24" s="23">
        <v>126.0</v>
      </c>
      <c r="H24" s="24"/>
      <c r="I24" s="2"/>
      <c r="J24" s="25" t="s">
        <v>40</v>
      </c>
      <c r="K24" s="26">
        <f>SUM(INGRESOS_YAPE[])</f>
        <v>1581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41</v>
      </c>
      <c r="D25" s="6">
        <v>4.5</v>
      </c>
      <c r="E25" s="8">
        <v>46275.41712292824</v>
      </c>
      <c r="F25" s="2"/>
      <c r="G25" s="23">
        <v>8.0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42</v>
      </c>
      <c r="D26" s="27">
        <v>60.0</v>
      </c>
      <c r="E26" s="8">
        <v>46275.45500960648</v>
      </c>
      <c r="F26" s="2"/>
      <c r="G26" s="28">
        <v>128.0</v>
      </c>
      <c r="H26" s="24"/>
      <c r="I26" s="2"/>
      <c r="J26" s="29" t="s">
        <v>43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44</v>
      </c>
      <c r="D27" s="6">
        <v>30.0</v>
      </c>
      <c r="E27" s="8">
        <v>46275.48482240741</v>
      </c>
      <c r="F27" s="2"/>
      <c r="G27" s="23">
        <v>60.0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3.0</v>
      </c>
      <c r="C28" s="7" t="s">
        <v>45</v>
      </c>
      <c r="D28" s="6">
        <v>39.0</v>
      </c>
      <c r="E28" s="8">
        <v>46275.4852962963</v>
      </c>
      <c r="F28" s="2"/>
      <c r="G28" s="23">
        <v>581.0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46</v>
      </c>
      <c r="D29" s="6">
        <v>14.5</v>
      </c>
      <c r="E29" s="8">
        <v>46275.485402314815</v>
      </c>
      <c r="F29" s="2"/>
      <c r="G29" s="23">
        <v>94.0</v>
      </c>
      <c r="H29" s="24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1581,00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93.0</v>
      </c>
      <c r="E30" s="8">
        <v>46275.48554865741</v>
      </c>
      <c r="F30" s="2"/>
      <c r="G30" s="23">
        <v>25.0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48</v>
      </c>
      <c r="D31" s="6">
        <v>57.0</v>
      </c>
      <c r="E31" s="8">
        <v>46275.49739917824</v>
      </c>
      <c r="F31" s="2"/>
      <c r="G31" s="23">
        <v>290.0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34</v>
      </c>
      <c r="D32" s="6">
        <v>49.0</v>
      </c>
      <c r="E32" s="8">
        <v>46275.497797268516</v>
      </c>
      <c r="F32" s="2"/>
      <c r="G32" s="23">
        <v>18.0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19">
        <v>69.0</v>
      </c>
      <c r="E33" s="8">
        <v>46275.49792085648</v>
      </c>
      <c r="F33" s="2"/>
      <c r="G33" s="23">
        <v>15.0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50</v>
      </c>
      <c r="D34" s="6">
        <v>198.0</v>
      </c>
      <c r="E34" s="8">
        <v>46275.49808068287</v>
      </c>
      <c r="F34" s="2"/>
      <c r="G34" s="23">
        <v>90.0</v>
      </c>
      <c r="H34" s="24"/>
      <c r="I34" s="2"/>
      <c r="J34" s="32" t="s">
        <v>51</v>
      </c>
      <c r="K34" s="32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80.0</v>
      </c>
      <c r="E35" s="8">
        <v>46275.49812697917</v>
      </c>
      <c r="F35" s="2"/>
      <c r="G35" s="23">
        <v>104.0</v>
      </c>
      <c r="H35" s="24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25.0</v>
      </c>
      <c r="E36" s="8">
        <v>46275.49819373843</v>
      </c>
      <c r="F36" s="2"/>
      <c r="G36" s="23">
        <v>42.0</v>
      </c>
      <c r="H36" s="24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63.0</v>
      </c>
      <c r="E37" s="8">
        <v>46275.49829856481</v>
      </c>
      <c r="F37" s="2"/>
      <c r="G37" s="24"/>
      <c r="H37" s="24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56</v>
      </c>
      <c r="D38" s="6">
        <v>40.0</v>
      </c>
      <c r="E38" s="8">
        <v>46275.49839982639</v>
      </c>
      <c r="F38" s="2"/>
      <c r="G38" s="24"/>
      <c r="H38" s="24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15.0</v>
      </c>
      <c r="E39" s="8">
        <v>46275.504100983795</v>
      </c>
      <c r="F39" s="2"/>
      <c r="G39" s="24"/>
      <c r="H39" s="24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17.0</v>
      </c>
      <c r="E40" s="8">
        <v>46275.50752969907</v>
      </c>
      <c r="F40" s="2"/>
      <c r="G40" s="24"/>
      <c r="H40" s="24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19">
        <v>22.5</v>
      </c>
      <c r="E41" s="8">
        <v>46275.507643206016</v>
      </c>
      <c r="F41" s="2"/>
      <c r="G41" s="24"/>
      <c r="H41" s="24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20.0</v>
      </c>
      <c r="E42" s="8">
        <v>46275.50768971065</v>
      </c>
      <c r="F42" s="2"/>
      <c r="G42" s="24"/>
      <c r="H42" s="24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3.0</v>
      </c>
      <c r="C43" s="7" t="s">
        <v>61</v>
      </c>
      <c r="D43" s="6">
        <v>24.0</v>
      </c>
      <c r="E43" s="8">
        <v>46275.50776769676</v>
      </c>
      <c r="F43" s="2"/>
      <c r="G43" s="24"/>
      <c r="H43" s="24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 t="s">
        <v>62</v>
      </c>
      <c r="C44" s="7" t="s">
        <v>63</v>
      </c>
      <c r="D44" s="6">
        <v>7.0</v>
      </c>
      <c r="E44" s="8">
        <v>46275.541645694444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190.0</v>
      </c>
      <c r="E45" s="8">
        <v>46275.54524021991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65</v>
      </c>
      <c r="C46" s="7" t="s">
        <v>66</v>
      </c>
      <c r="D46" s="19">
        <v>380.0</v>
      </c>
      <c r="E46" s="8">
        <v>46275.55649502315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67</v>
      </c>
      <c r="D47" s="6">
        <v>174.0</v>
      </c>
      <c r="E47" s="8">
        <v>46275.556627025464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5.0</v>
      </c>
      <c r="C48" s="7" t="s">
        <v>68</v>
      </c>
      <c r="D48" s="6">
        <v>30.0</v>
      </c>
      <c r="E48" s="8">
        <v>46275.55672190972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69</v>
      </c>
      <c r="D49" s="6">
        <v>12.0</v>
      </c>
      <c r="E49" s="8">
        <v>46275.5567715162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70</v>
      </c>
      <c r="D50" s="6">
        <v>14.0</v>
      </c>
      <c r="E50" s="8">
        <v>46275.556948564816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71</v>
      </c>
      <c r="D51" s="6">
        <v>3.0</v>
      </c>
      <c r="E51" s="8">
        <v>46275.557916238424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72</v>
      </c>
      <c r="D52" s="6">
        <v>20.0</v>
      </c>
      <c r="E52" s="8">
        <v>46275.55800358797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73</v>
      </c>
      <c r="D53" s="6">
        <v>90.0</v>
      </c>
      <c r="E53" s="8">
        <v>46275.56364997685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74</v>
      </c>
      <c r="D54" s="6">
        <v>60.0</v>
      </c>
      <c r="E54" s="8">
        <v>46275.566009629634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10.0</v>
      </c>
      <c r="E55" s="8">
        <v>46275.57819457176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76</v>
      </c>
      <c r="D56" s="6">
        <v>18.0</v>
      </c>
      <c r="E56" s="8">
        <v>46275.578840393515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77</v>
      </c>
      <c r="D57" s="6">
        <v>29.0</v>
      </c>
      <c r="E57" s="8">
        <v>46275.57896413194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78</v>
      </c>
      <c r="D58" s="6">
        <v>17.0</v>
      </c>
      <c r="E58" s="8">
        <v>46275.57908403935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79</v>
      </c>
      <c r="D59" s="6">
        <v>20.0</v>
      </c>
      <c r="E59" s="8">
        <v>46275.57915121528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80</v>
      </c>
      <c r="D60" s="6">
        <v>22.0</v>
      </c>
      <c r="E60" s="8">
        <v>46275.58536167824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81</v>
      </c>
      <c r="D61" s="6">
        <v>3.0</v>
      </c>
      <c r="E61" s="8">
        <v>46275.58547144676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82</v>
      </c>
      <c r="D62" s="6">
        <v>21.0</v>
      </c>
      <c r="E62" s="8">
        <v>46275.58988895833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24.0</v>
      </c>
      <c r="C63" s="7" t="s">
        <v>83</v>
      </c>
      <c r="D63" s="6">
        <v>3.0</v>
      </c>
      <c r="E63" s="8">
        <v>46275.590115196756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24.0</v>
      </c>
      <c r="C64" s="7" t="s">
        <v>84</v>
      </c>
      <c r="D64" s="6">
        <v>8.0</v>
      </c>
      <c r="E64" s="8">
        <v>46275.590027060185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9.0</v>
      </c>
      <c r="E65" s="8">
        <v>46275.59027393519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86</v>
      </c>
      <c r="D66" s="6">
        <v>219.0</v>
      </c>
      <c r="E66" s="8">
        <v>46275.59037619213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87</v>
      </c>
      <c r="D67" s="6">
        <v>4.0</v>
      </c>
      <c r="E67" s="8">
        <v>46275.59048475695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88</v>
      </c>
      <c r="D68" s="6">
        <v>5.0</v>
      </c>
      <c r="E68" s="8">
        <v>46275.5905619213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89</v>
      </c>
      <c r="D69" s="6">
        <v>22.0</v>
      </c>
      <c r="E69" s="8">
        <v>46275.59069747685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81</v>
      </c>
      <c r="D70" s="6">
        <v>3.0</v>
      </c>
      <c r="E70" s="8">
        <v>46275.59078518518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90</v>
      </c>
      <c r="D71" s="6">
        <v>23.0</v>
      </c>
      <c r="E71" s="8">
        <v>46275.591342141204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91</v>
      </c>
      <c r="D72" s="6">
        <v>44.0</v>
      </c>
      <c r="E72" s="8">
        <v>46275.60131719908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4.0</v>
      </c>
      <c r="C73" s="7" t="s">
        <v>92</v>
      </c>
      <c r="D73" s="6">
        <v>18.0</v>
      </c>
      <c r="E73" s="8">
        <v>46275.606018437495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93</v>
      </c>
      <c r="D74" s="6">
        <v>60.0</v>
      </c>
      <c r="E74" s="8">
        <v>46275.63278020833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3.0</v>
      </c>
      <c r="C75" s="7" t="s">
        <v>94</v>
      </c>
      <c r="D75" s="6">
        <v>6.0</v>
      </c>
      <c r="E75" s="8">
        <v>46275.63775030093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 t="s">
        <v>95</v>
      </c>
      <c r="C76" s="7" t="s">
        <v>96</v>
      </c>
      <c r="D76" s="6">
        <v>160.0</v>
      </c>
      <c r="E76" s="8">
        <v>46275.65044709491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97</v>
      </c>
      <c r="D77" s="6">
        <v>15.0</v>
      </c>
      <c r="E77" s="8">
        <v>46275.69738262732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98</v>
      </c>
      <c r="D78" s="6">
        <v>2.5</v>
      </c>
      <c r="E78" s="8">
        <v>46275.69942755787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99</v>
      </c>
      <c r="D79" s="6">
        <v>20.0</v>
      </c>
      <c r="E79" s="8">
        <v>46275.6995203588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100</v>
      </c>
      <c r="D80" s="6">
        <v>20.0</v>
      </c>
      <c r="E80" s="8">
        <v>46275.70992879629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101</v>
      </c>
      <c r="D81" s="6">
        <v>12.0</v>
      </c>
      <c r="E81" s="8">
        <v>46275.7115671412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102</v>
      </c>
      <c r="D82" s="6">
        <v>116.0</v>
      </c>
      <c r="E82" s="8">
        <v>46275.714100983794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103</v>
      </c>
      <c r="D83" s="6">
        <v>100.0</v>
      </c>
      <c r="E83" s="8">
        <v>46275.71417407408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104</v>
      </c>
      <c r="D84" s="6">
        <v>8.0</v>
      </c>
      <c r="E84" s="8">
        <v>46275.71422197917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105</v>
      </c>
      <c r="D85" s="19">
        <v>16.0</v>
      </c>
      <c r="E85" s="8">
        <v>46275.714486701385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106</v>
      </c>
      <c r="D86" s="6">
        <v>90.0</v>
      </c>
      <c r="E86" s="8">
        <v>46275.72185446759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2.0</v>
      </c>
      <c r="C87" s="7" t="s">
        <v>107</v>
      </c>
      <c r="D87" s="6">
        <v>104.0</v>
      </c>
      <c r="E87" s="8">
        <v>46275.72450737268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108</v>
      </c>
      <c r="D88" s="6">
        <v>14.0</v>
      </c>
      <c r="E88" s="8">
        <v>46275.731122893514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 t="s">
        <v>109</v>
      </c>
      <c r="C89" s="7" t="s">
        <v>24</v>
      </c>
      <c r="D89" s="6">
        <v>5.0</v>
      </c>
      <c r="E89" s="8">
        <v>46275.74252855324</v>
      </c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110</v>
      </c>
      <c r="D90" s="27">
        <v>42.0</v>
      </c>
      <c r="E90" s="8">
        <v>46275.74297949074</v>
      </c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 t="s">
        <v>111</v>
      </c>
      <c r="C91" s="7" t="s">
        <v>112</v>
      </c>
      <c r="D91" s="6">
        <v>64.0</v>
      </c>
      <c r="E91" s="8">
        <v>46275.77174386574</v>
      </c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5"/>
      <c r="D92" s="36"/>
      <c r="E92" s="37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