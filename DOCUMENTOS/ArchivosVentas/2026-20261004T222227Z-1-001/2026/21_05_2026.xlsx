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<sst xmlns="http://schemas.openxmlformats.org/spreadsheetml/2006/main" count="100" uniqueCount="96">
  <si>
    <t>HOJA DE CALCULO FERRETERIA</t>
  </si>
  <si>
    <t>CODIGO</t>
  </si>
  <si>
    <t>CANTIDAD</t>
  </si>
  <si>
    <t>DESCRIPCION</t>
  </si>
  <si>
    <t>TOTAL</t>
  </si>
  <si>
    <t>HORA</t>
  </si>
  <si>
    <t>CUADRAR</t>
  </si>
  <si>
    <t>tinte sinteplas</t>
  </si>
  <si>
    <t>sika 1</t>
  </si>
  <si>
    <t>MONEDAS</t>
  </si>
  <si>
    <t>CAJA CHICA</t>
  </si>
  <si>
    <t>niple fg 3/4</t>
  </si>
  <si>
    <t>BILLETES 10-20</t>
  </si>
  <si>
    <t>TOTAL VENTAS DIA</t>
  </si>
  <si>
    <t>2m</t>
  </si>
  <si>
    <t>bipolar 16</t>
  </si>
  <si>
    <t>BILLETES 50-100-200</t>
  </si>
  <si>
    <t>AUMENTO DE DINERO</t>
  </si>
  <si>
    <t>broca porcelanato 6</t>
  </si>
  <si>
    <t>INGRESOS YAPE</t>
  </si>
  <si>
    <t>cincel pano taladro tr</t>
  </si>
  <si>
    <t>INGRESOS TARJETA</t>
  </si>
  <si>
    <t>chupador</t>
  </si>
  <si>
    <t>GASTOS VARIOS</t>
  </si>
  <si>
    <t>teflon</t>
  </si>
  <si>
    <t>router total 600</t>
  </si>
  <si>
    <t>DINERO GANADO HOY:</t>
  </si>
  <si>
    <t>CANTIDAD DINERO CAJA:</t>
  </si>
  <si>
    <t>fresa</t>
  </si>
  <si>
    <t>prensa tipo c</t>
  </si>
  <si>
    <t>llave filtro</t>
  </si>
  <si>
    <t>jgo rregado</t>
  </si>
  <si>
    <t>juego de cuchillas</t>
  </si>
  <si>
    <t>disco semicopa 4.5</t>
  </si>
  <si>
    <t>YAPE MAMÁ</t>
  </si>
  <si>
    <t>YAPE PAPÁ</t>
  </si>
  <si>
    <t>YAPE</t>
  </si>
  <si>
    <t>broca concreto 6</t>
  </si>
  <si>
    <t>Monto Total YAPE (No tocar):</t>
  </si>
  <si>
    <t>broca concreto 4</t>
  </si>
  <si>
    <t>Monto Total Registrado en aplicacion</t>
  </si>
  <si>
    <t>fresa doble</t>
  </si>
  <si>
    <t>prensa esquinera</t>
  </si>
  <si>
    <t>disco flap</t>
  </si>
  <si>
    <t>BROCA 10 MADERA</t>
  </si>
  <si>
    <t>LIJA 150</t>
  </si>
  <si>
    <t>TIRAFONDO 1/4 X 2</t>
  </si>
  <si>
    <t xml:space="preserve">RAMPLU 8 </t>
  </si>
  <si>
    <t>PAGOS YAPE</t>
  </si>
  <si>
    <t>DESCRIPCION PAGO</t>
  </si>
  <si>
    <t>GROFO FV</t>
  </si>
  <si>
    <t>TERFLON</t>
  </si>
  <si>
    <t>REPUESO DE ESTILETE</t>
  </si>
  <si>
    <t>KL ALAMBRE DE AMMARE</t>
  </si>
  <si>
    <t>RODILLO ESPONJA</t>
  </si>
  <si>
    <t>CHICOTILLO</t>
  </si>
  <si>
    <t>SOQUET</t>
  </si>
  <si>
    <t>BROCA 16 FIERRO</t>
  </si>
  <si>
    <t>2M</t>
  </si>
  <si>
    <t>MALLA MILIMETRICA 1M</t>
  </si>
  <si>
    <t>BOLSA DE TACHUELAS</t>
  </si>
  <si>
    <t>JUEGO CIERRA CLADORA</t>
  </si>
  <si>
    <t>DEBOR FIERRO 4</t>
  </si>
  <si>
    <t>TALADRO ROOARLLO 1200W</t>
  </si>
  <si>
    <t>GRAMPAS 1/4</t>
  </si>
  <si>
    <t>1M</t>
  </si>
  <si>
    <t>ALUBAN 15CM</t>
  </si>
  <si>
    <t>DOBLE CONTACTO</t>
  </si>
  <si>
    <t>GRAMPAS 5/16</t>
  </si>
  <si>
    <t>CORTA VIDRIO</t>
  </si>
  <si>
    <t>AEROSOL NEGOR MATE</t>
  </si>
  <si>
    <t>GRAMPS UTUTS</t>
  </si>
  <si>
    <t>KL LAMBRE DE AMRRE</t>
  </si>
  <si>
    <t>CAJA DE GRAMPA</t>
  </si>
  <si>
    <t>FRESA</t>
  </si>
  <si>
    <t>CLAVADORA NEUMATICA</t>
  </si>
  <si>
    <t>M BIPOLAR 14</t>
  </si>
  <si>
    <t>CUBRE CABLE 20X10</t>
  </si>
  <si>
    <t>MANGUERA LABADORA 2M</t>
  </si>
  <si>
    <t>ESCUADRA PLANA</t>
  </si>
  <si>
    <t>INGLETEADORA TOTAL</t>
  </si>
  <si>
    <t>ANTICORROSIVANEGRO MATE</t>
  </si>
  <si>
    <t>MANDRIL TRUPER</t>
  </si>
  <si>
    <t xml:space="preserve">LINTERNA </t>
  </si>
  <si>
    <t>ESCAOCITA</t>
  </si>
  <si>
    <t xml:space="preserve">CLERA </t>
  </si>
  <si>
    <t>PRESOSATO</t>
  </si>
  <si>
    <t xml:space="preserve">CANDADKO </t>
  </si>
  <si>
    <t>CLEFA</t>
  </si>
  <si>
    <t>FOCO TRAKMONOA</t>
  </si>
  <si>
    <t>AIATPOERFORANTE</t>
  </si>
  <si>
    <t>FULTROS 3M</t>
  </si>
  <si>
    <t>MASCARA 3M</t>
  </si>
  <si>
    <t>LENES PRETUL</t>
  </si>
  <si>
    <t>CHIO 3,5*40</t>
  </si>
  <si>
    <t>CANDDOR HERMEX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</si>
</sst>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30.0</v>
      </c>
      <c r="E8" s="8">
        <v>46163.356876377315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25.0</v>
      </c>
      <c r="E9" s="8">
        <v>46163.35695917824</v>
      </c>
      <c r="F9" s="2"/>
      <c r="G9" s="9" t="s">
        <v>9</v>
      </c>
      <c r="H9" s="10">
        <v>116.0</v>
      </c>
      <c r="I9" s="2"/>
      <c r="J9" s="9" t="s">
        <v>10</v>
      </c>
      <c r="K9" s="10">
        <v>657.0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15.0</v>
      </c>
      <c r="E10" s="8">
        <v>46163.36926025463</v>
      </c>
      <c r="F10" s="2"/>
      <c r="G10" s="9" t="s">
        <v>12</v>
      </c>
      <c r="H10" s="10">
        <v>210.0</v>
      </c>
      <c r="I10" s="2"/>
      <c r="J10" s="9" t="s">
        <v>13</v>
      </c>
      <c r="K10" s="11">
        <f>SUM(PRINCIPAL[TOTAL])</f>
        <v>8319</v>
      </c>
      <c r="L10" s="2"/>
      <c r="M10" s="2"/>
      <c r="N10" s="2"/>
      <c r="O10" s="2"/>
      <c r="P10" s="2"/>
      <c r="Q10" s="2"/>
    </row>
    <row r="11" ht="22.5" customHeight="1">
      <c r="A11" s="6"/>
      <c r="B11" s="6" t="s">
        <v>14</v>
      </c>
      <c r="C11" s="7" t="s">
        <v>15</v>
      </c>
      <c r="D11" s="6">
        <v>22.0</v>
      </c>
      <c r="E11" s="8">
        <v>46163.37113371528</v>
      </c>
      <c r="F11" s="2"/>
      <c r="G11" s="9" t="s">
        <v>16</v>
      </c>
      <c r="H11" s="10">
        <v>5050.0</v>
      </c>
      <c r="I11" s="2"/>
      <c r="J11" s="9" t="s">
        <v>17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18</v>
      </c>
      <c r="D12" s="6">
        <v>37.0</v>
      </c>
      <c r="E12" s="8">
        <v>46163.37764746528</v>
      </c>
      <c r="F12" s="2"/>
      <c r="G12" s="9" t="s">
        <v>19</v>
      </c>
      <c r="H12" s="12">
        <f>SUM(G24:H361)</f>
        <v>3736.5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20</v>
      </c>
      <c r="D13" s="6">
        <v>35.0</v>
      </c>
      <c r="E13" s="8">
        <v>46163.38176862268</v>
      </c>
      <c r="F13" s="2"/>
      <c r="G13" s="9" t="s">
        <v>21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22</v>
      </c>
      <c r="D14" s="6">
        <v>72.0</v>
      </c>
      <c r="E14" s="8">
        <v>46163.4029825926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24</v>
      </c>
      <c r="D15" s="6">
        <v>2.5</v>
      </c>
      <c r="E15" s="8">
        <v>46163.40310517361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25</v>
      </c>
      <c r="D16" s="6">
        <v>552.0</v>
      </c>
      <c r="E16" s="8">
        <v>46163.41963921297</v>
      </c>
      <c r="F16" s="2"/>
      <c r="G16" s="15" t="s">
        <v>26</v>
      </c>
      <c r="H16" s="16">
        <f>SUM(H9:H14)</f>
        <v>9112.5</v>
      </c>
      <c r="I16" s="3"/>
      <c r="J16" s="15" t="s">
        <v>27</v>
      </c>
      <c r="K16" s="16">
        <f>SUM(K9:K11)</f>
        <v>9076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28</v>
      </c>
      <c r="D17" s="6">
        <v>48.0</v>
      </c>
      <c r="E17" s="8">
        <v>46163.419694571756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29</v>
      </c>
      <c r="D18" s="6">
        <v>92.0</v>
      </c>
      <c r="E18" s="8">
        <v>46163.42820811343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36,50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30</v>
      </c>
      <c r="D19" s="6">
        <v>66.0</v>
      </c>
      <c r="E19" s="8">
        <v>46163.45050572917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31</v>
      </c>
      <c r="D20" s="6">
        <v>12.0</v>
      </c>
      <c r="E20" s="8">
        <v>46163.45074350694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3.0</v>
      </c>
      <c r="C21" s="7" t="s">
        <v>32</v>
      </c>
      <c r="D21" s="6">
        <v>33.0</v>
      </c>
      <c r="E21" s="8">
        <v>46163.45128112269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33</v>
      </c>
      <c r="D22" s="6">
        <v>25.0</v>
      </c>
      <c r="E22" s="8">
        <v>46163.4519975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25</v>
      </c>
      <c r="D23" s="6">
        <v>520.0</v>
      </c>
      <c r="E23" s="8">
        <v>46163.48045582176</v>
      </c>
      <c r="F23" s="2"/>
      <c r="G23" s="19" t="s">
        <v>34</v>
      </c>
      <c r="H23" s="19" t="s">
        <v>35</v>
      </c>
      <c r="I23" s="2"/>
      <c r="J23" s="20" t="s">
        <v>36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2.0</v>
      </c>
      <c r="C24" s="7" t="s">
        <v>37</v>
      </c>
      <c r="D24" s="6">
        <v>30.0</v>
      </c>
      <c r="E24" s="8">
        <v>46163.48053784722</v>
      </c>
      <c r="F24" s="2"/>
      <c r="G24" s="22">
        <v>40.0</v>
      </c>
      <c r="H24" s="23"/>
      <c r="I24" s="2"/>
      <c r="J24" s="24" t="s">
        <v>38</v>
      </c>
      <c r="K24" s="25">
        <f>SUM(INGRESOS_YAPE[])</f>
        <v>3736.5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2.0</v>
      </c>
      <c r="C25" s="7" t="s">
        <v>39</v>
      </c>
      <c r="D25" s="6">
        <v>24.0</v>
      </c>
      <c r="E25" s="8">
        <v>46163.48139354167</v>
      </c>
      <c r="F25" s="2"/>
      <c r="G25" s="22">
        <v>600.0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28</v>
      </c>
      <c r="D26" s="6">
        <v>43.0</v>
      </c>
      <c r="E26" s="8">
        <v>46163.487528576385</v>
      </c>
      <c r="F26" s="2"/>
      <c r="G26" s="26">
        <v>92.0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28</v>
      </c>
      <c r="D27" s="6">
        <v>55.0</v>
      </c>
      <c r="E27" s="8">
        <v>46163.487571516205</v>
      </c>
      <c r="F27" s="2"/>
      <c r="G27" s="22">
        <v>574.0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180.0</v>
      </c>
      <c r="E28" s="8">
        <v>46163.48768334491</v>
      </c>
      <c r="F28" s="2"/>
      <c r="G28" s="22">
        <v>278.0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76.0</v>
      </c>
      <c r="E29" s="8">
        <v>46163.48780321759</v>
      </c>
      <c r="F29" s="2"/>
      <c r="G29" s="22">
        <v>127.5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3736,50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5.0</v>
      </c>
      <c r="C30" s="7" t="s">
        <v>43</v>
      </c>
      <c r="D30" s="6">
        <v>60.0</v>
      </c>
      <c r="E30" s="8">
        <v>46163.48802875</v>
      </c>
      <c r="F30" s="2"/>
      <c r="G30" s="22">
        <v>15.0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13.0</v>
      </c>
      <c r="E31" s="8">
        <v>46163.49888315972</v>
      </c>
      <c r="F31" s="2"/>
      <c r="G31" s="22">
        <v>251.0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45</v>
      </c>
      <c r="D32" s="6">
        <v>5.0</v>
      </c>
      <c r="E32" s="8">
        <v>46163.49985927083</v>
      </c>
      <c r="F32" s="2"/>
      <c r="G32" s="22">
        <v>42.0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60.0</v>
      </c>
      <c r="C33" s="7" t="s">
        <v>46</v>
      </c>
      <c r="D33" s="6">
        <v>35.0</v>
      </c>
      <c r="E33" s="8">
        <v>46163.519086562505</v>
      </c>
      <c r="F33" s="2"/>
      <c r="G33" s="22">
        <v>49.0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60.0</v>
      </c>
      <c r="C34" s="7" t="s">
        <v>47</v>
      </c>
      <c r="D34" s="6">
        <v>10.0</v>
      </c>
      <c r="E34" s="8">
        <v>46163.51916949074</v>
      </c>
      <c r="F34" s="2"/>
      <c r="G34" s="22">
        <v>134.0</v>
      </c>
      <c r="H34" s="23"/>
      <c r="I34" s="2"/>
      <c r="J34" s="30" t="s">
        <v>48</v>
      </c>
      <c r="K34" s="30" t="s">
        <v>49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50</v>
      </c>
      <c r="D35" s="6">
        <v>125.0</v>
      </c>
      <c r="E35" s="8">
        <v>46163.520112384256</v>
      </c>
      <c r="F35" s="2"/>
      <c r="G35" s="22">
        <v>85.0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51</v>
      </c>
      <c r="D36" s="6">
        <v>2.5</v>
      </c>
      <c r="E36" s="8">
        <v>46163.52019466435</v>
      </c>
      <c r="F36" s="2"/>
      <c r="G36" s="22">
        <v>12.0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16.0</v>
      </c>
      <c r="E37" s="8">
        <v>46163.52162421297</v>
      </c>
      <c r="F37" s="2"/>
      <c r="G37" s="22">
        <v>65.0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53</v>
      </c>
      <c r="D38" s="6">
        <v>19.0</v>
      </c>
      <c r="E38" s="8">
        <v>46163.52433722222</v>
      </c>
      <c r="F38" s="2"/>
      <c r="G38" s="22">
        <v>37.0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54</v>
      </c>
      <c r="D39" s="6">
        <v>14.0</v>
      </c>
      <c r="E39" s="8">
        <v>46163.52457689815</v>
      </c>
      <c r="F39" s="2"/>
      <c r="G39" s="22">
        <v>72.0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55</v>
      </c>
      <c r="D40" s="6">
        <v>15.0</v>
      </c>
      <c r="E40" s="8">
        <v>46163.52898940972</v>
      </c>
      <c r="F40" s="2"/>
      <c r="G40" s="22">
        <v>240.0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56</v>
      </c>
      <c r="D41" s="6">
        <v>5.0</v>
      </c>
      <c r="E41" s="8">
        <v>46163.53305951389</v>
      </c>
      <c r="F41" s="2"/>
      <c r="G41" s="22">
        <v>27.0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57</v>
      </c>
      <c r="D42" s="6">
        <v>251.0</v>
      </c>
      <c r="E42" s="8">
        <v>46163.543177581014</v>
      </c>
      <c r="F42" s="2"/>
      <c r="G42" s="22">
        <v>996.0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 t="s">
        <v>58</v>
      </c>
      <c r="C43" s="7" t="s">
        <v>59</v>
      </c>
      <c r="D43" s="6">
        <v>36.0</v>
      </c>
      <c r="E43" s="8">
        <v>46163.596027858795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3.0</v>
      </c>
      <c r="E44" s="8">
        <v>46163.60019063657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26.0</v>
      </c>
      <c r="E45" s="8">
        <v>46163.61228664352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14.0</v>
      </c>
      <c r="E46" s="8">
        <v>46163.61233809028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1590.0</v>
      </c>
      <c r="E47" s="8">
        <v>46163.626337696754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6.0</v>
      </c>
      <c r="C48" s="7" t="s">
        <v>64</v>
      </c>
      <c r="D48" s="6">
        <v>42.0</v>
      </c>
      <c r="E48" s="8">
        <v>46163.628685601856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56</v>
      </c>
      <c r="D49" s="6">
        <v>5.0</v>
      </c>
      <c r="E49" s="8">
        <v>46163.631124548614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65</v>
      </c>
      <c r="C50" s="7" t="s">
        <v>66</v>
      </c>
      <c r="D50" s="6">
        <v>20.0</v>
      </c>
      <c r="E50" s="8">
        <v>46163.63249063658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67</v>
      </c>
      <c r="D51" s="6">
        <v>49.0</v>
      </c>
      <c r="E51" s="8">
        <v>46163.63256646991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5.0</v>
      </c>
      <c r="C52" s="7" t="s">
        <v>68</v>
      </c>
      <c r="D52" s="6">
        <v>50.0</v>
      </c>
      <c r="E52" s="8">
        <v>46163.634848553236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69</v>
      </c>
      <c r="D53" s="6">
        <v>24.0</v>
      </c>
      <c r="E53" s="8">
        <v>46163.642907013884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6.0</v>
      </c>
      <c r="C54" s="7" t="s">
        <v>70</v>
      </c>
      <c r="D54" s="6">
        <v>120.0</v>
      </c>
      <c r="E54" s="8">
        <v>46163.64812622685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71</v>
      </c>
      <c r="D55" s="6">
        <v>14.0</v>
      </c>
      <c r="E55" s="8">
        <v>46163.64833913195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2.0</v>
      </c>
      <c r="C56" s="7" t="s">
        <v>72</v>
      </c>
      <c r="D56" s="6">
        <v>38.0</v>
      </c>
      <c r="E56" s="8">
        <v>46163.65910733797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73</v>
      </c>
      <c r="D57" s="6">
        <v>8.5</v>
      </c>
      <c r="E57" s="8">
        <v>46163.65915247685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74</v>
      </c>
      <c r="D58" s="6">
        <v>44.0</v>
      </c>
      <c r="E58" s="8">
        <v>46163.66472501158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1.0</v>
      </c>
      <c r="C59" s="7" t="s">
        <v>75</v>
      </c>
      <c r="D59" s="6">
        <v>670.0</v>
      </c>
      <c r="E59" s="8">
        <v>46163.66776482639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9.0</v>
      </c>
      <c r="C60" s="7" t="s">
        <v>76</v>
      </c>
      <c r="D60" s="6">
        <v>153.0</v>
      </c>
      <c r="E60" s="8">
        <v>46163.677083194445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8.0</v>
      </c>
      <c r="E61" s="8">
        <v>46163.67719021991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85.0</v>
      </c>
      <c r="E62" s="8">
        <v>46163.677317407404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8.0</v>
      </c>
      <c r="C63" s="7" t="s">
        <v>79</v>
      </c>
      <c r="D63" s="6">
        <v>12.0</v>
      </c>
      <c r="E63" s="8">
        <v>46163.68507918982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1047.0</v>
      </c>
      <c r="E64" s="8">
        <v>46163.685262858795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25.0</v>
      </c>
      <c r="E65" s="8">
        <v>46163.69820006944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82</v>
      </c>
      <c r="D66" s="6">
        <v>65.0</v>
      </c>
      <c r="E66" s="8">
        <v>46163.707310451384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83</v>
      </c>
      <c r="D67" s="6">
        <v>85.0</v>
      </c>
      <c r="E67" s="8">
        <v>46163.71209497685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84</v>
      </c>
      <c r="D68" s="6">
        <v>22.0</v>
      </c>
      <c r="E68" s="8">
        <v>46163.73285407407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15.0</v>
      </c>
      <c r="E69" s="8">
        <v>46163.73291497685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72.0</v>
      </c>
      <c r="E70" s="8">
        <v>46163.73295605324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87</v>
      </c>
      <c r="D71" s="6">
        <v>240.0</v>
      </c>
      <c r="E71" s="8">
        <v>46163.75846056713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88</v>
      </c>
      <c r="D72" s="6">
        <v>15.0</v>
      </c>
      <c r="E72" s="8">
        <v>46163.75849251157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89</v>
      </c>
      <c r="D73" s="6">
        <v>94.0</v>
      </c>
      <c r="E73" s="8">
        <v>46163.759144675925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60.0</v>
      </c>
      <c r="C74" s="7" t="s">
        <v>90</v>
      </c>
      <c r="D74" s="6">
        <v>30.0</v>
      </c>
      <c r="E74" s="8">
        <v>46163.759226458336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91</v>
      </c>
      <c r="D75" s="6">
        <v>160.0</v>
      </c>
      <c r="E75" s="8">
        <v>46163.77887692129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4.0</v>
      </c>
      <c r="C76" s="7" t="s">
        <v>92</v>
      </c>
      <c r="D76" s="6">
        <v>500.0</v>
      </c>
      <c r="E76" s="8">
        <v>46163.778932430556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24.0</v>
      </c>
      <c r="C77" s="7" t="s">
        <v>93</v>
      </c>
      <c r="D77" s="6">
        <v>336.0</v>
      </c>
      <c r="E77" s="8">
        <v>46163.77899517361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50.0</v>
      </c>
      <c r="C78" s="7" t="s">
        <v>94</v>
      </c>
      <c r="D78" s="6">
        <v>9.5</v>
      </c>
      <c r="E78" s="8">
        <v>46163.78275707176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27.0</v>
      </c>
      <c r="E79" s="8">
        <v>46163.7856150463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3"/>
      <c r="D80" s="34"/>
      <c r="E80" s="35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3"/>
      <c r="D81" s="34"/>
      <c r="E81" s="35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3"/>
      <c r="D82" s="34"/>
      <c r="E82" s="35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3"/>
      <c r="D83" s="34"/>
      <c r="E83" s="35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3"/>
      <c r="D84" s="34"/>
      <c r="E84" s="35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3"/>
      <c r="D85" s="34"/>
      <c r="E85" s="35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3"/>
      <c r="D86" s="34"/>
      <c r="E86" s="35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3"/>
      <c r="D87" s="34"/>
      <c r="E87" s="35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3"/>
      <c r="D88" s="34"/>
      <c r="E88" s="35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3"/>
      <c r="D89" s="34"/>
      <c r="E89" s="35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3"/>
      <c r="D90" s="34"/>
      <c r="E90" s="35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3"/>
      <c r="D91" s="34"/>
      <c r="E91" s="35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