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<sst xmlns="http://schemas.openxmlformats.org/spreadsheetml/2006/main" count="110" uniqueCount="108">
  <si>
    <t>HOJA DE CALCULO FERRETERIA</t>
  </si>
  <si>
    <t>CODIGO</t>
  </si>
  <si>
    <t>CANTIDAD</t>
  </si>
  <si>
    <t>DESCRIPCION</t>
  </si>
  <si>
    <t>TOTAL</t>
  </si>
  <si>
    <t>HORA</t>
  </si>
  <si>
    <t>CUADRAR</t>
  </si>
  <si>
    <t>cuello de cera</t>
  </si>
  <si>
    <t>aersol azul</t>
  </si>
  <si>
    <t>MONEDAS</t>
  </si>
  <si>
    <t>CAJA CHICA</t>
  </si>
  <si>
    <t>lente tr</t>
  </si>
  <si>
    <t>BILLETES 10-20</t>
  </si>
  <si>
    <t>TOTAL VENTAS DIA</t>
  </si>
  <si>
    <t>brochon grande</t>
  </si>
  <si>
    <t>BILLETES 50-100-200</t>
  </si>
  <si>
    <t>AUMENTO DE DINERO</t>
  </si>
  <si>
    <t>silicona america</t>
  </si>
  <si>
    <t>INGRESOS YAPE</t>
  </si>
  <si>
    <t>silicona sika negra</t>
  </si>
  <si>
    <t>INGRESOS TARJETA</t>
  </si>
  <si>
    <t>cincel plano turpe</t>
  </si>
  <si>
    <t>GASTOS VARIOS</t>
  </si>
  <si>
    <t xml:space="preserve">disco conteto yus </t>
  </si>
  <si>
    <t>sopapa coflex</t>
  </si>
  <si>
    <t>DINERO GANADO HOY:</t>
  </si>
  <si>
    <t>CANTIDAD DINERO CAJA:</t>
  </si>
  <si>
    <t>pilas duracel d</t>
  </si>
  <si>
    <t>linterna tr</t>
  </si>
  <si>
    <t>6m</t>
  </si>
  <si>
    <t>manguera nivel</t>
  </si>
  <si>
    <t>30m</t>
  </si>
  <si>
    <t>mangiera 1/2 forte</t>
  </si>
  <si>
    <t>termicco 20x2</t>
  </si>
  <si>
    <t>cinta silante</t>
  </si>
  <si>
    <t>pilas aa</t>
  </si>
  <si>
    <t>YAPE MAMÁ</t>
  </si>
  <si>
    <t>YAPE PAPÁ</t>
  </si>
  <si>
    <t>YAPE</t>
  </si>
  <si>
    <t>presostato</t>
  </si>
  <si>
    <t>Monto Total YAPE (No tocar):</t>
  </si>
  <si>
    <t>alambre 12</t>
  </si>
  <si>
    <t>caja sobrepoder</t>
  </si>
  <si>
    <t>Monto Total Registrado en aplicacion</t>
  </si>
  <si>
    <t>disco conreto 7</t>
  </si>
  <si>
    <t>tapon fg</t>
  </si>
  <si>
    <t>cautin</t>
  </si>
  <si>
    <t>pomada soldar</t>
  </si>
  <si>
    <t xml:space="preserve">1m </t>
  </si>
  <si>
    <t>estaño</t>
  </si>
  <si>
    <t>cubre cable 10x15</t>
  </si>
  <si>
    <t>cubre cable 10x10</t>
  </si>
  <si>
    <t>rgaton</t>
  </si>
  <si>
    <t>PAGOS YAPE</t>
  </si>
  <si>
    <t>DESCRIPCION PAGO</t>
  </si>
  <si>
    <t>punzond e acero</t>
  </si>
  <si>
    <t>1m</t>
  </si>
  <si>
    <t>flotatos 1</t>
  </si>
  <si>
    <t>pie de amigo jadever 30cm</t>
  </si>
  <si>
    <t>aceite d elinaza</t>
  </si>
  <si>
    <t>grifo fv mecladora</t>
  </si>
  <si>
    <t>gotita gel</t>
  </si>
  <si>
    <t>MULTIMETRO</t>
  </si>
  <si>
    <t>TERMICO 32</t>
  </si>
  <si>
    <t>2M</t>
  </si>
  <si>
    <t>ALAMBRE 10</t>
  </si>
  <si>
    <t>CHIP 4X40 + RAMPLU 6</t>
  </si>
  <si>
    <t>300KG</t>
  </si>
  <si>
    <t>ALAMBER AMARRE</t>
  </si>
  <si>
    <t>RAMPLU 10 + TIRAFONDO</t>
  </si>
  <si>
    <t>BROCA TR 10</t>
  </si>
  <si>
    <t>BROCA 5 COBALTO</t>
  </si>
  <si>
    <t>DEBOR FIERRO 5</t>
  </si>
  <si>
    <t xml:space="preserve">1/2KL </t>
  </si>
  <si>
    <t>CARBUTO</t>
  </si>
  <si>
    <t>GRIFO FV MESON</t>
  </si>
  <si>
    <t>BROCA FIERRO DEBOR 2,5</t>
  </si>
  <si>
    <t>ALARGADOR</t>
  </si>
  <si>
    <t>BROC CONCRETO TRUPER</t>
  </si>
  <si>
    <t xml:space="preserve">CHIP  </t>
  </si>
  <si>
    <t>ADAPTADOR TRUPER</t>
  </si>
  <si>
    <t>MASQUIN 1</t>
  </si>
  <si>
    <t>DISCO CORTE UYUSTOOL</t>
  </si>
  <si>
    <t>FLEXO 10 M</t>
  </si>
  <si>
    <t>CINCEL TOTLA</t>
  </si>
  <si>
    <t>COMBO TRMONTIAN 1,5</t>
  </si>
  <si>
    <t>SOPLADORA JADEVER</t>
  </si>
  <si>
    <t>CHALECO REFELECTIBO</t>
  </si>
  <si>
    <t>moduo toma tamot</t>
  </si>
  <si>
    <t>boca fierro irw</t>
  </si>
  <si>
    <t>REMACHADORA UYUSTO</t>
  </si>
  <si>
    <t>REM POP</t>
  </si>
  <si>
    <t>TOPE CON IMAN</t>
  </si>
  <si>
    <t>INFLADOR TRUPER</t>
  </si>
  <si>
    <t>DOCENA REM POP</t>
  </si>
  <si>
    <t>BROCA FIERRO IRWIN 5</t>
  </si>
  <si>
    <t>FLOTADOR ITAP 3/4</t>
  </si>
  <si>
    <t xml:space="preserve">RAMPLU 10  </t>
  </si>
  <si>
    <t>TIRAFO</t>
  </si>
  <si>
    <t>RODLANA</t>
  </si>
  <si>
    <t>PASTINA CREMA</t>
  </si>
  <si>
    <t>RAMPLU Y TOR</t>
  </si>
  <si>
    <t>ALUBAN</t>
  </si>
  <si>
    <t>3 MT</t>
  </si>
  <si>
    <t>MALLA HEXA</t>
  </si>
  <si>
    <t xml:space="preserve">M CADENA </t>
  </si>
  <si>
    <t xml:space="preserve">SIFON LAVAMANSO </t>
  </si>
  <si>
    <t>TUBOX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</si>
</sst>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20.0</v>
      </c>
      <c r="E8" s="8">
        <v>46175.36967840278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20.0</v>
      </c>
      <c r="E9" s="8">
        <v>46175.36975024306</v>
      </c>
      <c r="F9" s="2"/>
      <c r="G9" s="9" t="s">
        <v>9</v>
      </c>
      <c r="H9" s="10">
        <v>153.5</v>
      </c>
      <c r="I9" s="2"/>
      <c r="J9" s="9" t="s">
        <v>10</v>
      </c>
      <c r="K9" s="10">
        <v>644.0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25.0</v>
      </c>
      <c r="E10" s="8">
        <v>46175.369805925926</v>
      </c>
      <c r="F10" s="2"/>
      <c r="G10" s="9" t="s">
        <v>12</v>
      </c>
      <c r="H10" s="10">
        <v>410.0</v>
      </c>
      <c r="I10" s="2"/>
      <c r="J10" s="9" t="s">
        <v>13</v>
      </c>
      <c r="K10" s="11">
        <f>SUM(PRINCIPAL[TOTAL])</f>
        <v>3715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50.0</v>
      </c>
      <c r="E11" s="8">
        <v>46175.39234170139</v>
      </c>
      <c r="F11" s="2"/>
      <c r="G11" s="9" t="s">
        <v>15</v>
      </c>
      <c r="H11" s="10">
        <v>2100.0</v>
      </c>
      <c r="I11" s="2"/>
      <c r="J11" s="9" t="s">
        <v>16</v>
      </c>
      <c r="K11" s="10">
        <v>189.0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26.0</v>
      </c>
      <c r="E12" s="8">
        <v>46175.39498094907</v>
      </c>
      <c r="F12" s="2"/>
      <c r="G12" s="9" t="s">
        <v>18</v>
      </c>
      <c r="H12" s="12">
        <f>SUM(G24:H361)</f>
        <v>1996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5.0</v>
      </c>
      <c r="C13" s="7" t="s">
        <v>19</v>
      </c>
      <c r="D13" s="6">
        <v>195.0</v>
      </c>
      <c r="E13" s="8">
        <v>46175.395078437505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40.0</v>
      </c>
      <c r="E14" s="8">
        <v>46175.40676636574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23.0</v>
      </c>
      <c r="E15" s="8">
        <v>46175.407297858794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24</v>
      </c>
      <c r="D16" s="6">
        <v>390.0</v>
      </c>
      <c r="E16" s="8">
        <v>46175.41255671297</v>
      </c>
      <c r="F16" s="2"/>
      <c r="G16" s="15" t="s">
        <v>25</v>
      </c>
      <c r="H16" s="16">
        <f>SUM(H9:H14)</f>
        <v>4659.5</v>
      </c>
      <c r="I16" s="3"/>
      <c r="J16" s="15" t="s">
        <v>26</v>
      </c>
      <c r="K16" s="16">
        <f>SUM(K9:K11)</f>
        <v>4548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99.0</v>
      </c>
      <c r="E17" s="8">
        <v>46175.42899701389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10.0</v>
      </c>
      <c r="E18" s="8">
        <v>46175.42904685185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111,50</v>
      </c>
      <c r="L18" s="2"/>
      <c r="M18" s="2"/>
      <c r="N18" s="2"/>
      <c r="O18" s="2"/>
      <c r="P18" s="2"/>
      <c r="Q18" s="2"/>
    </row>
    <row r="19" ht="22.5" customHeight="1">
      <c r="A19" s="13"/>
      <c r="B19" s="6" t="s">
        <v>29</v>
      </c>
      <c r="C19" s="7" t="s">
        <v>30</v>
      </c>
      <c r="D19" s="6">
        <v>27.0</v>
      </c>
      <c r="E19" s="8">
        <v>46175.45665552083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 t="s">
        <v>31</v>
      </c>
      <c r="C20" s="7" t="s">
        <v>32</v>
      </c>
      <c r="D20" s="6">
        <v>210.0</v>
      </c>
      <c r="E20" s="8">
        <v>46175.45675049769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33</v>
      </c>
      <c r="D21" s="6">
        <v>55.0</v>
      </c>
      <c r="E21" s="8">
        <v>46175.4569137037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34</v>
      </c>
      <c r="D22" s="6">
        <v>9.0</v>
      </c>
      <c r="E22" s="8">
        <v>46175.45697465278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35</v>
      </c>
      <c r="D23" s="6">
        <v>10.0</v>
      </c>
      <c r="E23" s="8">
        <v>46175.466540671296</v>
      </c>
      <c r="F23" s="2"/>
      <c r="G23" s="19" t="s">
        <v>36</v>
      </c>
      <c r="H23" s="19" t="s">
        <v>37</v>
      </c>
      <c r="I23" s="2"/>
      <c r="J23" s="20" t="s">
        <v>38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39</v>
      </c>
      <c r="D24" s="6">
        <v>72.0</v>
      </c>
      <c r="E24" s="8">
        <v>46175.473883576386</v>
      </c>
      <c r="F24" s="2"/>
      <c r="G24" s="22">
        <v>65.0</v>
      </c>
      <c r="H24" s="23"/>
      <c r="I24" s="2"/>
      <c r="J24" s="24" t="s">
        <v>40</v>
      </c>
      <c r="K24" s="25">
        <f>SUM(INGRESOS_YAPE[])</f>
        <v>1996</v>
      </c>
      <c r="L24" s="2"/>
      <c r="M24" s="2"/>
      <c r="N24" s="2"/>
      <c r="O24" s="2"/>
      <c r="P24" s="2"/>
      <c r="Q24" s="2"/>
    </row>
    <row r="25" ht="22.5" customHeight="1">
      <c r="A25" s="13"/>
      <c r="B25" s="6" t="s">
        <v>29</v>
      </c>
      <c r="C25" s="7" t="s">
        <v>41</v>
      </c>
      <c r="D25" s="6">
        <v>63.0</v>
      </c>
      <c r="E25" s="8">
        <v>46175.47395811343</v>
      </c>
      <c r="F25" s="2"/>
      <c r="G25" s="22">
        <v>221.0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42</v>
      </c>
      <c r="D26" s="6">
        <v>12.0</v>
      </c>
      <c r="E26" s="8">
        <v>46175.47403763889</v>
      </c>
      <c r="F26" s="2"/>
      <c r="G26" s="26">
        <v>50.0</v>
      </c>
      <c r="H26" s="23"/>
      <c r="I26" s="2"/>
      <c r="J26" s="27" t="s">
        <v>43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44</v>
      </c>
      <c r="D27" s="6">
        <v>53.0</v>
      </c>
      <c r="E27" s="8">
        <v>46175.47844190973</v>
      </c>
      <c r="F27" s="2"/>
      <c r="G27" s="22">
        <v>40.0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45</v>
      </c>
      <c r="D28" s="6">
        <v>14.0</v>
      </c>
      <c r="E28" s="8">
        <v>46175.48452457176</v>
      </c>
      <c r="F28" s="2"/>
      <c r="G28" s="22">
        <v>219.0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46</v>
      </c>
      <c r="D29" s="6">
        <v>39.0</v>
      </c>
      <c r="E29" s="8">
        <v>46175.4846034838</v>
      </c>
      <c r="F29" s="2"/>
      <c r="G29" s="22">
        <v>274.0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1996,00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47</v>
      </c>
      <c r="D30" s="6">
        <v>16.0</v>
      </c>
      <c r="E30" s="8">
        <v>46175.48474619213</v>
      </c>
      <c r="F30" s="2"/>
      <c r="G30" s="22">
        <v>36.0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 t="s">
        <v>48</v>
      </c>
      <c r="C31" s="7" t="s">
        <v>49</v>
      </c>
      <c r="D31" s="6">
        <v>8.0</v>
      </c>
      <c r="E31" s="8">
        <v>46175.48486390046</v>
      </c>
      <c r="F31" s="2"/>
      <c r="G31" s="22">
        <v>185.0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50</v>
      </c>
      <c r="D32" s="6">
        <v>14.0</v>
      </c>
      <c r="E32" s="8">
        <v>46175.487105381944</v>
      </c>
      <c r="F32" s="2"/>
      <c r="G32" s="22">
        <v>176.0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51</v>
      </c>
      <c r="D33" s="6">
        <v>6.0</v>
      </c>
      <c r="E33" s="8">
        <v>46175.48742538194</v>
      </c>
      <c r="F33" s="2"/>
      <c r="G33" s="22">
        <v>165.0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9.0</v>
      </c>
      <c r="C34" s="7" t="s">
        <v>52</v>
      </c>
      <c r="D34" s="6">
        <v>18.0</v>
      </c>
      <c r="E34" s="8">
        <v>46175.495359699074</v>
      </c>
      <c r="F34" s="2"/>
      <c r="G34" s="22">
        <v>18.0</v>
      </c>
      <c r="H34" s="23"/>
      <c r="I34" s="2"/>
      <c r="J34" s="30" t="s">
        <v>53</v>
      </c>
      <c r="K34" s="30" t="s">
        <v>54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55</v>
      </c>
      <c r="D35" s="6">
        <v>12.0</v>
      </c>
      <c r="E35" s="8">
        <v>46175.49881931713</v>
      </c>
      <c r="F35" s="2"/>
      <c r="G35" s="22">
        <v>246.0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 t="s">
        <v>56</v>
      </c>
      <c r="C36" s="7" t="s">
        <v>49</v>
      </c>
      <c r="D36" s="6">
        <v>8.0</v>
      </c>
      <c r="E36" s="8">
        <v>46175.50065091436</v>
      </c>
      <c r="F36" s="2"/>
      <c r="G36" s="22">
        <v>10.0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57</v>
      </c>
      <c r="D37" s="6">
        <v>360.0</v>
      </c>
      <c r="E37" s="8">
        <v>46175.501433576384</v>
      </c>
      <c r="F37" s="2"/>
      <c r="G37" s="22">
        <v>14.0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58</v>
      </c>
      <c r="D38" s="6">
        <v>36.0</v>
      </c>
      <c r="E38" s="8">
        <v>46175.50293594907</v>
      </c>
      <c r="F38" s="2"/>
      <c r="G38" s="22">
        <v>85.0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59</v>
      </c>
      <c r="D39" s="6">
        <v>30.0</v>
      </c>
      <c r="E39" s="8">
        <v>46175.51225878472</v>
      </c>
      <c r="F39" s="2"/>
      <c r="G39" s="22">
        <v>117.0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60</v>
      </c>
      <c r="D40" s="6">
        <v>185.0</v>
      </c>
      <c r="E40" s="8">
        <v>46175.51492883102</v>
      </c>
      <c r="F40" s="2"/>
      <c r="G40" s="22">
        <v>75.0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61</v>
      </c>
      <c r="D41" s="6">
        <v>15.0</v>
      </c>
      <c r="E41" s="8">
        <v>46175.52864077546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62</v>
      </c>
      <c r="D42" s="6">
        <v>100.0</v>
      </c>
      <c r="E42" s="8">
        <v>46175.56341336806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63</v>
      </c>
      <c r="D43" s="6">
        <v>40.0</v>
      </c>
      <c r="E43" s="8">
        <v>46175.56351332176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 t="s">
        <v>64</v>
      </c>
      <c r="C44" s="7" t="s">
        <v>65</v>
      </c>
      <c r="D44" s="6">
        <v>32.0</v>
      </c>
      <c r="E44" s="8">
        <v>46175.56361467592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12.0</v>
      </c>
      <c r="C45" s="7" t="s">
        <v>66</v>
      </c>
      <c r="D45" s="6">
        <v>2.0</v>
      </c>
      <c r="E45" s="8">
        <v>46175.563924675924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 t="s">
        <v>67</v>
      </c>
      <c r="C46" s="7" t="s">
        <v>68</v>
      </c>
      <c r="D46" s="6">
        <v>6.0</v>
      </c>
      <c r="E46" s="8">
        <v>46175.57831953704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4.0</v>
      </c>
      <c r="C47" s="7" t="s">
        <v>69</v>
      </c>
      <c r="D47" s="6">
        <v>3.0</v>
      </c>
      <c r="E47" s="8">
        <v>46175.58191988426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70</v>
      </c>
      <c r="D48" s="6">
        <v>27.0</v>
      </c>
      <c r="E48" s="8">
        <v>46175.58200256944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71</v>
      </c>
      <c r="D49" s="6">
        <v>15.0</v>
      </c>
      <c r="E49" s="8">
        <v>46175.59233002315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72</v>
      </c>
      <c r="D50" s="6">
        <v>18.0</v>
      </c>
      <c r="E50" s="8">
        <v>46175.59251927084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 t="s">
        <v>73</v>
      </c>
      <c r="C51" s="7" t="s">
        <v>74</v>
      </c>
      <c r="D51" s="6">
        <v>12.5</v>
      </c>
      <c r="E51" s="8">
        <v>46175.59479043982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75</v>
      </c>
      <c r="D52" s="6">
        <v>87.0</v>
      </c>
      <c r="E52" s="8">
        <v>46175.59812142361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76</v>
      </c>
      <c r="D53" s="6">
        <v>10.0</v>
      </c>
      <c r="E53" s="8">
        <v>46175.625536527776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77</v>
      </c>
      <c r="D54" s="6">
        <v>69.0</v>
      </c>
      <c r="E54" s="8">
        <v>46175.62669956018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78</v>
      </c>
      <c r="D55" s="6">
        <v>28.0</v>
      </c>
      <c r="E55" s="8">
        <v>46175.64037528935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3.0</v>
      </c>
      <c r="C56" s="7" t="s">
        <v>79</v>
      </c>
      <c r="D56" s="6">
        <v>7.5</v>
      </c>
      <c r="E56" s="8">
        <v>46175.64049502315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80</v>
      </c>
      <c r="D57" s="6">
        <v>20.0</v>
      </c>
      <c r="E57" s="8">
        <v>46175.64056506944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5.0</v>
      </c>
      <c r="C58" s="7" t="s">
        <v>81</v>
      </c>
      <c r="D58" s="6">
        <v>82.5</v>
      </c>
      <c r="E58" s="8">
        <v>46175.64067003472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10.0</v>
      </c>
      <c r="C59" s="7" t="s">
        <v>82</v>
      </c>
      <c r="D59" s="6">
        <v>45.0</v>
      </c>
      <c r="E59" s="8">
        <v>46175.64117621528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83</v>
      </c>
      <c r="D60" s="6">
        <v>63.0</v>
      </c>
      <c r="E60" s="8">
        <v>46175.64091158565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84</v>
      </c>
      <c r="D61" s="6">
        <v>40.0</v>
      </c>
      <c r="E61" s="8">
        <v>46175.639342581024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85</v>
      </c>
      <c r="D62" s="6">
        <v>83.0</v>
      </c>
      <c r="E62" s="8">
        <v>46175.639456689816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86</v>
      </c>
      <c r="D63" s="6">
        <v>165.0</v>
      </c>
      <c r="E63" s="8">
        <v>46175.6413269676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87</v>
      </c>
      <c r="D64" s="6">
        <v>18.0</v>
      </c>
      <c r="E64" s="8">
        <v>46175.64426703704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88</v>
      </c>
      <c r="D65" s="6">
        <v>9.5</v>
      </c>
      <c r="E65" s="8">
        <v>46175.67415520833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89</v>
      </c>
      <c r="D66" s="6">
        <v>14.0</v>
      </c>
      <c r="E66" s="8">
        <v>46175.67429300926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90</v>
      </c>
      <c r="D67" s="6">
        <v>55.0</v>
      </c>
      <c r="E67" s="8">
        <v>46175.688569502316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12.0</v>
      </c>
      <c r="C68" s="7" t="s">
        <v>91</v>
      </c>
      <c r="D68" s="6">
        <v>5.0</v>
      </c>
      <c r="E68" s="8">
        <v>46175.688680266205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92</v>
      </c>
      <c r="D69" s="6">
        <v>10.0</v>
      </c>
      <c r="E69" s="8">
        <v>46175.69169460648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93</v>
      </c>
      <c r="D70" s="6">
        <v>85.0</v>
      </c>
      <c r="E70" s="8">
        <v>46175.711893252315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5.0</v>
      </c>
      <c r="C71" s="7" t="s">
        <v>94</v>
      </c>
      <c r="D71" s="6">
        <v>20.0</v>
      </c>
      <c r="E71" s="8">
        <v>46175.713362696755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95</v>
      </c>
      <c r="D72" s="6">
        <v>22.0</v>
      </c>
      <c r="E72" s="8">
        <v>46175.71343979167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96</v>
      </c>
      <c r="D73" s="6">
        <v>117.0</v>
      </c>
      <c r="E73" s="8">
        <v>46175.729914317126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9.0</v>
      </c>
      <c r="C74" s="7" t="s">
        <v>97</v>
      </c>
      <c r="D74" s="6">
        <v>3.0</v>
      </c>
      <c r="E74" s="8">
        <v>46175.734369768514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9.0</v>
      </c>
      <c r="C75" s="7" t="s">
        <v>98</v>
      </c>
      <c r="D75" s="6">
        <v>6.0</v>
      </c>
      <c r="E75" s="8">
        <v>46175.73458167824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99</v>
      </c>
      <c r="D76" s="6">
        <v>28.0</v>
      </c>
      <c r="E76" s="8">
        <v>46175.73522649305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100</v>
      </c>
      <c r="D77" s="6">
        <v>23.0</v>
      </c>
      <c r="E77" s="8">
        <v>46175.73528439815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6.0</v>
      </c>
      <c r="C78" s="7" t="s">
        <v>101</v>
      </c>
      <c r="D78" s="6">
        <v>3.0</v>
      </c>
      <c r="E78" s="8">
        <v>46175.74868234954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102</v>
      </c>
      <c r="D79" s="6">
        <v>10.0</v>
      </c>
      <c r="E79" s="8">
        <v>46175.754741770834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 t="s">
        <v>103</v>
      </c>
      <c r="C80" s="7" t="s">
        <v>104</v>
      </c>
      <c r="D80" s="6">
        <v>18.0</v>
      </c>
      <c r="E80" s="8">
        <v>46175.76813309028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105</v>
      </c>
      <c r="D81" s="6">
        <v>75.0</v>
      </c>
      <c r="E81" s="8">
        <v>46175.774420671296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106</v>
      </c>
      <c r="D82" s="6">
        <v>52.0</v>
      </c>
      <c r="E82" s="8">
        <v>46175.77652895833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107</v>
      </c>
      <c r="D83" s="6">
        <v>16.0</v>
      </c>
      <c r="E83" s="8">
        <v>46175.7766452662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3"/>
      <c r="D84" s="34"/>
      <c r="E84" s="35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3"/>
      <c r="D85" s="34"/>
      <c r="E85" s="35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3"/>
      <c r="D86" s="34"/>
      <c r="E86" s="35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3"/>
      <c r="D87" s="34"/>
      <c r="E87" s="35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3"/>
      <c r="D88" s="34"/>
      <c r="E88" s="35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3"/>
      <c r="D89" s="34"/>
      <c r="E89" s="35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3"/>
      <c r="D90" s="34"/>
      <c r="E90" s="35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3"/>
      <c r="D91" s="34"/>
      <c r="E91" s="35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