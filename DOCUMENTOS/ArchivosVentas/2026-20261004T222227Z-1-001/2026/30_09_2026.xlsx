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<sst xmlns="http://schemas.openxmlformats.org/spreadsheetml/2006/main" count="119" uniqueCount="116">
  <si>
    <t>HOJA DE CALCULO FERRETERIA</t>
  </si>
  <si>
    <t>CODIGO</t>
  </si>
  <si>
    <t>CANTIDAD</t>
  </si>
  <si>
    <t>DESCRIPCION</t>
  </si>
  <si>
    <t>TOTAL</t>
  </si>
  <si>
    <t>HORA</t>
  </si>
  <si>
    <t>CUADRAR</t>
  </si>
  <si>
    <t>pila redonda 2025</t>
  </si>
  <si>
    <t>disco galelta</t>
  </si>
  <si>
    <t>MONEDAS</t>
  </si>
  <si>
    <t>CAJA CHICA</t>
  </si>
  <si>
    <t>rollo malla hexagonal</t>
  </si>
  <si>
    <t>BILLETES 10-20</t>
  </si>
  <si>
    <t>TOTAL VENTAS DIA</t>
  </si>
  <si>
    <t>flexo 8m</t>
  </si>
  <si>
    <t>BILLETES 50-100-200</t>
  </si>
  <si>
    <t>AUMENTO DE DINERO</t>
  </si>
  <si>
    <t>5m</t>
  </si>
  <si>
    <t>perlon 10</t>
  </si>
  <si>
    <t>INGRESOS YAPE</t>
  </si>
  <si>
    <t>10m</t>
  </si>
  <si>
    <t>manguera 1/2 verde</t>
  </si>
  <si>
    <t>INGRESOS TARJETA</t>
  </si>
  <si>
    <t>aerosol amaerillo vivo</t>
  </si>
  <si>
    <t>GASTOS VARIOS</t>
  </si>
  <si>
    <t>cuello de cera</t>
  </si>
  <si>
    <t>llanta de burroto eduro</t>
  </si>
  <si>
    <t>DINERO GANADO HOY:</t>
  </si>
  <si>
    <t>CANTIDAD DINERO CAJA:</t>
  </si>
  <si>
    <t>desarmador</t>
  </si>
  <si>
    <t>tapa de carrete</t>
  </si>
  <si>
    <t>adaptador rapodo tramon</t>
  </si>
  <si>
    <t>pico tr</t>
  </si>
  <si>
    <t>modulo con tierra</t>
  </si>
  <si>
    <t>poxilina</t>
  </si>
  <si>
    <t>placa simple</t>
  </si>
  <si>
    <t>YAPE MAMÁ</t>
  </si>
  <si>
    <t>YAPE PAPÁ</t>
  </si>
  <si>
    <t>YAPE</t>
  </si>
  <si>
    <t>silicna sika</t>
  </si>
  <si>
    <t>Monto Total YAPE (No tocar):</t>
  </si>
  <si>
    <t>tefon</t>
  </si>
  <si>
    <t>mascara confiltro np306</t>
  </si>
  <si>
    <t>Monto Total Registrado en aplicacion</t>
  </si>
  <si>
    <t>lente tr</t>
  </si>
  <si>
    <t>chapa everelo</t>
  </si>
  <si>
    <t>carbon</t>
  </si>
  <si>
    <t>tapo auditivo</t>
  </si>
  <si>
    <t>yeso</t>
  </si>
  <si>
    <t>brocas 3,5</t>
  </si>
  <si>
    <t>manguera 3/8</t>
  </si>
  <si>
    <t>lija120</t>
  </si>
  <si>
    <t>PAGOS YAPE</t>
  </si>
  <si>
    <t>DESCRIPCION PAGO</t>
  </si>
  <si>
    <t>disco galelta 9</t>
  </si>
  <si>
    <t>disco normal norton 9</t>
  </si>
  <si>
    <t>lpico de loro yus</t>
  </si>
  <si>
    <t>hidropistola tr</t>
  </si>
  <si>
    <t>pico tr h</t>
  </si>
  <si>
    <t>pico 3/4</t>
  </si>
  <si>
    <t>juego de riego acoples</t>
  </si>
  <si>
    <t>tapon 3/4 tigre h</t>
  </si>
  <si>
    <t>tapon 3/4 tihre m</t>
  </si>
  <si>
    <t>pico  metal 1/2</t>
  </si>
  <si>
    <t>chip 4x70</t>
  </si>
  <si>
    <t>chip 3.5x16</t>
  </si>
  <si>
    <t>ramplu 6</t>
  </si>
  <si>
    <t>ramplu lh 6</t>
  </si>
  <si>
    <t>chupador 1</t>
  </si>
  <si>
    <t>martillo rtman</t>
  </si>
  <si>
    <t>nivle mano mini</t>
  </si>
  <si>
    <t>rodillo</t>
  </si>
  <si>
    <t>adaptador blaco 3</t>
  </si>
  <si>
    <t>adaptador ultra</t>
  </si>
  <si>
    <t>candado lio</t>
  </si>
  <si>
    <t xml:space="preserve">escuadra magnetica </t>
  </si>
  <si>
    <t>broca fierro 10</t>
  </si>
  <si>
    <t>serrucho jadever</t>
  </si>
  <si>
    <t>clavo 45mm</t>
  </si>
  <si>
    <t>cadco blanco</t>
  </si>
  <si>
    <t>desarmador trmaon</t>
  </si>
  <si>
    <t>silciona transparente</t>
  </si>
  <si>
    <t>BROCA ROUTER</t>
  </si>
  <si>
    <t xml:space="preserve">TEFLNON </t>
  </si>
  <si>
    <t>JUEGOD ECERPIS</t>
  </si>
  <si>
    <t>ARCO AZUL</t>
  </si>
  <si>
    <t xml:space="preserve">CANCDADDO </t>
  </si>
  <si>
    <t>REMACHADORA</t>
  </si>
  <si>
    <t>4DOC</t>
  </si>
  <si>
    <t>REMACHES 4.8X19</t>
  </si>
  <si>
    <t>NIVEL DE MANO JADEVER</t>
  </si>
  <si>
    <t>NVEL DE MANI TOLSEN</t>
  </si>
  <si>
    <t>BROCA FIERRO DEBOR</t>
  </si>
  <si>
    <t>CODO FG 3/4</t>
  </si>
  <si>
    <t>CODO 3/4 PVC</t>
  </si>
  <si>
    <t>ADAPTADORES 3/4</t>
  </si>
  <si>
    <t>COPLA PVC 3/4</t>
  </si>
  <si>
    <t>TEFLON</t>
  </si>
  <si>
    <t>SEMICODO PVC /34</t>
  </si>
  <si>
    <t>CAÑERIA 3/4</t>
  </si>
  <si>
    <t>PARABON 1/4</t>
  </si>
  <si>
    <t>IJA TR</t>
  </si>
  <si>
    <t>JUEGO DE PIEDRAS</t>
  </si>
  <si>
    <t>ADAPTADOR KONTAK</t>
  </si>
  <si>
    <t>ADAPTADOR BLANCO 3</t>
  </si>
  <si>
    <t>DISCO GALLETA</t>
  </si>
  <si>
    <t xml:space="preserve">CLAVIJA </t>
  </si>
  <si>
    <t xml:space="preserve">BANDOLA </t>
  </si>
  <si>
    <t>1 MT</t>
  </si>
  <si>
    <t xml:space="preserve">HILO </t>
  </si>
  <si>
    <t>ZAPATO DE TRABAJO</t>
  </si>
  <si>
    <t xml:space="preserve">ESLINDA </t>
  </si>
  <si>
    <t>LENTE TRUPER</t>
  </si>
  <si>
    <t>PIKLA D</t>
  </si>
  <si>
    <t>MARTILLO CHATO</t>
  </si>
  <si>
    <t>GRAMPA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</si>
</sst>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8" fontId="5" numFmtId="0" xfId="0" applyAlignment="1" applyBorder="1" applyFill="1" applyFon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9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10" fontId="11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10" fontId="12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readingOrder="0"/>
    </xf>
    <xf borderId="0" fillId="11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13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8">
        <v>11.0</v>
      </c>
      <c r="E8" s="9">
        <v>46295.34715741898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8">
        <v>10.0</v>
      </c>
      <c r="E9" s="9">
        <v>46295.36952054398</v>
      </c>
      <c r="F9" s="2"/>
      <c r="G9" s="10" t="s">
        <v>9</v>
      </c>
      <c r="H9" s="11">
        <v>226.5</v>
      </c>
      <c r="I9" s="2"/>
      <c r="J9" s="10" t="s">
        <v>10</v>
      </c>
      <c r="K9" s="11">
        <v>982.5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8">
        <v>180.0</v>
      </c>
      <c r="E10" s="9">
        <v>46295.37310570602</v>
      </c>
      <c r="F10" s="2"/>
      <c r="G10" s="10" t="s">
        <v>12</v>
      </c>
      <c r="H10" s="11">
        <v>650.0</v>
      </c>
      <c r="I10" s="2"/>
      <c r="J10" s="10" t="s">
        <v>13</v>
      </c>
      <c r="K10" s="12">
        <f>SUM(PRINCIPAL[TOTAL])</f>
        <v>4122.8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8">
        <v>43.0</v>
      </c>
      <c r="E11" s="9">
        <v>46295.37558170139</v>
      </c>
      <c r="F11" s="2"/>
      <c r="G11" s="10" t="s">
        <v>15</v>
      </c>
      <c r="H11" s="11">
        <v>2050.0</v>
      </c>
      <c r="I11" s="2"/>
      <c r="J11" s="10" t="s">
        <v>16</v>
      </c>
      <c r="K11" s="11"/>
      <c r="L11" s="2"/>
      <c r="M11" s="2"/>
      <c r="N11" s="2"/>
      <c r="O11" s="2"/>
      <c r="P11" s="2"/>
      <c r="Q11" s="2"/>
    </row>
    <row r="12" ht="22.5" customHeight="1">
      <c r="A12" s="6"/>
      <c r="B12" s="6" t="s">
        <v>17</v>
      </c>
      <c r="C12" s="7" t="s">
        <v>18</v>
      </c>
      <c r="D12" s="8">
        <v>32.5</v>
      </c>
      <c r="E12" s="9">
        <v>46295.38258509259</v>
      </c>
      <c r="F12" s="2"/>
      <c r="G12" s="10" t="s">
        <v>19</v>
      </c>
      <c r="H12" s="13">
        <f>SUM(G24:H361)</f>
        <v>2119.8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 t="s">
        <v>20</v>
      </c>
      <c r="C13" s="7" t="s">
        <v>21</v>
      </c>
      <c r="D13" s="8">
        <v>95.0</v>
      </c>
      <c r="E13" s="9">
        <v>46295.390050671296</v>
      </c>
      <c r="F13" s="2"/>
      <c r="G13" s="10" t="s">
        <v>22</v>
      </c>
      <c r="H13" s="11">
        <v>66.0</v>
      </c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2.0</v>
      </c>
      <c r="C14" s="7" t="s">
        <v>23</v>
      </c>
      <c r="D14" s="8">
        <v>40.0</v>
      </c>
      <c r="E14" s="9">
        <v>46295.39360282407</v>
      </c>
      <c r="F14" s="2"/>
      <c r="G14" s="10" t="s">
        <v>24</v>
      </c>
      <c r="H14" s="11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2.0</v>
      </c>
      <c r="C15" s="7" t="s">
        <v>25</v>
      </c>
      <c r="D15" s="8">
        <v>56.0</v>
      </c>
      <c r="E15" s="9">
        <v>46295.40299144676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1.0</v>
      </c>
      <c r="C16" s="7" t="s">
        <v>26</v>
      </c>
      <c r="D16" s="8">
        <v>75.0</v>
      </c>
      <c r="E16" s="9">
        <v>46295.41337947917</v>
      </c>
      <c r="F16" s="2"/>
      <c r="G16" s="16" t="s">
        <v>27</v>
      </c>
      <c r="H16" s="17">
        <f>SUM(H9:H14)</f>
        <v>5112.3</v>
      </c>
      <c r="I16" s="3"/>
      <c r="J16" s="16" t="s">
        <v>28</v>
      </c>
      <c r="K16" s="17">
        <f>SUM(K9:K11)</f>
        <v>5105.3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1.0</v>
      </c>
      <c r="C17" s="7" t="s">
        <v>29</v>
      </c>
      <c r="D17" s="18">
        <v>22.0</v>
      </c>
      <c r="E17" s="9">
        <v>46295.42175663194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1.0</v>
      </c>
      <c r="C18" s="7" t="s">
        <v>30</v>
      </c>
      <c r="D18" s="8">
        <v>28.0</v>
      </c>
      <c r="E18" s="9">
        <v>46295.42261141204</v>
      </c>
      <c r="F18" s="2"/>
      <c r="G18" s="19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7,00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1.0</v>
      </c>
      <c r="C19" s="7" t="s">
        <v>31</v>
      </c>
      <c r="D19" s="8">
        <v>8.0</v>
      </c>
      <c r="E19" s="9">
        <v>46295.42256278935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32</v>
      </c>
      <c r="D20" s="8">
        <v>8.0</v>
      </c>
      <c r="E20" s="9">
        <v>46295.42248471065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33</v>
      </c>
      <c r="D21" s="6">
        <v>12.0</v>
      </c>
      <c r="E21" s="9">
        <v>46295.45310944444</v>
      </c>
      <c r="F21" s="2"/>
      <c r="G21" s="20"/>
      <c r="H21" s="20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1.0</v>
      </c>
      <c r="C22" s="7" t="s">
        <v>34</v>
      </c>
      <c r="D22" s="8">
        <v>38.0</v>
      </c>
      <c r="E22" s="9">
        <v>46295.45318217593</v>
      </c>
      <c r="F22" s="2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1.0</v>
      </c>
      <c r="C23" s="7" t="s">
        <v>35</v>
      </c>
      <c r="D23" s="8">
        <v>11.0</v>
      </c>
      <c r="E23" s="9">
        <v>46295.453265578704</v>
      </c>
      <c r="F23" s="2"/>
      <c r="G23" s="21" t="s">
        <v>36</v>
      </c>
      <c r="H23" s="21" t="s">
        <v>37</v>
      </c>
      <c r="I23" s="2"/>
      <c r="J23" s="22" t="s">
        <v>38</v>
      </c>
      <c r="L23" s="23"/>
      <c r="M23" s="2"/>
      <c r="N23" s="2"/>
      <c r="O23" s="2"/>
      <c r="P23" s="2"/>
      <c r="Q23" s="2"/>
    </row>
    <row r="24" ht="22.5" customHeight="1">
      <c r="A24" s="14"/>
      <c r="B24" s="6">
        <v>1.0</v>
      </c>
      <c r="C24" s="7" t="s">
        <v>39</v>
      </c>
      <c r="D24" s="8">
        <v>42.0</v>
      </c>
      <c r="E24" s="9">
        <v>46295.453323078706</v>
      </c>
      <c r="F24" s="2"/>
      <c r="G24" s="24">
        <v>110.0</v>
      </c>
      <c r="H24" s="25"/>
      <c r="I24" s="2"/>
      <c r="J24" s="26" t="s">
        <v>40</v>
      </c>
      <c r="K24" s="27">
        <f>SUM(INGRESOS_YAPE[])</f>
        <v>2119.8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41</v>
      </c>
      <c r="D25" s="8">
        <v>2.5</v>
      </c>
      <c r="E25" s="9">
        <v>46295.45338319444</v>
      </c>
      <c r="F25" s="2"/>
      <c r="G25" s="24">
        <v>396.0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42</v>
      </c>
      <c r="D26" s="18">
        <v>68.0</v>
      </c>
      <c r="E26" s="9">
        <v>46295.46256292824</v>
      </c>
      <c r="F26" s="2"/>
      <c r="G26" s="28">
        <v>16.0</v>
      </c>
      <c r="H26" s="25"/>
      <c r="I26" s="2"/>
      <c r="J26" s="29" t="s">
        <v>43</v>
      </c>
      <c r="K26" s="30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44</v>
      </c>
      <c r="D27" s="18">
        <v>42.0</v>
      </c>
      <c r="E27" s="9">
        <v>46295.46293296297</v>
      </c>
      <c r="F27" s="2"/>
      <c r="G27" s="24">
        <v>31.5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2.0</v>
      </c>
      <c r="C28" s="7" t="s">
        <v>45</v>
      </c>
      <c r="D28" s="8">
        <v>396.0</v>
      </c>
      <c r="E28" s="9">
        <v>46295.467796805555</v>
      </c>
      <c r="F28" s="2"/>
      <c r="G28" s="24">
        <v>26.0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1.0</v>
      </c>
      <c r="C29" s="7" t="s">
        <v>46</v>
      </c>
      <c r="D29" s="8">
        <v>18.0</v>
      </c>
      <c r="E29" s="9">
        <v>46295.472144733794</v>
      </c>
      <c r="F29" s="2"/>
      <c r="G29" s="24">
        <v>98.0</v>
      </c>
      <c r="H29" s="25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2119,80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2.0</v>
      </c>
      <c r="C30" s="7" t="s">
        <v>47</v>
      </c>
      <c r="D30" s="8">
        <v>10.0</v>
      </c>
      <c r="E30" s="9">
        <v>46295.472265000004</v>
      </c>
      <c r="F30" s="2"/>
      <c r="G30" s="24">
        <v>20.0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48</v>
      </c>
      <c r="D31" s="8">
        <v>16.0</v>
      </c>
      <c r="E31" s="9">
        <v>46295.47387980324</v>
      </c>
      <c r="F31" s="2"/>
      <c r="G31" s="24">
        <v>93.3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2.0</v>
      </c>
      <c r="C32" s="7" t="s">
        <v>49</v>
      </c>
      <c r="D32" s="8">
        <v>24.0</v>
      </c>
      <c r="E32" s="9">
        <v>46295.47749347222</v>
      </c>
      <c r="F32" s="2"/>
      <c r="G32" s="24">
        <v>10.0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1.0</v>
      </c>
      <c r="C33" s="7" t="s">
        <v>50</v>
      </c>
      <c r="D33" s="8">
        <v>21.5</v>
      </c>
      <c r="E33" s="9">
        <v>46295.49146203704</v>
      </c>
      <c r="F33" s="2"/>
      <c r="G33" s="24">
        <v>15.0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1.0</v>
      </c>
      <c r="C34" s="7" t="s">
        <v>51</v>
      </c>
      <c r="D34" s="8">
        <v>10.0</v>
      </c>
      <c r="E34" s="9">
        <v>46295.49139283565</v>
      </c>
      <c r="F34" s="2"/>
      <c r="G34" s="24">
        <v>509.0</v>
      </c>
      <c r="H34" s="25"/>
      <c r="I34" s="2"/>
      <c r="J34" s="32" t="s">
        <v>52</v>
      </c>
      <c r="K34" s="32" t="s">
        <v>53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1.0</v>
      </c>
      <c r="C35" s="7" t="s">
        <v>54</v>
      </c>
      <c r="D35" s="8">
        <v>17.0</v>
      </c>
      <c r="E35" s="9">
        <v>46295.50026151621</v>
      </c>
      <c r="F35" s="2"/>
      <c r="G35" s="24">
        <v>135.0</v>
      </c>
      <c r="H35" s="25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4"/>
      <c r="B36" s="6">
        <v>1.0</v>
      </c>
      <c r="C36" s="7" t="s">
        <v>55</v>
      </c>
      <c r="D36" s="8">
        <v>37.0</v>
      </c>
      <c r="E36" s="9">
        <v>46295.500347395835</v>
      </c>
      <c r="F36" s="2"/>
      <c r="G36" s="24">
        <v>630.0</v>
      </c>
      <c r="H36" s="25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56</v>
      </c>
      <c r="D37" s="8">
        <v>55.0</v>
      </c>
      <c r="E37" s="9">
        <v>46295.50056758102</v>
      </c>
      <c r="F37" s="2"/>
      <c r="G37" s="24">
        <v>30.0</v>
      </c>
      <c r="H37" s="25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4"/>
      <c r="B38" s="6">
        <v>1.0</v>
      </c>
      <c r="C38" s="7" t="s">
        <v>32</v>
      </c>
      <c r="D38" s="8">
        <v>8.0</v>
      </c>
      <c r="E38" s="9">
        <v>46295.50065630787</v>
      </c>
      <c r="F38" s="2"/>
      <c r="G38" s="25"/>
      <c r="H38" s="25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4"/>
      <c r="B39" s="6">
        <v>1.0</v>
      </c>
      <c r="C39" s="7" t="s">
        <v>57</v>
      </c>
      <c r="D39" s="8">
        <v>54.0</v>
      </c>
      <c r="E39" s="9">
        <v>46295.500729328705</v>
      </c>
      <c r="F39" s="2"/>
      <c r="G39" s="25"/>
      <c r="H39" s="25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4"/>
      <c r="B40" s="6">
        <v>1.0</v>
      </c>
      <c r="C40" s="7" t="s">
        <v>57</v>
      </c>
      <c r="D40" s="8">
        <v>87.0</v>
      </c>
      <c r="E40" s="9">
        <v>46295.50077861111</v>
      </c>
      <c r="F40" s="2"/>
      <c r="G40" s="25"/>
      <c r="H40" s="25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4"/>
      <c r="B41" s="6">
        <v>2.0</v>
      </c>
      <c r="C41" s="7" t="s">
        <v>58</v>
      </c>
      <c r="D41" s="6">
        <v>16.0</v>
      </c>
      <c r="E41" s="9">
        <v>46295.500842800924</v>
      </c>
      <c r="F41" s="2"/>
      <c r="G41" s="25"/>
      <c r="H41" s="25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4"/>
      <c r="B42" s="6">
        <v>1.0</v>
      </c>
      <c r="C42" s="7" t="s">
        <v>59</v>
      </c>
      <c r="D42" s="8">
        <v>8.0</v>
      </c>
      <c r="E42" s="9">
        <v>46295.501142685185</v>
      </c>
      <c r="F42" s="2"/>
      <c r="G42" s="25"/>
      <c r="H42" s="25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4"/>
      <c r="B43" s="6">
        <v>2.0</v>
      </c>
      <c r="C43" s="7" t="s">
        <v>60</v>
      </c>
      <c r="D43" s="8">
        <v>36.0</v>
      </c>
      <c r="E43" s="9">
        <v>46295.5011191088</v>
      </c>
      <c r="F43" s="2"/>
      <c r="G43" s="25"/>
      <c r="H43" s="25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4"/>
      <c r="B44" s="6">
        <v>1.0</v>
      </c>
      <c r="C44" s="7" t="s">
        <v>60</v>
      </c>
      <c r="D44" s="8">
        <v>25.0</v>
      </c>
      <c r="E44" s="9">
        <v>46295.50106792824</v>
      </c>
      <c r="F44" s="2"/>
      <c r="G44" s="25"/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1.0</v>
      </c>
      <c r="C45" s="7" t="s">
        <v>61</v>
      </c>
      <c r="D45" s="8">
        <v>4.0</v>
      </c>
      <c r="E45" s="9">
        <v>46295.501497523146</v>
      </c>
      <c r="F45" s="2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1.0</v>
      </c>
      <c r="C46" s="7" t="s">
        <v>62</v>
      </c>
      <c r="D46" s="8">
        <v>3.0</v>
      </c>
      <c r="E46" s="9">
        <v>46295.50141936343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1.0</v>
      </c>
      <c r="C47" s="7" t="s">
        <v>63</v>
      </c>
      <c r="D47" s="8">
        <v>14.0</v>
      </c>
      <c r="E47" s="9">
        <v>46295.51195733796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6.0</v>
      </c>
      <c r="C48" s="7" t="s">
        <v>64</v>
      </c>
      <c r="D48" s="8">
        <v>2.0</v>
      </c>
      <c r="E48" s="9">
        <v>46295.54874868055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6.0</v>
      </c>
      <c r="C49" s="7" t="s">
        <v>65</v>
      </c>
      <c r="D49" s="8">
        <v>1.0</v>
      </c>
      <c r="E49" s="9">
        <v>46295.54884686343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6.0</v>
      </c>
      <c r="C50" s="7" t="s">
        <v>66</v>
      </c>
      <c r="D50" s="8">
        <v>1.0</v>
      </c>
      <c r="E50" s="9">
        <v>46295.54890673611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6.0</v>
      </c>
      <c r="C51" s="7" t="s">
        <v>67</v>
      </c>
      <c r="D51" s="8">
        <v>1.5</v>
      </c>
      <c r="E51" s="9">
        <v>46295.5489905787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1.0</v>
      </c>
      <c r="C52" s="7" t="s">
        <v>68</v>
      </c>
      <c r="D52" s="8">
        <v>82.0</v>
      </c>
      <c r="E52" s="9">
        <v>46295.549271006945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1.0</v>
      </c>
      <c r="C53" s="7" t="s">
        <v>69</v>
      </c>
      <c r="D53" s="8">
        <v>75.5</v>
      </c>
      <c r="E53" s="9">
        <v>46295.549230902776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1.0</v>
      </c>
      <c r="C54" s="7" t="s">
        <v>70</v>
      </c>
      <c r="D54" s="6">
        <v>33.0</v>
      </c>
      <c r="E54" s="9">
        <v>46295.549431817126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1.0</v>
      </c>
      <c r="C55" s="7" t="s">
        <v>71</v>
      </c>
      <c r="D55" s="8">
        <v>26.0</v>
      </c>
      <c r="E55" s="9">
        <v>46295.5495881713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2.0</v>
      </c>
      <c r="C56" s="7" t="s">
        <v>72</v>
      </c>
      <c r="D56" s="6">
        <v>16.0</v>
      </c>
      <c r="E56" s="9">
        <v>46295.54967353009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3.0</v>
      </c>
      <c r="C57" s="7" t="s">
        <v>73</v>
      </c>
      <c r="D57" s="8">
        <v>18.0</v>
      </c>
      <c r="E57" s="9">
        <v>46295.549743923606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1.0</v>
      </c>
      <c r="C58" s="7" t="s">
        <v>74</v>
      </c>
      <c r="D58" s="8">
        <v>17.0</v>
      </c>
      <c r="E58" s="9">
        <v>46295.549795983796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>
        <v>1.0</v>
      </c>
      <c r="C59" s="7" t="s">
        <v>75</v>
      </c>
      <c r="D59" s="8">
        <v>32.0</v>
      </c>
      <c r="E59" s="9">
        <v>46295.56176744213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1.0</v>
      </c>
      <c r="C60" s="7" t="s">
        <v>76</v>
      </c>
      <c r="D60" s="8">
        <v>66.0</v>
      </c>
      <c r="E60" s="9">
        <v>46295.56164305555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77</v>
      </c>
      <c r="D61" s="8">
        <v>45.0</v>
      </c>
      <c r="E61" s="9">
        <v>46295.58231582176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1.0</v>
      </c>
      <c r="C62" s="7" t="s">
        <v>78</v>
      </c>
      <c r="D62" s="8">
        <v>137.0</v>
      </c>
      <c r="E62" s="9">
        <v>46295.58243243056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1.0</v>
      </c>
      <c r="C63" s="7" t="s">
        <v>79</v>
      </c>
      <c r="D63" s="8">
        <v>43.0</v>
      </c>
      <c r="E63" s="9">
        <v>46295.58250798611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1.0</v>
      </c>
      <c r="C64" s="7" t="s">
        <v>80</v>
      </c>
      <c r="D64" s="18">
        <v>27.0</v>
      </c>
      <c r="E64" s="9">
        <v>46295.58262236111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1.0</v>
      </c>
      <c r="C65" s="7" t="s">
        <v>81</v>
      </c>
      <c r="D65" s="8">
        <v>34.0</v>
      </c>
      <c r="E65" s="9">
        <v>46295.59361387731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82</v>
      </c>
      <c r="D66" s="8">
        <v>70.0</v>
      </c>
      <c r="E66" s="9">
        <v>46295.64775967592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83</v>
      </c>
      <c r="D67" s="8">
        <v>3.0</v>
      </c>
      <c r="E67" s="9">
        <v>46295.66746837963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1.0</v>
      </c>
      <c r="C68" s="7" t="s">
        <v>84</v>
      </c>
      <c r="D68" s="8">
        <v>17.0</v>
      </c>
      <c r="E68" s="9">
        <v>46295.667516331014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6">
        <v>1.0</v>
      </c>
      <c r="C69" s="7" t="s">
        <v>85</v>
      </c>
      <c r="D69" s="8">
        <v>10.0</v>
      </c>
      <c r="E69" s="9">
        <v>46295.66939840278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6">
        <v>1.0</v>
      </c>
      <c r="C70" s="7" t="s">
        <v>86</v>
      </c>
      <c r="D70" s="8">
        <v>91.0</v>
      </c>
      <c r="E70" s="9">
        <v>46295.67031634259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6">
        <v>1.0</v>
      </c>
      <c r="C71" s="7" t="s">
        <v>87</v>
      </c>
      <c r="D71" s="8">
        <v>73.3</v>
      </c>
      <c r="E71" s="9">
        <v>46295.67184527778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6" t="s">
        <v>88</v>
      </c>
      <c r="C72" s="7" t="s">
        <v>89</v>
      </c>
      <c r="D72" s="8">
        <v>20.0</v>
      </c>
      <c r="E72" s="9">
        <v>46295.67209170139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6">
        <v>1.0</v>
      </c>
      <c r="C73" s="7" t="s">
        <v>90</v>
      </c>
      <c r="D73" s="35">
        <v>15.0</v>
      </c>
      <c r="E73" s="9">
        <v>46295.67257993056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6">
        <v>1.0</v>
      </c>
      <c r="C74" s="7" t="s">
        <v>91</v>
      </c>
      <c r="D74" s="6">
        <v>33.0</v>
      </c>
      <c r="E74" s="9">
        <v>46295.67266592593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6">
        <v>1.0</v>
      </c>
      <c r="C75" s="7" t="s">
        <v>92</v>
      </c>
      <c r="D75" s="8">
        <v>15.0</v>
      </c>
      <c r="E75" s="9">
        <v>46295.684138530094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6">
        <v>3.0</v>
      </c>
      <c r="C76" s="7" t="s">
        <v>93</v>
      </c>
      <c r="D76" s="8">
        <v>66.0</v>
      </c>
      <c r="E76" s="9">
        <v>46295.68938657407</v>
      </c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6">
        <v>6.0</v>
      </c>
      <c r="C77" s="7" t="s">
        <v>94</v>
      </c>
      <c r="D77" s="8">
        <v>30.0</v>
      </c>
      <c r="E77" s="9">
        <v>46295.68951244213</v>
      </c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6">
        <v>5.0</v>
      </c>
      <c r="C78" s="7" t="s">
        <v>95</v>
      </c>
      <c r="D78" s="8">
        <v>25.0</v>
      </c>
      <c r="E78" s="9">
        <v>46295.689688784725</v>
      </c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6">
        <v>3.0</v>
      </c>
      <c r="C79" s="7" t="s">
        <v>96</v>
      </c>
      <c r="D79" s="8">
        <v>15.0</v>
      </c>
      <c r="E79" s="9">
        <v>46295.69026565972</v>
      </c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6">
        <v>4.0</v>
      </c>
      <c r="C80" s="7" t="s">
        <v>97</v>
      </c>
      <c r="D80" s="8">
        <v>12.0</v>
      </c>
      <c r="E80" s="9">
        <v>46295.689953368055</v>
      </c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6">
        <v>2.0</v>
      </c>
      <c r="C81" s="7" t="s">
        <v>98</v>
      </c>
      <c r="D81" s="8">
        <v>8.0</v>
      </c>
      <c r="E81" s="9">
        <v>46295.69068997685</v>
      </c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6">
        <v>2.5</v>
      </c>
      <c r="C82" s="7" t="s">
        <v>99</v>
      </c>
      <c r="D82" s="35">
        <v>245.0</v>
      </c>
      <c r="E82" s="9">
        <v>46295.690580243056</v>
      </c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6">
        <v>1.0</v>
      </c>
      <c r="C83" s="7" t="s">
        <v>100</v>
      </c>
      <c r="D83" s="8">
        <v>108.0</v>
      </c>
      <c r="E83" s="9">
        <v>46295.690465162035</v>
      </c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6">
        <v>1.0</v>
      </c>
      <c r="C84" s="7" t="s">
        <v>101</v>
      </c>
      <c r="D84" s="8">
        <v>55.0</v>
      </c>
      <c r="E84" s="9">
        <v>46295.69582527778</v>
      </c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6">
        <v>1.0</v>
      </c>
      <c r="C85" s="7" t="s">
        <v>102</v>
      </c>
      <c r="D85" s="8">
        <v>23.0</v>
      </c>
      <c r="E85" s="9">
        <v>46295.695966458334</v>
      </c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6">
        <v>1.0</v>
      </c>
      <c r="C86" s="7" t="s">
        <v>103</v>
      </c>
      <c r="D86" s="8">
        <v>15.0</v>
      </c>
      <c r="E86" s="9">
        <v>46295.69606268519</v>
      </c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6">
        <v>4.0</v>
      </c>
      <c r="C87" s="7" t="s">
        <v>104</v>
      </c>
      <c r="D87" s="6">
        <v>32.0</v>
      </c>
      <c r="E87" s="9">
        <v>46295.69617847222</v>
      </c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6">
        <v>2.0</v>
      </c>
      <c r="C88" s="7" t="s">
        <v>105</v>
      </c>
      <c r="D88" s="8">
        <v>10.0</v>
      </c>
      <c r="E88" s="9">
        <v>46295.69628373843</v>
      </c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6">
        <v>2.0</v>
      </c>
      <c r="C89" s="7" t="s">
        <v>106</v>
      </c>
      <c r="D89" s="6">
        <v>16.0</v>
      </c>
      <c r="E89" s="9">
        <v>46295.71699193287</v>
      </c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6">
        <v>2.0</v>
      </c>
      <c r="C90" s="7" t="s">
        <v>107</v>
      </c>
      <c r="D90" s="6">
        <v>15.0</v>
      </c>
      <c r="E90" s="9">
        <v>46295.71877704861</v>
      </c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6" t="s">
        <v>108</v>
      </c>
      <c r="C91" s="7" t="s">
        <v>109</v>
      </c>
      <c r="D91" s="8">
        <v>10.0</v>
      </c>
      <c r="E91" s="9">
        <v>46295.741772650465</v>
      </c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6">
        <v>1.0</v>
      </c>
      <c r="C92" s="7" t="s">
        <v>110</v>
      </c>
      <c r="D92" s="8">
        <v>295.0</v>
      </c>
      <c r="E92" s="9">
        <v>46295.74186709491</v>
      </c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6">
        <v>1.0</v>
      </c>
      <c r="C93" s="7" t="s">
        <v>111</v>
      </c>
      <c r="D93" s="8">
        <v>315.0</v>
      </c>
      <c r="E93" s="9">
        <v>46295.741953425924</v>
      </c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6">
        <v>1.0</v>
      </c>
      <c r="C94" s="7" t="s">
        <v>112</v>
      </c>
      <c r="D94" s="8">
        <v>20.0</v>
      </c>
      <c r="E94" s="9">
        <v>46295.74199469907</v>
      </c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6">
        <v>1.0</v>
      </c>
      <c r="C95" s="7" t="s">
        <v>113</v>
      </c>
      <c r="D95" s="8">
        <v>75.0</v>
      </c>
      <c r="E95" s="9">
        <v>46295.754825428245</v>
      </c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6">
        <v>1.0</v>
      </c>
      <c r="C96" s="7" t="s">
        <v>114</v>
      </c>
      <c r="D96" s="8">
        <v>30.0</v>
      </c>
      <c r="E96" s="9">
        <v>46295.75490127315</v>
      </c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6">
        <v>1.0</v>
      </c>
      <c r="C97" s="7" t="s">
        <v>115</v>
      </c>
      <c r="D97" s="6">
        <v>15.0</v>
      </c>
      <c r="E97" s="9">
        <v>46295.78433724537</v>
      </c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6"/>
      <c r="C98" s="7"/>
      <c r="D98" s="6"/>
      <c r="E98" s="9">
        <v>46295.784395173614</v>
      </c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14"/>
      <c r="C99" s="36"/>
      <c r="D99" s="37"/>
      <c r="E99" s="38"/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14"/>
      <c r="C100" s="36"/>
      <c r="D100" s="37"/>
      <c r="E100" s="38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14"/>
      <c r="C101" s="36"/>
      <c r="D101" s="37"/>
      <c r="E101" s="38"/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36"/>
      <c r="D102" s="37"/>
      <c r="E102" s="38"/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36"/>
      <c r="D103" s="37"/>
      <c r="E103" s="38"/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36"/>
      <c r="D104" s="37"/>
      <c r="E104" s="38"/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36"/>
      <c r="D105" s="37"/>
      <c r="E105" s="38"/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6"/>
      <c r="D106" s="37"/>
      <c r="E106" s="38"/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6"/>
      <c r="D107" s="37"/>
      <c r="E107" s="38"/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6"/>
      <c r="D108" s="37"/>
      <c r="E108" s="38"/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6"/>
      <c r="D109" s="37"/>
      <c r="E109" s="38"/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6"/>
      <c r="D110" s="37"/>
      <c r="E110" s="38"/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6"/>
      <c r="D111" s="37"/>
      <c r="E111" s="38"/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6"/>
      <c r="D112" s="37"/>
      <c r="E112" s="38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6"/>
      <c r="D113" s="37"/>
      <c r="E113" s="38"/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6"/>
      <c r="D114" s="37"/>
      <c r="E114" s="38"/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6"/>
      <c r="D115" s="37"/>
      <c r="E115" s="38"/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6"/>
      <c r="D116" s="37"/>
      <c r="E116" s="38"/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6"/>
      <c r="D117" s="37"/>
      <c r="E117" s="38"/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6"/>
      <c r="D118" s="37"/>
      <c r="E118" s="38"/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6"/>
      <c r="D119" s="37"/>
      <c r="E119" s="38"/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6"/>
      <c r="D120" s="37"/>
      <c r="E120" s="38"/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6"/>
      <c r="D121" s="37"/>
      <c r="E121" s="38"/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6"/>
      <c r="D122" s="37"/>
      <c r="E122" s="38"/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6"/>
      <c r="D123" s="37"/>
      <c r="E123" s="38"/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6"/>
      <c r="D124" s="37"/>
      <c r="E124" s="38"/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6"/>
      <c r="D125" s="37"/>
      <c r="E125" s="38"/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6"/>
      <c r="D126" s="37"/>
      <c r="E126" s="38"/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6"/>
      <c r="D127" s="37"/>
      <c r="E127" s="38"/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6"/>
      <c r="D128" s="37"/>
      <c r="E128" s="38"/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6"/>
      <c r="D129" s="37"/>
      <c r="E129" s="38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6"/>
      <c r="D130" s="37"/>
      <c r="E130" s="38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6"/>
      <c r="D131" s="37"/>
      <c r="E131" s="38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6"/>
      <c r="D132" s="37"/>
      <c r="E132" s="38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6"/>
      <c r="D133" s="37"/>
      <c r="E133" s="38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6"/>
      <c r="D134" s="37"/>
      <c r="E134" s="38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6"/>
      <c r="D135" s="37"/>
      <c r="E135" s="38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6"/>
      <c r="D136" s="37"/>
      <c r="E136" s="38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6"/>
      <c r="D137" s="37"/>
      <c r="E137" s="38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6"/>
      <c r="D138" s="37"/>
      <c r="E138" s="38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6"/>
      <c r="D139" s="37"/>
      <c r="E139" s="38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6"/>
      <c r="D140" s="37"/>
      <c r="E140" s="38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6"/>
      <c r="D141" s="37"/>
      <c r="E141" s="38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6"/>
      <c r="D142" s="37"/>
      <c r="E142" s="38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6"/>
      <c r="D143" s="37"/>
      <c r="E143" s="38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6"/>
      <c r="D144" s="37"/>
      <c r="E144" s="38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6"/>
      <c r="D145" s="37"/>
      <c r="E145" s="38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6"/>
      <c r="D146" s="37"/>
      <c r="E146" s="38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6"/>
      <c r="D147" s="37"/>
      <c r="E147" s="38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6"/>
      <c r="D148" s="37"/>
      <c r="E148" s="38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6"/>
      <c r="D149" s="37"/>
      <c r="E149" s="38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6"/>
      <c r="D150" s="37"/>
      <c r="E150" s="38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6"/>
      <c r="D151" s="37"/>
      <c r="E151" s="38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6"/>
      <c r="D152" s="37"/>
      <c r="E152" s="38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6"/>
      <c r="D153" s="37"/>
      <c r="E153" s="38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6"/>
      <c r="D154" s="37"/>
      <c r="E154" s="38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6"/>
      <c r="D155" s="37"/>
      <c r="E155" s="38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6"/>
      <c r="D156" s="37"/>
      <c r="E156" s="38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6"/>
      <c r="D157" s="37"/>
      <c r="E157" s="38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6"/>
      <c r="D158" s="37"/>
      <c r="E158" s="38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6"/>
      <c r="D159" s="37"/>
      <c r="E159" s="38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6"/>
      <c r="D160" s="37"/>
      <c r="E160" s="38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6"/>
      <c r="D161" s="37"/>
      <c r="E161" s="38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6"/>
      <c r="D162" s="37"/>
      <c r="E162" s="38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6"/>
      <c r="D163" s="37"/>
      <c r="E163" s="38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6"/>
      <c r="D164" s="37"/>
      <c r="E164" s="38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6"/>
      <c r="D165" s="37"/>
      <c r="E165" s="38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6"/>
      <c r="D166" s="37"/>
      <c r="E166" s="38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6"/>
      <c r="D167" s="37"/>
      <c r="E167" s="38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6"/>
      <c r="D168" s="37"/>
      <c r="E168" s="38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6"/>
      <c r="D169" s="37"/>
      <c r="E169" s="38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6"/>
      <c r="D170" s="37"/>
      <c r="E170" s="38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6"/>
      <c r="D171" s="37"/>
      <c r="E171" s="38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6"/>
      <c r="D172" s="37"/>
      <c r="E172" s="38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6"/>
      <c r="D173" s="37"/>
      <c r="E173" s="38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6"/>
      <c r="D174" s="37"/>
      <c r="E174" s="38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6"/>
      <c r="D175" s="37"/>
      <c r="E175" s="38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6"/>
      <c r="D176" s="37"/>
      <c r="E176" s="38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6"/>
      <c r="D177" s="37"/>
      <c r="E177" s="38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6"/>
      <c r="D178" s="37"/>
      <c r="E178" s="38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6"/>
      <c r="D179" s="37"/>
      <c r="E179" s="38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6"/>
      <c r="D180" s="37"/>
      <c r="E180" s="38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6"/>
      <c r="D181" s="37"/>
      <c r="E181" s="38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6"/>
      <c r="D182" s="37"/>
      <c r="E182" s="38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6"/>
      <c r="D183" s="37"/>
      <c r="E183" s="38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6"/>
      <c r="D184" s="37"/>
      <c r="E184" s="38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6"/>
      <c r="D185" s="37"/>
      <c r="E185" s="38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6"/>
      <c r="D186" s="37"/>
      <c r="E186" s="38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6"/>
      <c r="D187" s="37"/>
      <c r="E187" s="38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6"/>
      <c r="D188" s="37"/>
      <c r="E188" s="38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6"/>
      <c r="D189" s="37"/>
      <c r="E189" s="38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6"/>
      <c r="D190" s="37"/>
      <c r="E190" s="38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6"/>
      <c r="D191" s="37"/>
      <c r="E191" s="38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6"/>
      <c r="D192" s="37"/>
      <c r="E192" s="38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6"/>
      <c r="D193" s="37"/>
      <c r="E193" s="38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6"/>
      <c r="D194" s="37"/>
      <c r="E194" s="38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6"/>
      <c r="D195" s="37"/>
      <c r="E195" s="38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6"/>
      <c r="D196" s="37"/>
      <c r="E196" s="38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6"/>
      <c r="D197" s="37"/>
      <c r="E197" s="38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6"/>
      <c r="D198" s="37"/>
      <c r="E198" s="38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6"/>
      <c r="D199" s="37"/>
      <c r="E199" s="38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6"/>
      <c r="D200" s="37"/>
      <c r="E200" s="38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6"/>
      <c r="D201" s="37"/>
      <c r="E201" s="38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6"/>
      <c r="D202" s="37"/>
      <c r="E202" s="38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6"/>
      <c r="D203" s="37"/>
      <c r="E203" s="38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6"/>
      <c r="D204" s="37"/>
      <c r="E204" s="38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6"/>
      <c r="D205" s="37"/>
      <c r="E205" s="38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6"/>
      <c r="D206" s="37"/>
      <c r="E206" s="38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6"/>
      <c r="D207" s="37"/>
      <c r="E207" s="38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6"/>
      <c r="D208" s="37"/>
      <c r="E208" s="38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6"/>
      <c r="D209" s="37"/>
      <c r="E209" s="38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6"/>
      <c r="D210" s="37"/>
      <c r="E210" s="38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6"/>
      <c r="D211" s="37"/>
      <c r="E211" s="38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6"/>
      <c r="D212" s="37"/>
      <c r="E212" s="38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6"/>
      <c r="D213" s="37"/>
      <c r="E213" s="38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6"/>
      <c r="D214" s="37"/>
      <c r="E214" s="38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6"/>
      <c r="D215" s="37"/>
      <c r="E215" s="38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6"/>
      <c r="D216" s="37"/>
      <c r="E216" s="38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6"/>
      <c r="D217" s="37"/>
      <c r="E217" s="38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6"/>
      <c r="D218" s="37"/>
      <c r="E218" s="38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6"/>
      <c r="D219" s="37"/>
      <c r="E219" s="38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6"/>
      <c r="D220" s="37"/>
      <c r="E220" s="38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6"/>
      <c r="D221" s="37"/>
      <c r="E221" s="38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6"/>
      <c r="D222" s="37"/>
      <c r="E222" s="38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6"/>
      <c r="D223" s="37"/>
      <c r="E223" s="38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6"/>
      <c r="D224" s="37"/>
      <c r="E224" s="38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6"/>
      <c r="D225" s="37"/>
      <c r="E225" s="38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6"/>
      <c r="D226" s="37"/>
      <c r="E226" s="38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6"/>
      <c r="D227" s="37"/>
      <c r="E227" s="38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6"/>
      <c r="D228" s="37"/>
      <c r="E228" s="38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6"/>
      <c r="D229" s="37"/>
      <c r="E229" s="38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6"/>
      <c r="D230" s="37"/>
      <c r="E230" s="38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6"/>
      <c r="D231" s="37"/>
      <c r="E231" s="38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6"/>
      <c r="D232" s="37"/>
      <c r="E232" s="38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6"/>
      <c r="D233" s="37"/>
      <c r="E233" s="38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6"/>
      <c r="D234" s="37"/>
      <c r="E234" s="38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6"/>
      <c r="D235" s="37"/>
      <c r="E235" s="38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6"/>
      <c r="D236" s="37"/>
      <c r="E236" s="38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6"/>
      <c r="D237" s="37"/>
      <c r="E237" s="38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6"/>
      <c r="D238" s="37"/>
      <c r="E238" s="38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6"/>
      <c r="D239" s="37"/>
      <c r="E239" s="38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6"/>
      <c r="D240" s="37"/>
      <c r="E240" s="38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6"/>
      <c r="D241" s="37"/>
      <c r="E241" s="38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6"/>
      <c r="D242" s="37"/>
      <c r="E242" s="38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6"/>
      <c r="D243" s="37"/>
      <c r="E243" s="38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6"/>
      <c r="D244" s="37"/>
      <c r="E244" s="38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6"/>
      <c r="D245" s="37"/>
      <c r="E245" s="38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6"/>
      <c r="D246" s="37"/>
      <c r="E246" s="38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6"/>
      <c r="D247" s="37"/>
      <c r="E247" s="38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6"/>
      <c r="D248" s="37"/>
      <c r="E248" s="38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6"/>
      <c r="D249" s="37"/>
      <c r="E249" s="38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6"/>
      <c r="D250" s="37"/>
      <c r="E250" s="38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6"/>
      <c r="D251" s="37"/>
      <c r="E251" s="38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6"/>
      <c r="D252" s="37"/>
      <c r="E252" s="38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6"/>
      <c r="D253" s="37"/>
      <c r="E253" s="38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6"/>
      <c r="D254" s="37"/>
      <c r="E254" s="38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6"/>
      <c r="D255" s="37"/>
      <c r="E255" s="38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6"/>
      <c r="D256" s="37"/>
      <c r="E256" s="38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6"/>
      <c r="D257" s="37"/>
      <c r="E257" s="38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6"/>
      <c r="D258" s="37"/>
      <c r="E258" s="38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6"/>
      <c r="D259" s="37"/>
      <c r="E259" s="38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6"/>
      <c r="D260" s="37"/>
      <c r="E260" s="38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6"/>
      <c r="D261" s="37"/>
      <c r="E261" s="38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6"/>
      <c r="D262" s="37"/>
      <c r="E262" s="38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6"/>
      <c r="D263" s="37"/>
      <c r="E263" s="38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6"/>
      <c r="D264" s="37"/>
      <c r="E264" s="38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6"/>
      <c r="D265" s="37"/>
      <c r="E265" s="38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6"/>
      <c r="D266" s="37"/>
      <c r="E266" s="38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6"/>
      <c r="D267" s="37"/>
      <c r="E267" s="38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6"/>
      <c r="D268" s="37"/>
      <c r="E268" s="38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6"/>
      <c r="D269" s="37"/>
      <c r="E269" s="38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6"/>
      <c r="D270" s="37"/>
      <c r="E270" s="38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6"/>
      <c r="D271" s="37"/>
      <c r="E271" s="38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6"/>
      <c r="D272" s="37"/>
      <c r="E272" s="38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6"/>
      <c r="D273" s="37"/>
      <c r="E273" s="38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6"/>
      <c r="D274" s="37"/>
      <c r="E274" s="38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6"/>
      <c r="D275" s="37"/>
      <c r="E275" s="38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6"/>
      <c r="D276" s="37"/>
      <c r="E276" s="38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6"/>
      <c r="D277" s="37"/>
      <c r="E277" s="38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6"/>
      <c r="D278" s="37"/>
      <c r="E278" s="38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6"/>
      <c r="D279" s="37"/>
      <c r="E279" s="38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6"/>
      <c r="D280" s="37"/>
      <c r="E280" s="38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6"/>
      <c r="D281" s="37"/>
      <c r="E281" s="38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6"/>
      <c r="D282" s="37"/>
      <c r="E282" s="38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6"/>
      <c r="D283" s="37"/>
      <c r="E283" s="38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6"/>
      <c r="D284" s="37"/>
      <c r="E284" s="38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6"/>
      <c r="D285" s="37"/>
      <c r="E285" s="38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6"/>
      <c r="D286" s="37"/>
      <c r="E286" s="38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6"/>
      <c r="D287" s="37"/>
      <c r="E287" s="38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6"/>
      <c r="D288" s="37"/>
      <c r="E288" s="38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6"/>
      <c r="D289" s="37"/>
      <c r="E289" s="38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6"/>
      <c r="D290" s="37"/>
      <c r="E290" s="38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6"/>
      <c r="D291" s="37"/>
      <c r="E291" s="38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6"/>
      <c r="D292" s="37"/>
      <c r="E292" s="38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6"/>
      <c r="D293" s="37"/>
      <c r="E293" s="38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6"/>
      <c r="D294" s="37"/>
      <c r="E294" s="38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6"/>
      <c r="D295" s="37"/>
      <c r="E295" s="38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6"/>
      <c r="D296" s="37"/>
      <c r="E296" s="38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6"/>
      <c r="D297" s="37"/>
      <c r="E297" s="38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6"/>
      <c r="D298" s="37"/>
      <c r="E298" s="38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6"/>
      <c r="D299" s="37"/>
      <c r="E299" s="38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6"/>
      <c r="D300" s="37"/>
      <c r="E300" s="38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6"/>
      <c r="D301" s="37"/>
      <c r="E301" s="38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