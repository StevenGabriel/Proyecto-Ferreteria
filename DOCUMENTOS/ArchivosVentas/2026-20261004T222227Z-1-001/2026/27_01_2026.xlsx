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<sst xmlns="http://schemas.openxmlformats.org/spreadsheetml/2006/main" count="104" uniqueCount="97">
  <si>
    <t>HOJA DE CALCULO FERRETERIA</t>
  </si>
  <si>
    <t>CODIGO</t>
  </si>
  <si>
    <t>CANTIDAD</t>
  </si>
  <si>
    <t>DESCRIPCION</t>
  </si>
  <si>
    <t>TOTAL</t>
  </si>
  <si>
    <t>HORA</t>
  </si>
  <si>
    <t>CUADRAR</t>
  </si>
  <si>
    <t>kl clavo hh 11/2</t>
  </si>
  <si>
    <t>broca concreto truper  8</t>
  </si>
  <si>
    <t>MONEDAS</t>
  </si>
  <si>
    <t>CAJA CHICA</t>
  </si>
  <si>
    <t xml:space="preserve">disco flpa </t>
  </si>
  <si>
    <t>BILLETES 10-20</t>
  </si>
  <si>
    <t>TOTAL VENTAS DIA</t>
  </si>
  <si>
    <t>silicona american blanco</t>
  </si>
  <si>
    <t>BILLETES 50-100-200</t>
  </si>
  <si>
    <t>AUMENTO DE DINERO</t>
  </si>
  <si>
    <t xml:space="preserve">clefa 100 </t>
  </si>
  <si>
    <t>INGRESOS YAPE</t>
  </si>
  <si>
    <t>guante asatex</t>
  </si>
  <si>
    <t>INGRESOS TARJETA</t>
  </si>
  <si>
    <t>pintura 100 ml</t>
  </si>
  <si>
    <t>GASTOS VARIOS</t>
  </si>
  <si>
    <t>plancha de goma tolsen</t>
  </si>
  <si>
    <t>union panete tigre1</t>
  </si>
  <si>
    <t>DINERO GANADO HOY:</t>
  </si>
  <si>
    <t>CANTIDAD DINERO CAJA:</t>
  </si>
  <si>
    <t>copla tigre 1</t>
  </si>
  <si>
    <t>adaptador 3/4</t>
  </si>
  <si>
    <t>teflon</t>
  </si>
  <si>
    <t>cañeria 1 metro</t>
  </si>
  <si>
    <t>carbon</t>
  </si>
  <si>
    <t>grifo fv</t>
  </si>
  <si>
    <t>kl electrdo delgado conarco</t>
  </si>
  <si>
    <t>YAPE MAMÁ</t>
  </si>
  <si>
    <t>YAPE PAPÁ</t>
  </si>
  <si>
    <t>guanes oscaria</t>
  </si>
  <si>
    <t>anticorrico 3,5</t>
  </si>
  <si>
    <t>disco twiste4</t>
  </si>
  <si>
    <t>kg  carburo</t>
  </si>
  <si>
    <t>lija 200</t>
  </si>
  <si>
    <t>tinte madera</t>
  </si>
  <si>
    <t>1/2 kg</t>
  </si>
  <si>
    <t>galv 20</t>
  </si>
  <si>
    <t>1 kg</t>
  </si>
  <si>
    <t>galv 18</t>
  </si>
  <si>
    <t>cable bateria</t>
  </si>
  <si>
    <t>manguera lav 2 mt</t>
  </si>
  <si>
    <t>masa corrida 1 lt</t>
  </si>
  <si>
    <t>espatula</t>
  </si>
  <si>
    <t>guantes astex</t>
  </si>
  <si>
    <t>caotin ferrawy</t>
  </si>
  <si>
    <t>clefa forte 100</t>
  </si>
  <si>
    <t>cepillo para madera</t>
  </si>
  <si>
    <t>broca</t>
  </si>
  <si>
    <t>pie de amdio</t>
  </si>
  <si>
    <t>ramplus 5</t>
  </si>
  <si>
    <t>grifo plastico</t>
  </si>
  <si>
    <t>broca fierro debor 2,5</t>
  </si>
  <si>
    <t>estilet</t>
  </si>
  <si>
    <t>tapon h 1/2</t>
  </si>
  <si>
    <t>silicona akfi pasado</t>
  </si>
  <si>
    <t>regilla de piso 4</t>
  </si>
  <si>
    <t>llanta carretilla</t>
  </si>
  <si>
    <t xml:space="preserve">sintetica negro 100 </t>
  </si>
  <si>
    <t xml:space="preserve">roldana </t>
  </si>
  <si>
    <t>20mt</t>
  </si>
  <si>
    <t>soga plastica</t>
  </si>
  <si>
    <t>pegatanke plomo</t>
  </si>
  <si>
    <t>multimetro trupper</t>
  </si>
  <si>
    <t>grifo fv lavamanos</t>
  </si>
  <si>
    <t>candado hermex</t>
  </si>
  <si>
    <t>electrodo alumini</t>
  </si>
  <si>
    <t>disco uyustol 4</t>
  </si>
  <si>
    <t>disco truper 4</t>
  </si>
  <si>
    <t>clavija ultra</t>
  </si>
  <si>
    <t>m manguera 3/4</t>
  </si>
  <si>
    <t>abrazadera</t>
  </si>
  <si>
    <t>clefa</t>
  </si>
  <si>
    <t>adaptdorultra</t>
  </si>
  <si>
    <t>juegod e sierra truper</t>
  </si>
  <si>
    <t>pistola de calor total</t>
  </si>
  <si>
    <t xml:space="preserve">espuma expansiva </t>
  </si>
  <si>
    <t>dcm</t>
  </si>
  <si>
    <t>disco</t>
  </si>
  <si>
    <t xml:space="preserve">casco </t>
  </si>
  <si>
    <t>m perlo 8 mm</t>
  </si>
  <si>
    <t>sierra nicholson</t>
  </si>
  <si>
    <t>llavero llace crecent pretul</t>
  </si>
  <si>
    <t>m hilo cortapasto</t>
  </si>
  <si>
    <t>chapa lion</t>
  </si>
  <si>
    <t>grifo lavamanos fv</t>
  </si>
  <si>
    <t>chiop 4,5*45</t>
  </si>
  <si>
    <t>pie de amigo</t>
  </si>
  <si>
    <t>chip 4*16</t>
  </si>
  <si>
    <t>ddu180</t>
  </si>
  <si>
    <t>discos flap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</si>
</sst>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9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rgb="FF000000"/>
      <name val="Arial Black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6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6" numFmtId="0" xfId="0" applyAlignment="1" applyBorder="1" applyFill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6" t="s">
        <v>7</v>
      </c>
      <c r="D8" s="6">
        <v>20.0</v>
      </c>
      <c r="E8" s="7">
        <v>46049.36168671296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6" t="s">
        <v>8</v>
      </c>
      <c r="D9" s="6">
        <v>15.0</v>
      </c>
      <c r="E9" s="7">
        <v>46049.361873738424</v>
      </c>
      <c r="F9" s="2"/>
      <c r="G9" s="8" t="s">
        <v>9</v>
      </c>
      <c r="H9" s="9">
        <v>61.0</v>
      </c>
      <c r="I9" s="2"/>
      <c r="J9" s="8" t="s">
        <v>10</v>
      </c>
      <c r="K9" s="9">
        <v>469.0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6" t="s">
        <v>11</v>
      </c>
      <c r="D10" s="6">
        <v>12.0</v>
      </c>
      <c r="E10" s="7">
        <v>46049.40275165509</v>
      </c>
      <c r="F10" s="2"/>
      <c r="G10" s="8" t="s">
        <v>12</v>
      </c>
      <c r="H10" s="9">
        <v>260.0</v>
      </c>
      <c r="I10" s="2"/>
      <c r="J10" s="8" t="s">
        <v>13</v>
      </c>
      <c r="K10" s="10">
        <f>SUM(PRINCIPAL[TOTAL])</f>
        <v>3606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6" t="s">
        <v>14</v>
      </c>
      <c r="D11" s="6">
        <v>28.0</v>
      </c>
      <c r="E11" s="7">
        <v>46049.407680324075</v>
      </c>
      <c r="F11" s="2"/>
      <c r="G11" s="8" t="s">
        <v>15</v>
      </c>
      <c r="H11" s="9">
        <v>2050.0</v>
      </c>
      <c r="I11" s="2"/>
      <c r="J11" s="8" t="s">
        <v>16</v>
      </c>
      <c r="K11" s="9">
        <v>39.0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6" t="s">
        <v>17</v>
      </c>
      <c r="D12" s="6">
        <v>16.0</v>
      </c>
      <c r="E12" s="7">
        <v>46049.40780076389</v>
      </c>
      <c r="F12" s="2"/>
      <c r="G12" s="8" t="s">
        <v>18</v>
      </c>
      <c r="H12" s="11">
        <f>SUM(INGRESOS_YAPE[])</f>
        <v>1873.5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2"/>
      <c r="B13" s="6">
        <v>1.0</v>
      </c>
      <c r="C13" s="6" t="s">
        <v>19</v>
      </c>
      <c r="D13" s="6">
        <v>13.0</v>
      </c>
      <c r="E13" s="7">
        <v>46049.41370957176</v>
      </c>
      <c r="F13" s="2"/>
      <c r="G13" s="8" t="s">
        <v>20</v>
      </c>
      <c r="H13" s="9"/>
      <c r="I13" s="2"/>
      <c r="J13" s="13"/>
      <c r="K13" s="2"/>
      <c r="L13" s="2"/>
      <c r="M13" s="2"/>
      <c r="N13" s="2"/>
      <c r="O13" s="2"/>
      <c r="P13" s="2"/>
      <c r="Q13" s="2"/>
    </row>
    <row r="14" ht="22.5" customHeight="1">
      <c r="A14" s="12"/>
      <c r="B14" s="6">
        <v>1.0</v>
      </c>
      <c r="C14" s="6" t="s">
        <v>21</v>
      </c>
      <c r="D14" s="6">
        <v>8.0</v>
      </c>
      <c r="E14" s="7">
        <v>46049.43587428241</v>
      </c>
      <c r="F14" s="2"/>
      <c r="G14" s="8" t="s">
        <v>22</v>
      </c>
      <c r="H14" s="9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2"/>
      <c r="B15" s="6">
        <v>2.0</v>
      </c>
      <c r="C15" s="6" t="s">
        <v>23</v>
      </c>
      <c r="D15" s="6">
        <v>74.0</v>
      </c>
      <c r="E15" s="7">
        <v>46049.44190332176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2"/>
      <c r="B16" s="6">
        <v>1.0</v>
      </c>
      <c r="C16" s="6" t="s">
        <v>24</v>
      </c>
      <c r="D16" s="6">
        <v>18.0</v>
      </c>
      <c r="E16" s="7">
        <v>46049.44271643518</v>
      </c>
      <c r="F16" s="2"/>
      <c r="G16" s="14" t="s">
        <v>25</v>
      </c>
      <c r="H16" s="15">
        <f>SUM(H9:H14)</f>
        <v>4244.5</v>
      </c>
      <c r="I16" s="3"/>
      <c r="J16" s="14" t="s">
        <v>26</v>
      </c>
      <c r="K16" s="15">
        <f>SUM(K9:K11)</f>
        <v>4114</v>
      </c>
      <c r="L16" s="2"/>
      <c r="M16" s="2"/>
      <c r="N16" s="2"/>
      <c r="O16" s="2"/>
      <c r="P16" s="2"/>
      <c r="Q16" s="2"/>
    </row>
    <row r="17" ht="22.5" customHeight="1">
      <c r="A17" s="12"/>
      <c r="B17" s="6">
        <v>1.0</v>
      </c>
      <c r="C17" s="6" t="s">
        <v>27</v>
      </c>
      <c r="D17" s="6">
        <v>6.0</v>
      </c>
      <c r="E17" s="7">
        <v>46049.44279267361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2"/>
      <c r="B18" s="6">
        <v>1.0</v>
      </c>
      <c r="C18" s="6" t="s">
        <v>28</v>
      </c>
      <c r="D18" s="6">
        <v>4.5</v>
      </c>
      <c r="E18" s="7">
        <v>46049.443183564814</v>
      </c>
      <c r="F18" s="2"/>
      <c r="G18" s="16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130,50</v>
      </c>
      <c r="L18" s="2"/>
      <c r="M18" s="2"/>
      <c r="N18" s="2"/>
      <c r="O18" s="2"/>
      <c r="P18" s="2"/>
      <c r="Q18" s="2"/>
    </row>
    <row r="19" ht="22.5" customHeight="1">
      <c r="A19" s="12"/>
      <c r="B19" s="6">
        <v>1.0</v>
      </c>
      <c r="C19" s="6" t="s">
        <v>29</v>
      </c>
      <c r="D19" s="6">
        <v>3.0</v>
      </c>
      <c r="E19" s="7">
        <v>46049.44322872685</v>
      </c>
      <c r="F19" s="2"/>
      <c r="L19" s="2"/>
      <c r="M19" s="2"/>
      <c r="N19" s="2"/>
      <c r="O19" s="2"/>
      <c r="P19" s="2"/>
      <c r="Q19" s="2"/>
    </row>
    <row r="20" ht="22.5" customHeight="1">
      <c r="A20" s="12"/>
      <c r="B20" s="6">
        <v>1.0</v>
      </c>
      <c r="C20" s="6" t="s">
        <v>30</v>
      </c>
      <c r="D20" s="6">
        <v>10.0</v>
      </c>
      <c r="E20" s="7">
        <v>46049.44331648148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2"/>
      <c r="B21" s="6">
        <v>1.0</v>
      </c>
      <c r="C21" s="6" t="s">
        <v>31</v>
      </c>
      <c r="D21" s="6">
        <v>18.0</v>
      </c>
      <c r="E21" s="7">
        <v>46049.45018976852</v>
      </c>
      <c r="F21" s="2"/>
      <c r="G21" s="17"/>
      <c r="H21" s="17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2"/>
      <c r="B22" s="6">
        <v>1.0</v>
      </c>
      <c r="C22" s="6" t="s">
        <v>32</v>
      </c>
      <c r="D22" s="6">
        <v>130.0</v>
      </c>
      <c r="E22" s="7">
        <v>46049.45990512731</v>
      </c>
      <c r="F22" s="2"/>
      <c r="G22" s="17"/>
      <c r="H22" s="17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2"/>
      <c r="B23" s="6">
        <v>2.0</v>
      </c>
      <c r="C23" s="6" t="s">
        <v>33</v>
      </c>
      <c r="D23" s="6">
        <v>120.0</v>
      </c>
      <c r="E23" s="7">
        <v>46049.460098344905</v>
      </c>
      <c r="F23" s="2"/>
      <c r="G23" s="18" t="s">
        <v>34</v>
      </c>
      <c r="H23" s="18" t="s">
        <v>35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2"/>
      <c r="B24" s="6">
        <v>3.0</v>
      </c>
      <c r="C24" s="6" t="s">
        <v>11</v>
      </c>
      <c r="D24" s="6">
        <v>40.0</v>
      </c>
      <c r="E24" s="7">
        <v>46049.4604507176</v>
      </c>
      <c r="F24" s="2"/>
      <c r="G24" s="19">
        <v>119.0</v>
      </c>
      <c r="H24" s="20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2"/>
      <c r="B25" s="6">
        <v>2.0</v>
      </c>
      <c r="C25" s="6" t="s">
        <v>36</v>
      </c>
      <c r="D25" s="6">
        <v>34.0</v>
      </c>
      <c r="E25" s="7">
        <v>46049.46066829861</v>
      </c>
      <c r="F25" s="2"/>
      <c r="G25" s="19">
        <v>74.0</v>
      </c>
      <c r="H25" s="20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2"/>
      <c r="B26" s="6">
        <v>1.0</v>
      </c>
      <c r="C26" s="6" t="s">
        <v>37</v>
      </c>
      <c r="D26" s="6">
        <v>212.0</v>
      </c>
      <c r="E26" s="7">
        <v>46049.460899224534</v>
      </c>
      <c r="F26" s="2"/>
      <c r="G26" s="21">
        <v>440.0</v>
      </c>
      <c r="H26" s="20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2"/>
      <c r="B27" s="6">
        <v>1.0</v>
      </c>
      <c r="C27" s="6" t="s">
        <v>38</v>
      </c>
      <c r="D27" s="6">
        <v>35.0</v>
      </c>
      <c r="E27" s="7">
        <v>46049.46113043981</v>
      </c>
      <c r="F27" s="2"/>
      <c r="G27" s="19">
        <v>29.0</v>
      </c>
      <c r="H27" s="20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2"/>
      <c r="B28" s="6">
        <v>1.0</v>
      </c>
      <c r="C28" s="6" t="s">
        <v>39</v>
      </c>
      <c r="D28" s="6">
        <v>29.0</v>
      </c>
      <c r="E28" s="7">
        <v>46049.46328862269</v>
      </c>
      <c r="F28" s="2"/>
      <c r="G28" s="19">
        <v>15.0</v>
      </c>
      <c r="H28" s="20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2"/>
      <c r="B29" s="6">
        <v>1.0</v>
      </c>
      <c r="C29" s="6" t="s">
        <v>40</v>
      </c>
      <c r="D29" s="6">
        <v>5.0</v>
      </c>
      <c r="E29" s="7">
        <v>46049.46638608797</v>
      </c>
      <c r="F29" s="2"/>
      <c r="G29" s="19">
        <v>145.0</v>
      </c>
      <c r="H29" s="20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2"/>
      <c r="B30" s="6">
        <v>1.0</v>
      </c>
      <c r="C30" s="6" t="s">
        <v>41</v>
      </c>
      <c r="D30" s="6">
        <v>30.0</v>
      </c>
      <c r="E30" s="7">
        <v>46049.46655216435</v>
      </c>
      <c r="F30" s="2"/>
      <c r="G30" s="19">
        <v>52.0</v>
      </c>
      <c r="H30" s="20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2"/>
      <c r="B31" s="6" t="s">
        <v>42</v>
      </c>
      <c r="C31" s="6" t="s">
        <v>43</v>
      </c>
      <c r="D31" s="6">
        <v>15.0</v>
      </c>
      <c r="E31" s="7">
        <v>46049.46716173612</v>
      </c>
      <c r="F31" s="2"/>
      <c r="G31" s="19">
        <v>93.0</v>
      </c>
      <c r="H31" s="20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2"/>
      <c r="B32" s="6" t="s">
        <v>44</v>
      </c>
      <c r="C32" s="6" t="s">
        <v>45</v>
      </c>
      <c r="D32" s="6">
        <v>30.0</v>
      </c>
      <c r="E32" s="7">
        <v>46049.46736724537</v>
      </c>
      <c r="F32" s="2"/>
      <c r="G32" s="19">
        <v>230.0</v>
      </c>
      <c r="H32" s="20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2"/>
      <c r="B33" s="6">
        <v>1.0</v>
      </c>
      <c r="C33" s="6" t="s">
        <v>46</v>
      </c>
      <c r="D33" s="6">
        <v>119.0</v>
      </c>
      <c r="E33" s="7">
        <v>46049.46813622685</v>
      </c>
      <c r="F33" s="2"/>
      <c r="G33" s="19">
        <v>180.0</v>
      </c>
      <c r="H33" s="20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2"/>
      <c r="B34" s="6">
        <v>1.0</v>
      </c>
      <c r="C34" s="6" t="s">
        <v>47</v>
      </c>
      <c r="D34" s="6">
        <v>85.0</v>
      </c>
      <c r="E34" s="7">
        <v>46049.468509259255</v>
      </c>
      <c r="F34" s="2"/>
      <c r="G34" s="19">
        <v>250.0</v>
      </c>
      <c r="H34" s="20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2"/>
      <c r="B35" s="6">
        <v>1.0</v>
      </c>
      <c r="C35" s="6" t="s">
        <v>48</v>
      </c>
      <c r="D35" s="6">
        <v>29.0</v>
      </c>
      <c r="E35" s="7">
        <v>46049.46988672454</v>
      </c>
      <c r="F35" s="2"/>
      <c r="G35" s="19">
        <v>57.0</v>
      </c>
      <c r="H35" s="20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2"/>
      <c r="B36" s="6">
        <v>1.0</v>
      </c>
      <c r="C36" s="6" t="s">
        <v>49</v>
      </c>
      <c r="D36" s="6">
        <v>15.0</v>
      </c>
      <c r="E36" s="7">
        <v>46049.47267644676</v>
      </c>
      <c r="F36" s="2"/>
      <c r="G36" s="19">
        <v>13.5</v>
      </c>
      <c r="H36" s="20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2"/>
      <c r="B37" s="6">
        <v>1.0</v>
      </c>
      <c r="C37" s="6" t="s">
        <v>17</v>
      </c>
      <c r="D37" s="6">
        <v>15.0</v>
      </c>
      <c r="E37" s="7">
        <v>46049.477357048614</v>
      </c>
      <c r="F37" s="2"/>
      <c r="G37" s="19">
        <v>36.0</v>
      </c>
      <c r="H37" s="20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2"/>
      <c r="B38" s="6">
        <v>2.0</v>
      </c>
      <c r="C38" s="6" t="s">
        <v>50</v>
      </c>
      <c r="D38" s="6">
        <v>20.0</v>
      </c>
      <c r="E38" s="7">
        <v>46049.478953784725</v>
      </c>
      <c r="F38" s="2"/>
      <c r="G38" s="19">
        <v>140.0</v>
      </c>
      <c r="H38" s="20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2"/>
      <c r="B39" s="6">
        <v>1.0</v>
      </c>
      <c r="C39" s="6" t="s">
        <v>51</v>
      </c>
      <c r="D39" s="6">
        <v>126.0</v>
      </c>
      <c r="E39" s="7">
        <v>46049.49319230324</v>
      </c>
      <c r="F39" s="2"/>
      <c r="G39" s="20"/>
      <c r="H39" s="20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2"/>
      <c r="B40" s="6">
        <v>1.0</v>
      </c>
      <c r="C40" s="6" t="s">
        <v>52</v>
      </c>
      <c r="D40" s="6">
        <v>16.0</v>
      </c>
      <c r="E40" s="7">
        <v>46049.49587597222</v>
      </c>
      <c r="F40" s="2"/>
      <c r="G40" s="20"/>
      <c r="H40" s="20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6">
        <v>42000.0</v>
      </c>
      <c r="B41" s="6">
        <v>1.0</v>
      </c>
      <c r="C41" s="6" t="s">
        <v>53</v>
      </c>
      <c r="D41" s="6">
        <v>90.0</v>
      </c>
      <c r="E41" s="7">
        <v>46049.498853287034</v>
      </c>
      <c r="F41" s="2"/>
      <c r="G41" s="20"/>
      <c r="H41" s="20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6">
        <v>75610.0</v>
      </c>
      <c r="B42" s="6">
        <v>1.0</v>
      </c>
      <c r="C42" s="6" t="s">
        <v>54</v>
      </c>
      <c r="D42" s="6">
        <v>26.0</v>
      </c>
      <c r="E42" s="7">
        <v>46049.49865498843</v>
      </c>
      <c r="F42" s="2"/>
      <c r="G42" s="20"/>
      <c r="H42" s="20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6">
        <v>102351.0</v>
      </c>
      <c r="B43" s="6">
        <v>1.0</v>
      </c>
      <c r="C43" s="6" t="s">
        <v>54</v>
      </c>
      <c r="D43" s="6">
        <v>29.0</v>
      </c>
      <c r="E43" s="7">
        <v>46049.49906681713</v>
      </c>
      <c r="F43" s="2"/>
      <c r="G43" s="20"/>
      <c r="H43" s="20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2"/>
      <c r="B44" s="6">
        <v>4.0</v>
      </c>
      <c r="C44" s="6" t="s">
        <v>55</v>
      </c>
      <c r="D44" s="6">
        <v>8.0</v>
      </c>
      <c r="E44" s="7">
        <v>46049.50025564815</v>
      </c>
      <c r="F44" s="2"/>
      <c r="G44" s="20"/>
      <c r="H44" s="20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2"/>
      <c r="B45" s="6">
        <v>1.0</v>
      </c>
      <c r="C45" s="6" t="s">
        <v>55</v>
      </c>
      <c r="D45" s="6">
        <v>4.0</v>
      </c>
      <c r="E45" s="7">
        <v>46049.5003634375</v>
      </c>
      <c r="F45" s="2"/>
      <c r="G45" s="20"/>
      <c r="H45" s="20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2"/>
      <c r="B46" s="6">
        <v>24.0</v>
      </c>
      <c r="C46" s="6" t="s">
        <v>56</v>
      </c>
      <c r="D46" s="6">
        <v>2.0</v>
      </c>
      <c r="E46" s="7">
        <v>46049.500458090275</v>
      </c>
      <c r="F46" s="2"/>
      <c r="G46" s="20"/>
      <c r="H46" s="20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2"/>
      <c r="B47" s="6">
        <v>1.0</v>
      </c>
      <c r="C47" s="6" t="s">
        <v>57</v>
      </c>
      <c r="D47" s="6">
        <v>19.0</v>
      </c>
      <c r="E47" s="7">
        <v>46049.50281304398</v>
      </c>
      <c r="F47" s="2"/>
      <c r="G47" s="20"/>
      <c r="H47" s="20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2"/>
      <c r="B48" s="6">
        <v>5.0</v>
      </c>
      <c r="C48" s="6" t="s">
        <v>58</v>
      </c>
      <c r="D48" s="6">
        <v>50.0</v>
      </c>
      <c r="E48" s="7">
        <v>46049.51252719907</v>
      </c>
      <c r="F48" s="2"/>
      <c r="G48" s="20"/>
      <c r="H48" s="20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6">
        <v>16971.0</v>
      </c>
      <c r="B49" s="6">
        <v>2.0</v>
      </c>
      <c r="C49" s="6" t="s">
        <v>59</v>
      </c>
      <c r="D49" s="6">
        <v>52.0</v>
      </c>
      <c r="E49" s="7">
        <v>46049.51882165509</v>
      </c>
      <c r="F49" s="2"/>
      <c r="G49" s="20"/>
      <c r="H49" s="20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2"/>
      <c r="B50" s="6">
        <v>1.0</v>
      </c>
      <c r="C50" s="6" t="s">
        <v>29</v>
      </c>
      <c r="D50" s="6">
        <v>3.0</v>
      </c>
      <c r="E50" s="7">
        <v>46049.52258609954</v>
      </c>
      <c r="F50" s="2"/>
      <c r="G50" s="20"/>
      <c r="H50" s="20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2"/>
      <c r="B51" s="6">
        <v>1.0</v>
      </c>
      <c r="C51" s="6" t="s">
        <v>60</v>
      </c>
      <c r="D51" s="6">
        <v>2.0</v>
      </c>
      <c r="E51" s="7">
        <v>46049.52273431713</v>
      </c>
      <c r="F51" s="2"/>
      <c r="G51" s="20"/>
      <c r="H51" s="20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2"/>
      <c r="B52" s="6">
        <v>2.0</v>
      </c>
      <c r="C52" s="6" t="s">
        <v>61</v>
      </c>
      <c r="D52" s="6">
        <v>50.0</v>
      </c>
      <c r="E52" s="7">
        <v>46049.52600075232</v>
      </c>
      <c r="F52" s="2"/>
      <c r="G52" s="20"/>
      <c r="H52" s="20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2"/>
      <c r="B53" s="6">
        <v>1.0</v>
      </c>
      <c r="C53" s="6" t="s">
        <v>62</v>
      </c>
      <c r="D53" s="6">
        <v>25.0</v>
      </c>
      <c r="E53" s="7">
        <v>46049.526144375</v>
      </c>
      <c r="F53" s="2"/>
      <c r="G53" s="20"/>
      <c r="H53" s="20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2"/>
      <c r="B54" s="6">
        <v>1.0</v>
      </c>
      <c r="C54" s="6" t="s">
        <v>63</v>
      </c>
      <c r="D54" s="6">
        <v>93.0</v>
      </c>
      <c r="E54" s="7">
        <v>46049.55433141204</v>
      </c>
      <c r="F54" s="2"/>
      <c r="G54" s="20"/>
      <c r="H54" s="20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2"/>
      <c r="B55" s="6">
        <v>1.0</v>
      </c>
      <c r="C55" s="6" t="s">
        <v>64</v>
      </c>
      <c r="D55" s="6">
        <v>11.0</v>
      </c>
      <c r="E55" s="7">
        <v>46049.55952447916</v>
      </c>
      <c r="F55" s="2"/>
      <c r="G55" s="20"/>
      <c r="H55" s="20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2"/>
      <c r="B56" s="6">
        <v>1.0</v>
      </c>
      <c r="C56" s="6" t="s">
        <v>65</v>
      </c>
      <c r="D56" s="6">
        <v>40.0</v>
      </c>
      <c r="E56" s="7">
        <v>46049.56339594907</v>
      </c>
      <c r="F56" s="2"/>
      <c r="G56" s="20"/>
      <c r="H56" s="20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2"/>
      <c r="B57" s="6" t="s">
        <v>66</v>
      </c>
      <c r="C57" s="6" t="s">
        <v>67</v>
      </c>
      <c r="D57" s="6">
        <v>190.0</v>
      </c>
      <c r="E57" s="7">
        <v>46049.56551703704</v>
      </c>
      <c r="F57" s="2"/>
      <c r="G57" s="20"/>
      <c r="H57" s="20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2"/>
      <c r="B58" s="6">
        <v>1.0</v>
      </c>
      <c r="C58" s="6" t="s">
        <v>68</v>
      </c>
      <c r="D58" s="6">
        <v>90.0</v>
      </c>
      <c r="E58" s="7">
        <v>46049.56595604167</v>
      </c>
      <c r="F58" s="2"/>
      <c r="G58" s="20"/>
      <c r="H58" s="20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6">
        <v>10401.0</v>
      </c>
      <c r="B59" s="6">
        <v>1.0</v>
      </c>
      <c r="C59" s="6" t="s">
        <v>69</v>
      </c>
      <c r="D59" s="6">
        <v>222.0</v>
      </c>
      <c r="E59" s="7">
        <v>46049.56822597222</v>
      </c>
      <c r="F59" s="2"/>
      <c r="G59" s="20"/>
      <c r="H59" s="20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2"/>
      <c r="B60" s="6">
        <v>1.0</v>
      </c>
      <c r="C60" s="6" t="s">
        <v>70</v>
      </c>
      <c r="D60" s="6">
        <v>125.0</v>
      </c>
      <c r="E60" s="7">
        <v>46049.57315210648</v>
      </c>
      <c r="F60" s="2"/>
      <c r="G60" s="20"/>
      <c r="H60" s="20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2"/>
      <c r="B61" s="6">
        <v>1.0</v>
      </c>
      <c r="C61" s="6" t="s">
        <v>71</v>
      </c>
      <c r="D61" s="6">
        <v>180.0</v>
      </c>
      <c r="E61" s="7">
        <v>46049.600348101856</v>
      </c>
      <c r="F61" s="2"/>
      <c r="G61" s="20"/>
      <c r="H61" s="20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2"/>
      <c r="B62" s="6">
        <v>2.0</v>
      </c>
      <c r="C62" s="6" t="s">
        <v>72</v>
      </c>
      <c r="D62" s="6">
        <v>28.0</v>
      </c>
      <c r="E62" s="7">
        <v>46049.60062949074</v>
      </c>
      <c r="F62" s="2"/>
      <c r="G62" s="20"/>
      <c r="H62" s="20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2"/>
      <c r="B63" s="6">
        <v>1.0</v>
      </c>
      <c r="C63" s="6" t="s">
        <v>73</v>
      </c>
      <c r="D63" s="6">
        <v>7.0</v>
      </c>
      <c r="E63" s="7">
        <v>46049.61954832176</v>
      </c>
      <c r="F63" s="2"/>
      <c r="G63" s="20"/>
      <c r="H63" s="20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2"/>
      <c r="B64" s="6">
        <v>1.0</v>
      </c>
      <c r="C64" s="6" t="s">
        <v>74</v>
      </c>
      <c r="D64" s="6">
        <v>8.0</v>
      </c>
      <c r="E64" s="7">
        <v>46049.61963469908</v>
      </c>
      <c r="F64" s="2"/>
      <c r="G64" s="20"/>
      <c r="H64" s="20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2"/>
      <c r="B65" s="6">
        <v>1.0</v>
      </c>
      <c r="C65" s="6" t="s">
        <v>75</v>
      </c>
      <c r="D65" s="6">
        <v>8.0</v>
      </c>
      <c r="E65" s="7">
        <v>46049.61970822916</v>
      </c>
      <c r="F65" s="2"/>
      <c r="G65" s="20"/>
      <c r="H65" s="20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2"/>
      <c r="B66" s="6">
        <v>1.5</v>
      </c>
      <c r="C66" s="6" t="s">
        <v>76</v>
      </c>
      <c r="D66" s="6">
        <v>30.0</v>
      </c>
      <c r="E66" s="7">
        <v>46049.62816340278</v>
      </c>
      <c r="F66" s="2"/>
      <c r="G66" s="20"/>
      <c r="H66" s="20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2"/>
      <c r="B67" s="6">
        <v>4.0</v>
      </c>
      <c r="C67" s="6" t="s">
        <v>77</v>
      </c>
      <c r="D67" s="6">
        <v>10.0</v>
      </c>
      <c r="E67" s="7">
        <v>46049.62864956018</v>
      </c>
      <c r="F67" s="2"/>
      <c r="G67" s="20"/>
      <c r="H67" s="20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2"/>
      <c r="B68" s="6">
        <v>1.0</v>
      </c>
      <c r="C68" s="6" t="s">
        <v>78</v>
      </c>
      <c r="D68" s="6">
        <v>16.0</v>
      </c>
      <c r="E68" s="7">
        <v>46049.62871548611</v>
      </c>
      <c r="F68" s="2"/>
      <c r="G68" s="20"/>
      <c r="H68" s="20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2"/>
      <c r="B69" s="6">
        <v>1.0</v>
      </c>
      <c r="C69" s="6" t="s">
        <v>79</v>
      </c>
      <c r="D69" s="6">
        <v>8.0</v>
      </c>
      <c r="E69" s="7">
        <v>46049.65241056713</v>
      </c>
      <c r="F69" s="2"/>
      <c r="G69" s="20"/>
      <c r="H69" s="20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2"/>
      <c r="B70" s="6">
        <v>1.0</v>
      </c>
      <c r="C70" s="6" t="s">
        <v>80</v>
      </c>
      <c r="D70" s="6">
        <v>28.0</v>
      </c>
      <c r="E70" s="7">
        <v>46049.658148483795</v>
      </c>
      <c r="F70" s="2"/>
      <c r="G70" s="20"/>
      <c r="H70" s="20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2"/>
      <c r="B71" s="6">
        <v>1.0</v>
      </c>
      <c r="C71" s="6" t="s">
        <v>81</v>
      </c>
      <c r="D71" s="6">
        <v>250.0</v>
      </c>
      <c r="E71" s="7">
        <v>46049.66087064815</v>
      </c>
      <c r="F71" s="2"/>
      <c r="G71" s="20"/>
      <c r="H71" s="20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2"/>
      <c r="B72" s="6">
        <v>1.0</v>
      </c>
      <c r="C72" s="6" t="s">
        <v>82</v>
      </c>
      <c r="D72" s="6">
        <v>57.0</v>
      </c>
      <c r="E72" s="7">
        <v>46049.66261414352</v>
      </c>
      <c r="F72" s="2"/>
      <c r="G72" s="20"/>
      <c r="H72" s="20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6" t="s">
        <v>83</v>
      </c>
      <c r="B73" s="6">
        <v>10.0</v>
      </c>
      <c r="C73" s="6" t="s">
        <v>84</v>
      </c>
      <c r="D73" s="6">
        <v>50.0</v>
      </c>
      <c r="E73" s="7">
        <v>46049.67226885416</v>
      </c>
      <c r="F73" s="2"/>
      <c r="G73" s="20"/>
      <c r="H73" s="20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6">
        <v>11703.0</v>
      </c>
      <c r="B74" s="6">
        <v>2.0</v>
      </c>
      <c r="C74" s="6" t="s">
        <v>54</v>
      </c>
      <c r="D74" s="6">
        <v>68.0</v>
      </c>
      <c r="E74" s="7">
        <v>46049.67275520833</v>
      </c>
      <c r="F74" s="2"/>
      <c r="G74" s="20"/>
      <c r="H74" s="20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2"/>
      <c r="B75" s="6">
        <v>1.0</v>
      </c>
      <c r="C75" s="6" t="s">
        <v>85</v>
      </c>
      <c r="D75" s="6">
        <v>45.0</v>
      </c>
      <c r="E75" s="7">
        <v>46049.68181539352</v>
      </c>
      <c r="F75" s="2"/>
      <c r="G75" s="20"/>
      <c r="H75" s="20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2"/>
      <c r="B76" s="6">
        <v>10.0</v>
      </c>
      <c r="C76" s="6" t="s">
        <v>86</v>
      </c>
      <c r="D76" s="6">
        <v>40.0</v>
      </c>
      <c r="E76" s="7">
        <v>46049.683974513886</v>
      </c>
      <c r="F76" s="2"/>
      <c r="G76" s="20"/>
      <c r="H76" s="20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2"/>
      <c r="B77" s="6">
        <v>1.0</v>
      </c>
      <c r="C77" s="6" t="s">
        <v>87</v>
      </c>
      <c r="D77" s="6">
        <v>15.0</v>
      </c>
      <c r="E77" s="7">
        <v>46049.68771421297</v>
      </c>
      <c r="F77" s="2"/>
      <c r="G77" s="20"/>
      <c r="H77" s="20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2"/>
      <c r="B78" s="6">
        <v>1.0</v>
      </c>
      <c r="C78" s="6" t="s">
        <v>88</v>
      </c>
      <c r="D78" s="6">
        <v>17.0</v>
      </c>
      <c r="E78" s="7">
        <v>46049.68786795139</v>
      </c>
      <c r="F78" s="2"/>
      <c r="G78" s="20"/>
      <c r="H78" s="20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2"/>
      <c r="B79" s="6">
        <v>5.0</v>
      </c>
      <c r="C79" s="6" t="s">
        <v>89</v>
      </c>
      <c r="D79" s="6">
        <v>10.0</v>
      </c>
      <c r="E79" s="7">
        <v>46049.70240115741</v>
      </c>
      <c r="F79" s="2"/>
      <c r="G79" s="20"/>
      <c r="H79" s="20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2"/>
      <c r="B80" s="6">
        <v>3.0</v>
      </c>
      <c r="C80" s="6" t="s">
        <v>90</v>
      </c>
      <c r="D80" s="6">
        <v>30.0</v>
      </c>
      <c r="E80" s="7">
        <v>46049.70623454861</v>
      </c>
      <c r="F80" s="2"/>
      <c r="G80" s="20"/>
      <c r="H80" s="20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2"/>
      <c r="B81" s="6">
        <v>1.0</v>
      </c>
      <c r="C81" s="6" t="s">
        <v>91</v>
      </c>
      <c r="D81" s="6">
        <v>120.0</v>
      </c>
      <c r="E81" s="7">
        <v>46049.708419918985</v>
      </c>
      <c r="F81" s="2"/>
      <c r="G81" s="20"/>
      <c r="H81" s="20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2"/>
      <c r="B82" s="6">
        <v>12.0</v>
      </c>
      <c r="C82" s="6" t="s">
        <v>92</v>
      </c>
      <c r="D82" s="6">
        <v>3.5</v>
      </c>
      <c r="E82" s="7">
        <v>46049.74353663194</v>
      </c>
      <c r="F82" s="2"/>
      <c r="G82" s="20"/>
      <c r="H82" s="20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2"/>
      <c r="B83" s="6">
        <v>8.0</v>
      </c>
      <c r="C83" s="6" t="s">
        <v>93</v>
      </c>
      <c r="D83" s="6">
        <v>8.0</v>
      </c>
      <c r="E83" s="7">
        <v>46049.74360199074</v>
      </c>
      <c r="F83" s="2"/>
      <c r="G83" s="20"/>
      <c r="H83" s="20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2"/>
      <c r="B84" s="6">
        <v>12.0</v>
      </c>
      <c r="C84" s="6" t="s">
        <v>94</v>
      </c>
      <c r="D84" s="6">
        <v>2.0</v>
      </c>
      <c r="E84" s="7">
        <v>46049.74381929398</v>
      </c>
      <c r="F84" s="2"/>
      <c r="G84" s="20"/>
      <c r="H84" s="20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6" t="s">
        <v>95</v>
      </c>
      <c r="B85" s="6">
        <v>1.0</v>
      </c>
      <c r="C85" s="6" t="s">
        <v>84</v>
      </c>
      <c r="D85" s="6">
        <v>50.0</v>
      </c>
      <c r="E85" s="7">
        <v>46049.74994483797</v>
      </c>
      <c r="F85" s="2"/>
      <c r="G85" s="20"/>
      <c r="H85" s="20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2"/>
      <c r="B86" s="6">
        <v>3.0</v>
      </c>
      <c r="C86" s="6" t="s">
        <v>96</v>
      </c>
      <c r="D86" s="6">
        <v>36.0</v>
      </c>
      <c r="E86" s="7">
        <v>46049.750068379624</v>
      </c>
      <c r="F86" s="2"/>
      <c r="G86" s="20"/>
      <c r="H86" s="20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2"/>
      <c r="B87" s="12"/>
      <c r="C87" s="12"/>
      <c r="D87" s="22"/>
      <c r="E87" s="23"/>
      <c r="F87" s="2"/>
      <c r="G87" s="20"/>
      <c r="H87" s="20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2"/>
      <c r="B88" s="12"/>
      <c r="C88" s="12"/>
      <c r="D88" s="22"/>
      <c r="E88" s="23"/>
      <c r="F88" s="2"/>
      <c r="G88" s="20"/>
      <c r="H88" s="20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2"/>
      <c r="B89" s="12"/>
      <c r="C89" s="12"/>
      <c r="D89" s="22"/>
      <c r="E89" s="23"/>
      <c r="F89" s="2"/>
      <c r="G89" s="20"/>
      <c r="H89" s="20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2"/>
      <c r="B90" s="12"/>
      <c r="C90" s="12"/>
      <c r="D90" s="22"/>
      <c r="E90" s="23"/>
      <c r="F90" s="2"/>
      <c r="G90" s="20"/>
      <c r="H90" s="20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2"/>
      <c r="B91" s="12"/>
      <c r="C91" s="12"/>
      <c r="D91" s="22"/>
      <c r="E91" s="23"/>
      <c r="F91" s="2"/>
      <c r="G91" s="20"/>
      <c r="H91" s="20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2"/>
      <c r="B92" s="12"/>
      <c r="C92" s="12"/>
      <c r="D92" s="22"/>
      <c r="E92" s="23"/>
      <c r="F92" s="2"/>
      <c r="G92" s="20"/>
      <c r="H92" s="20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2"/>
      <c r="B93" s="12"/>
      <c r="C93" s="12"/>
      <c r="D93" s="22"/>
      <c r="E93" s="23"/>
      <c r="F93" s="2"/>
      <c r="G93" s="20"/>
      <c r="H93" s="20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2"/>
      <c r="B94" s="12"/>
      <c r="C94" s="12"/>
      <c r="D94" s="22"/>
      <c r="E94" s="23"/>
      <c r="F94" s="2"/>
      <c r="G94" s="20"/>
      <c r="H94" s="20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2"/>
      <c r="B95" s="12"/>
      <c r="C95" s="12"/>
      <c r="D95" s="22"/>
      <c r="E95" s="23"/>
      <c r="F95" s="2"/>
      <c r="G95" s="20"/>
      <c r="H95" s="20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2"/>
      <c r="B96" s="12"/>
      <c r="C96" s="12"/>
      <c r="D96" s="22"/>
      <c r="E96" s="23"/>
      <c r="F96" s="2"/>
      <c r="G96" s="20"/>
      <c r="H96" s="20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2"/>
      <c r="B97" s="12"/>
      <c r="C97" s="12"/>
      <c r="D97" s="22"/>
      <c r="E97" s="23"/>
      <c r="F97" s="2"/>
      <c r="G97" s="20"/>
      <c r="H97" s="20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2"/>
      <c r="B98" s="12"/>
      <c r="C98" s="12"/>
      <c r="D98" s="22"/>
      <c r="E98" s="23"/>
      <c r="F98" s="2"/>
      <c r="G98" s="20"/>
      <c r="H98" s="20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2"/>
      <c r="B99" s="12"/>
      <c r="C99" s="12"/>
      <c r="D99" s="22"/>
      <c r="E99" s="23"/>
      <c r="F99" s="2"/>
      <c r="G99" s="20"/>
      <c r="H99" s="20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2"/>
      <c r="B100" s="12"/>
      <c r="C100" s="12"/>
      <c r="D100" s="22"/>
      <c r="E100" s="23"/>
      <c r="F100" s="2"/>
      <c r="G100" s="20"/>
      <c r="H100" s="20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2"/>
      <c r="B101" s="12"/>
      <c r="C101" s="12"/>
      <c r="D101" s="22"/>
      <c r="E101" s="23"/>
      <c r="F101" s="2"/>
      <c r="G101" s="20"/>
      <c r="H101" s="20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2"/>
      <c r="B102" s="12"/>
      <c r="C102" s="12"/>
      <c r="D102" s="22"/>
      <c r="E102" s="23"/>
      <c r="F102" s="2"/>
      <c r="G102" s="20"/>
      <c r="H102" s="20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2"/>
      <c r="B103" s="12"/>
      <c r="C103" s="12"/>
      <c r="D103" s="22"/>
      <c r="E103" s="23"/>
      <c r="F103" s="2"/>
      <c r="G103" s="20"/>
      <c r="H103" s="20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2"/>
      <c r="B104" s="12"/>
      <c r="C104" s="12"/>
      <c r="D104" s="22"/>
      <c r="E104" s="23"/>
      <c r="F104" s="2"/>
      <c r="G104" s="20"/>
      <c r="H104" s="20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2"/>
      <c r="B105" s="12"/>
      <c r="C105" s="12"/>
      <c r="D105" s="22"/>
      <c r="E105" s="23"/>
      <c r="F105" s="2"/>
      <c r="G105" s="20"/>
      <c r="H105" s="20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2"/>
      <c r="B106" s="12"/>
      <c r="C106" s="12"/>
      <c r="D106" s="22"/>
      <c r="E106" s="23"/>
      <c r="F106" s="2"/>
      <c r="G106" s="20"/>
      <c r="H106" s="20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2"/>
      <c r="B107" s="12"/>
      <c r="C107" s="12"/>
      <c r="D107" s="22"/>
      <c r="E107" s="23"/>
      <c r="F107" s="2"/>
      <c r="G107" s="20"/>
      <c r="H107" s="20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2"/>
      <c r="B108" s="12"/>
      <c r="C108" s="12"/>
      <c r="D108" s="22"/>
      <c r="E108" s="23"/>
      <c r="F108" s="2"/>
      <c r="G108" s="20"/>
      <c r="H108" s="20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2"/>
      <c r="B109" s="12"/>
      <c r="C109" s="12"/>
      <c r="D109" s="22"/>
      <c r="E109" s="23"/>
      <c r="F109" s="2"/>
      <c r="G109" s="20"/>
      <c r="H109" s="20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2"/>
      <c r="B110" s="12"/>
      <c r="C110" s="12"/>
      <c r="D110" s="22"/>
      <c r="E110" s="23"/>
      <c r="F110" s="2"/>
      <c r="G110" s="20"/>
      <c r="H110" s="20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2"/>
      <c r="B111" s="12"/>
      <c r="C111" s="12"/>
      <c r="D111" s="22"/>
      <c r="E111" s="23"/>
      <c r="F111" s="2"/>
      <c r="G111" s="20"/>
      <c r="H111" s="20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2"/>
      <c r="B112" s="12"/>
      <c r="C112" s="12"/>
      <c r="D112" s="22"/>
      <c r="E112" s="23"/>
      <c r="F112" s="2"/>
      <c r="G112" s="20"/>
      <c r="H112" s="20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2"/>
      <c r="B113" s="12"/>
      <c r="C113" s="12"/>
      <c r="D113" s="22"/>
      <c r="E113" s="23"/>
      <c r="F113" s="2"/>
      <c r="G113" s="20"/>
      <c r="H113" s="20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2"/>
      <c r="B114" s="12"/>
      <c r="C114" s="12"/>
      <c r="D114" s="22"/>
      <c r="E114" s="23"/>
      <c r="F114" s="2"/>
      <c r="G114" s="20"/>
      <c r="H114" s="20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2"/>
      <c r="B115" s="12"/>
      <c r="C115" s="12"/>
      <c r="D115" s="22"/>
      <c r="E115" s="23"/>
      <c r="F115" s="2"/>
      <c r="G115" s="20"/>
      <c r="H115" s="20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2"/>
      <c r="B116" s="12"/>
      <c r="C116" s="12"/>
      <c r="D116" s="22"/>
      <c r="E116" s="23"/>
      <c r="F116" s="2"/>
      <c r="G116" s="20"/>
      <c r="H116" s="20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2"/>
      <c r="B117" s="12"/>
      <c r="C117" s="12"/>
      <c r="D117" s="22"/>
      <c r="E117" s="23"/>
      <c r="F117" s="2"/>
      <c r="G117" s="20"/>
      <c r="H117" s="20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2"/>
      <c r="B118" s="12"/>
      <c r="C118" s="12"/>
      <c r="D118" s="22"/>
      <c r="E118" s="23"/>
      <c r="F118" s="2"/>
      <c r="G118" s="20"/>
      <c r="H118" s="20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2"/>
      <c r="B119" s="12"/>
      <c r="C119" s="12"/>
      <c r="D119" s="22"/>
      <c r="E119" s="23"/>
      <c r="F119" s="2"/>
      <c r="G119" s="20"/>
      <c r="H119" s="20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2"/>
      <c r="B120" s="12"/>
      <c r="C120" s="12"/>
      <c r="D120" s="22"/>
      <c r="E120" s="23"/>
      <c r="F120" s="2"/>
      <c r="G120" s="20"/>
      <c r="H120" s="20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2"/>
      <c r="B121" s="12"/>
      <c r="C121" s="12"/>
      <c r="D121" s="22"/>
      <c r="E121" s="23"/>
      <c r="F121" s="2"/>
      <c r="G121" s="20"/>
      <c r="H121" s="20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2"/>
      <c r="B122" s="12"/>
      <c r="C122" s="12"/>
      <c r="D122" s="22"/>
      <c r="E122" s="23"/>
      <c r="F122" s="2"/>
      <c r="G122" s="20"/>
      <c r="H122" s="20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2"/>
      <c r="B123" s="12"/>
      <c r="C123" s="12"/>
      <c r="D123" s="22"/>
      <c r="E123" s="23"/>
      <c r="F123" s="2"/>
      <c r="G123" s="20"/>
      <c r="H123" s="20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2"/>
      <c r="B124" s="12"/>
      <c r="C124" s="12"/>
      <c r="D124" s="22"/>
      <c r="E124" s="23"/>
      <c r="F124" s="2"/>
      <c r="G124" s="20"/>
      <c r="H124" s="20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2"/>
      <c r="B125" s="12"/>
      <c r="C125" s="12"/>
      <c r="D125" s="22"/>
      <c r="E125" s="23"/>
      <c r="F125" s="2"/>
      <c r="G125" s="20"/>
      <c r="H125" s="20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2"/>
      <c r="B126" s="12"/>
      <c r="C126" s="12"/>
      <c r="D126" s="22"/>
      <c r="E126" s="23"/>
      <c r="F126" s="2"/>
      <c r="G126" s="20"/>
      <c r="H126" s="20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2"/>
      <c r="B127" s="12"/>
      <c r="C127" s="12"/>
      <c r="D127" s="22"/>
      <c r="E127" s="23"/>
      <c r="F127" s="2"/>
      <c r="G127" s="20"/>
      <c r="H127" s="20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2"/>
      <c r="B128" s="12"/>
      <c r="C128" s="12"/>
      <c r="D128" s="22"/>
      <c r="E128" s="23"/>
      <c r="F128" s="2"/>
      <c r="G128" s="20"/>
      <c r="H128" s="20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2"/>
      <c r="B129" s="12"/>
      <c r="C129" s="12"/>
      <c r="D129" s="22"/>
      <c r="E129" s="23"/>
      <c r="F129" s="2"/>
      <c r="G129" s="20"/>
      <c r="H129" s="20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2"/>
      <c r="B130" s="12"/>
      <c r="C130" s="12"/>
      <c r="D130" s="22"/>
      <c r="E130" s="23"/>
      <c r="F130" s="2"/>
      <c r="G130" s="20"/>
      <c r="H130" s="20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2"/>
      <c r="B131" s="12"/>
      <c r="C131" s="12"/>
      <c r="D131" s="22"/>
      <c r="E131" s="23"/>
      <c r="F131" s="2"/>
      <c r="G131" s="20"/>
      <c r="H131" s="20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2"/>
      <c r="B132" s="12"/>
      <c r="C132" s="12"/>
      <c r="D132" s="22"/>
      <c r="E132" s="23"/>
      <c r="F132" s="2"/>
      <c r="G132" s="20"/>
      <c r="H132" s="20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2"/>
      <c r="B133" s="12"/>
      <c r="C133" s="12"/>
      <c r="D133" s="22"/>
      <c r="E133" s="23"/>
      <c r="F133" s="2"/>
      <c r="G133" s="20"/>
      <c r="H133" s="20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2"/>
      <c r="B134" s="12"/>
      <c r="C134" s="12"/>
      <c r="D134" s="22"/>
      <c r="E134" s="23"/>
      <c r="F134" s="2"/>
      <c r="G134" s="20"/>
      <c r="H134" s="20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2"/>
      <c r="B135" s="12"/>
      <c r="C135" s="12"/>
      <c r="D135" s="22"/>
      <c r="E135" s="23"/>
      <c r="F135" s="2"/>
      <c r="G135" s="20"/>
      <c r="H135" s="20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2"/>
      <c r="B136" s="12"/>
      <c r="C136" s="12"/>
      <c r="D136" s="22"/>
      <c r="E136" s="23"/>
      <c r="F136" s="2"/>
      <c r="G136" s="20"/>
      <c r="H136" s="20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2"/>
      <c r="B137" s="12"/>
      <c r="C137" s="12"/>
      <c r="D137" s="22"/>
      <c r="E137" s="23"/>
      <c r="F137" s="2"/>
      <c r="G137" s="20"/>
      <c r="H137" s="20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2"/>
      <c r="B138" s="12"/>
      <c r="C138" s="12"/>
      <c r="D138" s="22"/>
      <c r="E138" s="23"/>
      <c r="F138" s="2"/>
      <c r="G138" s="20"/>
      <c r="H138" s="20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2"/>
      <c r="B139" s="12"/>
      <c r="C139" s="12"/>
      <c r="D139" s="22"/>
      <c r="E139" s="23"/>
      <c r="F139" s="2"/>
      <c r="G139" s="20"/>
      <c r="H139" s="20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2"/>
      <c r="B140" s="12"/>
      <c r="C140" s="12"/>
      <c r="D140" s="22"/>
      <c r="E140" s="23"/>
      <c r="F140" s="2"/>
      <c r="G140" s="20"/>
      <c r="H140" s="20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2"/>
      <c r="B141" s="12"/>
      <c r="C141" s="12"/>
      <c r="D141" s="22"/>
      <c r="E141" s="23"/>
      <c r="F141" s="2"/>
      <c r="G141" s="20"/>
      <c r="H141" s="20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2"/>
      <c r="B142" s="12"/>
      <c r="C142" s="12"/>
      <c r="D142" s="22"/>
      <c r="E142" s="23"/>
      <c r="F142" s="2"/>
      <c r="G142" s="20"/>
      <c r="H142" s="20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2"/>
      <c r="B143" s="12"/>
      <c r="C143" s="12"/>
      <c r="D143" s="22"/>
      <c r="E143" s="23"/>
      <c r="F143" s="2"/>
      <c r="G143" s="20"/>
      <c r="H143" s="20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2"/>
      <c r="B144" s="12"/>
      <c r="C144" s="12"/>
      <c r="D144" s="22"/>
      <c r="E144" s="23"/>
      <c r="F144" s="2"/>
      <c r="G144" s="20"/>
      <c r="H144" s="20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2"/>
      <c r="B145" s="12"/>
      <c r="C145" s="12"/>
      <c r="D145" s="22"/>
      <c r="E145" s="23"/>
      <c r="F145" s="2"/>
      <c r="G145" s="20"/>
      <c r="H145" s="20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2"/>
      <c r="B146" s="12"/>
      <c r="C146" s="12"/>
      <c r="D146" s="22"/>
      <c r="E146" s="23"/>
      <c r="F146" s="2"/>
      <c r="G146" s="20"/>
      <c r="H146" s="20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2"/>
      <c r="B147" s="12"/>
      <c r="C147" s="12"/>
      <c r="D147" s="22"/>
      <c r="E147" s="23"/>
      <c r="F147" s="2"/>
      <c r="G147" s="20"/>
      <c r="H147" s="20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2"/>
      <c r="B148" s="12"/>
      <c r="C148" s="12"/>
      <c r="D148" s="22"/>
      <c r="E148" s="23"/>
      <c r="F148" s="2"/>
      <c r="G148" s="20"/>
      <c r="H148" s="20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2"/>
      <c r="B149" s="12"/>
      <c r="C149" s="12"/>
      <c r="D149" s="22"/>
      <c r="E149" s="23"/>
      <c r="F149" s="2"/>
      <c r="G149" s="20"/>
      <c r="H149" s="20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2"/>
      <c r="B150" s="12"/>
      <c r="C150" s="12"/>
      <c r="D150" s="22"/>
      <c r="E150" s="23"/>
      <c r="F150" s="2"/>
      <c r="G150" s="20"/>
      <c r="H150" s="20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2"/>
      <c r="B151" s="12"/>
      <c r="C151" s="12"/>
      <c r="D151" s="22"/>
      <c r="E151" s="23"/>
      <c r="F151" s="2"/>
      <c r="G151" s="20"/>
      <c r="H151" s="20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2"/>
      <c r="B152" s="12"/>
      <c r="C152" s="12"/>
      <c r="D152" s="22"/>
      <c r="E152" s="23"/>
      <c r="F152" s="2"/>
      <c r="G152" s="20"/>
      <c r="H152" s="20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2"/>
      <c r="B153" s="12"/>
      <c r="C153" s="12"/>
      <c r="D153" s="22"/>
      <c r="E153" s="23"/>
      <c r="F153" s="2"/>
      <c r="G153" s="20"/>
      <c r="H153" s="20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2"/>
      <c r="B154" s="12"/>
      <c r="C154" s="12"/>
      <c r="D154" s="22"/>
      <c r="E154" s="23"/>
      <c r="F154" s="2"/>
      <c r="G154" s="20"/>
      <c r="H154" s="20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2"/>
      <c r="B155" s="12"/>
      <c r="C155" s="12"/>
      <c r="D155" s="22"/>
      <c r="E155" s="23"/>
      <c r="F155" s="2"/>
      <c r="G155" s="20"/>
      <c r="H155" s="20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2"/>
      <c r="B156" s="12"/>
      <c r="C156" s="12"/>
      <c r="D156" s="22"/>
      <c r="E156" s="23"/>
      <c r="F156" s="2"/>
      <c r="G156" s="20"/>
      <c r="H156" s="20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2"/>
      <c r="B157" s="12"/>
      <c r="C157" s="12"/>
      <c r="D157" s="22"/>
      <c r="E157" s="23"/>
      <c r="F157" s="2"/>
      <c r="G157" s="20"/>
      <c r="H157" s="20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2"/>
      <c r="B158" s="12"/>
      <c r="C158" s="12"/>
      <c r="D158" s="22"/>
      <c r="E158" s="23"/>
      <c r="F158" s="2"/>
      <c r="G158" s="20"/>
      <c r="H158" s="20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2"/>
      <c r="B159" s="12"/>
      <c r="C159" s="12"/>
      <c r="D159" s="22"/>
      <c r="E159" s="23"/>
      <c r="F159" s="2"/>
      <c r="G159" s="20"/>
      <c r="H159" s="20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2"/>
      <c r="B160" s="12"/>
      <c r="C160" s="12"/>
      <c r="D160" s="22"/>
      <c r="E160" s="23"/>
      <c r="F160" s="2"/>
      <c r="G160" s="20"/>
      <c r="H160" s="20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2"/>
      <c r="B161" s="12"/>
      <c r="C161" s="12"/>
      <c r="D161" s="22"/>
      <c r="E161" s="23"/>
      <c r="F161" s="2"/>
      <c r="G161" s="20"/>
      <c r="H161" s="20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2"/>
      <c r="B162" s="12"/>
      <c r="C162" s="12"/>
      <c r="D162" s="22"/>
      <c r="E162" s="23"/>
      <c r="F162" s="2"/>
      <c r="G162" s="20"/>
      <c r="H162" s="20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2"/>
      <c r="B163" s="12"/>
      <c r="C163" s="12"/>
      <c r="D163" s="22"/>
      <c r="E163" s="23"/>
      <c r="F163" s="2"/>
      <c r="G163" s="20"/>
      <c r="H163" s="20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2"/>
      <c r="B164" s="12"/>
      <c r="C164" s="12"/>
      <c r="D164" s="22"/>
      <c r="E164" s="23"/>
      <c r="F164" s="2"/>
      <c r="G164" s="20"/>
      <c r="H164" s="20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2"/>
      <c r="B165" s="12"/>
      <c r="C165" s="12"/>
      <c r="D165" s="22"/>
      <c r="E165" s="23"/>
      <c r="F165" s="2"/>
      <c r="G165" s="20"/>
      <c r="H165" s="20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2"/>
      <c r="B166" s="12"/>
      <c r="C166" s="12"/>
      <c r="D166" s="22"/>
      <c r="E166" s="23"/>
      <c r="F166" s="2"/>
      <c r="G166" s="20"/>
      <c r="H166" s="20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2"/>
      <c r="B167" s="12"/>
      <c r="C167" s="12"/>
      <c r="D167" s="22"/>
      <c r="E167" s="23"/>
      <c r="F167" s="2"/>
      <c r="G167" s="20"/>
      <c r="H167" s="20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2"/>
      <c r="B168" s="12"/>
      <c r="C168" s="12"/>
      <c r="D168" s="22"/>
      <c r="E168" s="23"/>
      <c r="F168" s="2"/>
      <c r="G168" s="20"/>
      <c r="H168" s="20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2"/>
      <c r="B169" s="12"/>
      <c r="C169" s="12"/>
      <c r="D169" s="22"/>
      <c r="E169" s="23"/>
      <c r="F169" s="2"/>
      <c r="G169" s="20"/>
      <c r="H169" s="20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2"/>
      <c r="B170" s="12"/>
      <c r="C170" s="12"/>
      <c r="D170" s="22"/>
      <c r="E170" s="23"/>
      <c r="F170" s="2"/>
      <c r="G170" s="20"/>
      <c r="H170" s="20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2"/>
      <c r="B171" s="12"/>
      <c r="C171" s="12"/>
      <c r="D171" s="22"/>
      <c r="E171" s="23"/>
      <c r="F171" s="2"/>
      <c r="G171" s="20"/>
      <c r="H171" s="20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2"/>
      <c r="B172" s="12"/>
      <c r="C172" s="12"/>
      <c r="D172" s="22"/>
      <c r="E172" s="23"/>
      <c r="F172" s="2"/>
      <c r="G172" s="20"/>
      <c r="H172" s="20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2"/>
      <c r="B173" s="12"/>
      <c r="C173" s="12"/>
      <c r="D173" s="22"/>
      <c r="E173" s="23"/>
      <c r="F173" s="2"/>
      <c r="G173" s="20"/>
      <c r="H173" s="20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2"/>
      <c r="B174" s="12"/>
      <c r="C174" s="12"/>
      <c r="D174" s="22"/>
      <c r="E174" s="23"/>
      <c r="F174" s="2"/>
      <c r="G174" s="20"/>
      <c r="H174" s="20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2"/>
      <c r="B175" s="12"/>
      <c r="C175" s="12"/>
      <c r="D175" s="22"/>
      <c r="E175" s="23"/>
      <c r="F175" s="2"/>
      <c r="G175" s="20"/>
      <c r="H175" s="20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2"/>
      <c r="B176" s="12"/>
      <c r="C176" s="12"/>
      <c r="D176" s="22"/>
      <c r="E176" s="23"/>
      <c r="F176" s="2"/>
      <c r="G176" s="20"/>
      <c r="H176" s="20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2"/>
      <c r="B177" s="12"/>
      <c r="C177" s="12"/>
      <c r="D177" s="22"/>
      <c r="E177" s="23"/>
      <c r="F177" s="2"/>
      <c r="G177" s="20"/>
      <c r="H177" s="20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2"/>
      <c r="B178" s="12"/>
      <c r="C178" s="12"/>
      <c r="D178" s="22"/>
      <c r="E178" s="23"/>
      <c r="F178" s="2"/>
      <c r="G178" s="20"/>
      <c r="H178" s="20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2"/>
      <c r="B179" s="12"/>
      <c r="C179" s="12"/>
      <c r="D179" s="22"/>
      <c r="E179" s="23"/>
      <c r="F179" s="2"/>
      <c r="G179" s="20"/>
      <c r="H179" s="20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2"/>
      <c r="B180" s="12"/>
      <c r="C180" s="12"/>
      <c r="D180" s="22"/>
      <c r="E180" s="23"/>
      <c r="F180" s="2"/>
      <c r="G180" s="20"/>
      <c r="H180" s="20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2"/>
      <c r="B181" s="12"/>
      <c r="C181" s="12"/>
      <c r="D181" s="22"/>
      <c r="E181" s="23"/>
      <c r="F181" s="2"/>
      <c r="G181" s="20"/>
      <c r="H181" s="20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2"/>
      <c r="B182" s="12"/>
      <c r="C182" s="12"/>
      <c r="D182" s="22"/>
      <c r="E182" s="23"/>
      <c r="F182" s="2"/>
      <c r="G182" s="20"/>
      <c r="H182" s="20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2"/>
      <c r="B183" s="12"/>
      <c r="C183" s="12"/>
      <c r="D183" s="22"/>
      <c r="E183" s="23"/>
      <c r="F183" s="2"/>
      <c r="G183" s="20"/>
      <c r="H183" s="20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2"/>
      <c r="B184" s="12"/>
      <c r="C184" s="12"/>
      <c r="D184" s="22"/>
      <c r="E184" s="23"/>
      <c r="F184" s="2"/>
      <c r="G184" s="20"/>
      <c r="H184" s="20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2"/>
      <c r="B185" s="12"/>
      <c r="C185" s="12"/>
      <c r="D185" s="22"/>
      <c r="E185" s="23"/>
      <c r="F185" s="2"/>
      <c r="G185" s="20"/>
      <c r="H185" s="20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2"/>
      <c r="B186" s="12"/>
      <c r="C186" s="12"/>
      <c r="D186" s="22"/>
      <c r="E186" s="23"/>
      <c r="F186" s="2"/>
      <c r="G186" s="20"/>
      <c r="H186" s="20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2"/>
      <c r="B187" s="12"/>
      <c r="C187" s="12"/>
      <c r="D187" s="22"/>
      <c r="E187" s="23"/>
      <c r="F187" s="2"/>
      <c r="G187" s="20"/>
      <c r="H187" s="20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2"/>
      <c r="B188" s="12"/>
      <c r="C188" s="12"/>
      <c r="D188" s="22"/>
      <c r="E188" s="23"/>
      <c r="F188" s="2"/>
      <c r="G188" s="20"/>
      <c r="H188" s="20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2"/>
      <c r="B189" s="12"/>
      <c r="C189" s="12"/>
      <c r="D189" s="22"/>
      <c r="E189" s="23"/>
      <c r="F189" s="2"/>
      <c r="G189" s="20"/>
      <c r="H189" s="20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2"/>
      <c r="B190" s="12"/>
      <c r="C190" s="12"/>
      <c r="D190" s="22"/>
      <c r="E190" s="23"/>
      <c r="F190" s="2"/>
      <c r="G190" s="20"/>
      <c r="H190" s="20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2"/>
      <c r="B191" s="12"/>
      <c r="C191" s="12"/>
      <c r="D191" s="22"/>
      <c r="E191" s="23"/>
      <c r="F191" s="2"/>
      <c r="G191" s="20"/>
      <c r="H191" s="20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2"/>
      <c r="B192" s="12"/>
      <c r="C192" s="12"/>
      <c r="D192" s="22"/>
      <c r="E192" s="23"/>
      <c r="F192" s="2"/>
      <c r="G192" s="20"/>
      <c r="H192" s="20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2"/>
      <c r="B193" s="12"/>
      <c r="C193" s="12"/>
      <c r="D193" s="22"/>
      <c r="E193" s="23"/>
      <c r="F193" s="2"/>
      <c r="G193" s="20"/>
      <c r="H193" s="20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2"/>
      <c r="B194" s="12"/>
      <c r="C194" s="12"/>
      <c r="D194" s="22"/>
      <c r="E194" s="23"/>
      <c r="F194" s="2"/>
      <c r="G194" s="20"/>
      <c r="H194" s="20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2"/>
      <c r="B195" s="12"/>
      <c r="C195" s="12"/>
      <c r="D195" s="22"/>
      <c r="E195" s="23"/>
      <c r="F195" s="2"/>
      <c r="G195" s="20"/>
      <c r="H195" s="20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2"/>
      <c r="B196" s="12"/>
      <c r="C196" s="12"/>
      <c r="D196" s="22"/>
      <c r="E196" s="23"/>
      <c r="F196" s="2"/>
      <c r="G196" s="20"/>
      <c r="H196" s="20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2"/>
      <c r="B197" s="12"/>
      <c r="C197" s="12"/>
      <c r="D197" s="22"/>
      <c r="E197" s="23"/>
      <c r="F197" s="2"/>
      <c r="G197" s="20"/>
      <c r="H197" s="20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2"/>
      <c r="B198" s="12"/>
      <c r="C198" s="12"/>
      <c r="D198" s="22"/>
      <c r="E198" s="23"/>
      <c r="F198" s="2"/>
      <c r="G198" s="20"/>
      <c r="H198" s="20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2"/>
      <c r="B199" s="12"/>
      <c r="C199" s="12"/>
      <c r="D199" s="22"/>
      <c r="E199" s="23"/>
      <c r="F199" s="2"/>
      <c r="G199" s="20"/>
      <c r="H199" s="20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2"/>
      <c r="B200" s="12"/>
      <c r="C200" s="12"/>
      <c r="D200" s="22"/>
      <c r="E200" s="23"/>
      <c r="F200" s="2"/>
      <c r="G200" s="20"/>
      <c r="H200" s="20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2"/>
      <c r="B201" s="12"/>
      <c r="C201" s="12"/>
      <c r="D201" s="22"/>
      <c r="E201" s="23"/>
      <c r="F201" s="2"/>
      <c r="G201" s="20"/>
      <c r="H201" s="20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2"/>
      <c r="B202" s="12"/>
      <c r="C202" s="12"/>
      <c r="D202" s="22"/>
      <c r="E202" s="23"/>
      <c r="F202" s="2"/>
      <c r="G202" s="20"/>
      <c r="H202" s="20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2"/>
      <c r="B203" s="12"/>
      <c r="C203" s="12"/>
      <c r="D203" s="22"/>
      <c r="E203" s="23"/>
      <c r="F203" s="2"/>
      <c r="G203" s="20"/>
      <c r="H203" s="20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2"/>
      <c r="B204" s="12"/>
      <c r="C204" s="12"/>
      <c r="D204" s="22"/>
      <c r="E204" s="23"/>
      <c r="F204" s="2"/>
      <c r="G204" s="20"/>
      <c r="H204" s="20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2"/>
      <c r="B205" s="12"/>
      <c r="C205" s="12"/>
      <c r="D205" s="22"/>
      <c r="E205" s="23"/>
      <c r="F205" s="2"/>
      <c r="G205" s="20"/>
      <c r="H205" s="20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2"/>
      <c r="B206" s="12"/>
      <c r="C206" s="12"/>
      <c r="D206" s="22"/>
      <c r="E206" s="23"/>
      <c r="F206" s="2"/>
      <c r="G206" s="20"/>
      <c r="H206" s="20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2"/>
      <c r="B207" s="12"/>
      <c r="C207" s="12"/>
      <c r="D207" s="22"/>
      <c r="E207" s="23"/>
      <c r="F207" s="2"/>
      <c r="G207" s="20"/>
      <c r="H207" s="20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2"/>
      <c r="B208" s="12"/>
      <c r="C208" s="12"/>
      <c r="D208" s="22"/>
      <c r="E208" s="23"/>
      <c r="F208" s="2"/>
      <c r="G208" s="20"/>
      <c r="H208" s="20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2"/>
      <c r="B209" s="12"/>
      <c r="C209" s="12"/>
      <c r="D209" s="22"/>
      <c r="E209" s="23"/>
      <c r="F209" s="2"/>
      <c r="G209" s="20"/>
      <c r="H209" s="20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2"/>
      <c r="B210" s="12"/>
      <c r="C210" s="12"/>
      <c r="D210" s="22"/>
      <c r="E210" s="23"/>
      <c r="F210" s="2"/>
      <c r="G210" s="20"/>
      <c r="H210" s="20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2"/>
      <c r="B211" s="12"/>
      <c r="C211" s="12"/>
      <c r="D211" s="22"/>
      <c r="E211" s="23"/>
      <c r="F211" s="2"/>
      <c r="G211" s="20"/>
      <c r="H211" s="20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2"/>
      <c r="B212" s="12"/>
      <c r="C212" s="12"/>
      <c r="D212" s="22"/>
      <c r="E212" s="23"/>
      <c r="F212" s="2"/>
      <c r="G212" s="20"/>
      <c r="H212" s="20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2"/>
      <c r="B213" s="12"/>
      <c r="C213" s="12"/>
      <c r="D213" s="22"/>
      <c r="E213" s="23"/>
      <c r="F213" s="2"/>
      <c r="G213" s="20"/>
      <c r="H213" s="20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2"/>
      <c r="B214" s="12"/>
      <c r="C214" s="12"/>
      <c r="D214" s="22"/>
      <c r="E214" s="23"/>
      <c r="F214" s="2"/>
      <c r="G214" s="20"/>
      <c r="H214" s="20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2"/>
      <c r="B215" s="12"/>
      <c r="C215" s="12"/>
      <c r="D215" s="22"/>
      <c r="E215" s="23"/>
      <c r="F215" s="2"/>
      <c r="G215" s="20"/>
      <c r="H215" s="20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2"/>
      <c r="B216" s="12"/>
      <c r="C216" s="12"/>
      <c r="D216" s="22"/>
      <c r="E216" s="23"/>
      <c r="F216" s="2"/>
      <c r="G216" s="20"/>
      <c r="H216" s="20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2"/>
      <c r="B217" s="12"/>
      <c r="C217" s="12"/>
      <c r="D217" s="22"/>
      <c r="E217" s="23"/>
      <c r="F217" s="2"/>
      <c r="G217" s="20"/>
      <c r="H217" s="20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2"/>
      <c r="B218" s="12"/>
      <c r="C218" s="12"/>
      <c r="D218" s="22"/>
      <c r="E218" s="23"/>
      <c r="F218" s="2"/>
      <c r="G218" s="20"/>
      <c r="H218" s="20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2"/>
      <c r="B219" s="12"/>
      <c r="C219" s="12"/>
      <c r="D219" s="22"/>
      <c r="E219" s="23"/>
      <c r="F219" s="2"/>
      <c r="G219" s="20"/>
      <c r="H219" s="20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2"/>
      <c r="B220" s="12"/>
      <c r="C220" s="12"/>
      <c r="D220" s="22"/>
      <c r="E220" s="23"/>
      <c r="F220" s="2"/>
      <c r="G220" s="20"/>
      <c r="H220" s="20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2"/>
      <c r="B221" s="12"/>
      <c r="C221" s="12"/>
      <c r="D221" s="22"/>
      <c r="E221" s="23"/>
      <c r="F221" s="2"/>
      <c r="G221" s="20"/>
      <c r="H221" s="20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2"/>
      <c r="B222" s="12"/>
      <c r="C222" s="12"/>
      <c r="D222" s="22"/>
      <c r="E222" s="23"/>
      <c r="F222" s="2"/>
      <c r="G222" s="20"/>
      <c r="H222" s="20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2"/>
      <c r="B223" s="12"/>
      <c r="C223" s="12"/>
      <c r="D223" s="22"/>
      <c r="E223" s="23"/>
      <c r="F223" s="2"/>
      <c r="G223" s="20"/>
      <c r="H223" s="20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2"/>
      <c r="B224" s="12"/>
      <c r="C224" s="12"/>
      <c r="D224" s="22"/>
      <c r="E224" s="23"/>
      <c r="F224" s="2"/>
      <c r="G224" s="20"/>
      <c r="H224" s="20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2"/>
      <c r="B225" s="12"/>
      <c r="C225" s="12"/>
      <c r="D225" s="22"/>
      <c r="E225" s="23"/>
      <c r="F225" s="2"/>
      <c r="G225" s="20"/>
      <c r="H225" s="20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2"/>
      <c r="B226" s="12"/>
      <c r="C226" s="12"/>
      <c r="D226" s="22"/>
      <c r="E226" s="23"/>
      <c r="F226" s="2"/>
      <c r="G226" s="20"/>
      <c r="H226" s="20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2"/>
      <c r="B227" s="12"/>
      <c r="C227" s="12"/>
      <c r="D227" s="22"/>
      <c r="E227" s="23"/>
      <c r="F227" s="2"/>
      <c r="G227" s="20"/>
      <c r="H227" s="20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2"/>
      <c r="B228" s="12"/>
      <c r="C228" s="12"/>
      <c r="D228" s="22"/>
      <c r="E228" s="23"/>
      <c r="F228" s="2"/>
      <c r="G228" s="20"/>
      <c r="H228" s="20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2"/>
      <c r="B229" s="12"/>
      <c r="C229" s="12"/>
      <c r="D229" s="22"/>
      <c r="E229" s="23"/>
      <c r="F229" s="2"/>
      <c r="G229" s="20"/>
      <c r="H229" s="20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2"/>
      <c r="B230" s="12"/>
      <c r="C230" s="12"/>
      <c r="D230" s="22"/>
      <c r="E230" s="23"/>
      <c r="F230" s="2"/>
      <c r="G230" s="20"/>
      <c r="H230" s="20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2"/>
      <c r="B231" s="12"/>
      <c r="C231" s="12"/>
      <c r="D231" s="22"/>
      <c r="E231" s="23"/>
      <c r="F231" s="2"/>
      <c r="G231" s="20"/>
      <c r="H231" s="20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2"/>
      <c r="B232" s="12"/>
      <c r="C232" s="12"/>
      <c r="D232" s="22"/>
      <c r="E232" s="23"/>
      <c r="F232" s="2"/>
      <c r="G232" s="20"/>
      <c r="H232" s="20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2"/>
      <c r="B233" s="12"/>
      <c r="C233" s="12"/>
      <c r="D233" s="22"/>
      <c r="E233" s="23"/>
      <c r="F233" s="2"/>
      <c r="G233" s="20"/>
      <c r="H233" s="20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2"/>
      <c r="B234" s="12"/>
      <c r="C234" s="12"/>
      <c r="D234" s="22"/>
      <c r="E234" s="23"/>
      <c r="F234" s="2"/>
      <c r="G234" s="20"/>
      <c r="H234" s="20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2"/>
      <c r="B235" s="12"/>
      <c r="C235" s="12"/>
      <c r="D235" s="22"/>
      <c r="E235" s="23"/>
      <c r="F235" s="2"/>
      <c r="G235" s="20"/>
      <c r="H235" s="20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2"/>
      <c r="B236" s="12"/>
      <c r="C236" s="12"/>
      <c r="D236" s="22"/>
      <c r="E236" s="23"/>
      <c r="F236" s="2"/>
      <c r="G236" s="20"/>
      <c r="H236" s="20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2"/>
      <c r="B237" s="12"/>
      <c r="C237" s="12"/>
      <c r="D237" s="22"/>
      <c r="E237" s="23"/>
      <c r="F237" s="2"/>
      <c r="G237" s="20"/>
      <c r="H237" s="20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2"/>
      <c r="B238" s="12"/>
      <c r="C238" s="12"/>
      <c r="D238" s="22"/>
      <c r="E238" s="23"/>
      <c r="F238" s="2"/>
      <c r="G238" s="20"/>
      <c r="H238" s="20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2"/>
      <c r="B239" s="12"/>
      <c r="C239" s="12"/>
      <c r="D239" s="22"/>
      <c r="E239" s="23"/>
      <c r="F239" s="2"/>
      <c r="G239" s="20"/>
      <c r="H239" s="20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2"/>
      <c r="B240" s="12"/>
      <c r="C240" s="12"/>
      <c r="D240" s="22"/>
      <c r="E240" s="23"/>
      <c r="F240" s="2"/>
      <c r="G240" s="20"/>
      <c r="H240" s="20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2"/>
      <c r="B241" s="12"/>
      <c r="C241" s="12"/>
      <c r="D241" s="22"/>
      <c r="E241" s="23"/>
      <c r="F241" s="2"/>
      <c r="G241" s="20"/>
      <c r="H241" s="20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2"/>
      <c r="B242" s="12"/>
      <c r="C242" s="12"/>
      <c r="D242" s="22"/>
      <c r="E242" s="23"/>
      <c r="F242" s="2"/>
      <c r="G242" s="20"/>
      <c r="H242" s="20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2"/>
      <c r="B243" s="12"/>
      <c r="C243" s="12"/>
      <c r="D243" s="22"/>
      <c r="E243" s="23"/>
      <c r="F243" s="2"/>
      <c r="G243" s="20"/>
      <c r="H243" s="20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2"/>
      <c r="B244" s="12"/>
      <c r="C244" s="12"/>
      <c r="D244" s="22"/>
      <c r="E244" s="23"/>
      <c r="F244" s="2"/>
      <c r="G244" s="20"/>
      <c r="H244" s="20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2"/>
      <c r="B245" s="12"/>
      <c r="C245" s="12"/>
      <c r="D245" s="22"/>
      <c r="E245" s="23"/>
      <c r="F245" s="2"/>
      <c r="G245" s="20"/>
      <c r="H245" s="20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2"/>
      <c r="B246" s="12"/>
      <c r="C246" s="12"/>
      <c r="D246" s="22"/>
      <c r="E246" s="23"/>
      <c r="F246" s="2"/>
      <c r="G246" s="20"/>
      <c r="H246" s="20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2"/>
      <c r="B247" s="12"/>
      <c r="C247" s="12"/>
      <c r="D247" s="22"/>
      <c r="E247" s="23"/>
      <c r="F247" s="2"/>
      <c r="G247" s="20"/>
      <c r="H247" s="20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2"/>
      <c r="B248" s="12"/>
      <c r="C248" s="12"/>
      <c r="D248" s="22"/>
      <c r="E248" s="23"/>
      <c r="F248" s="2"/>
      <c r="G248" s="20"/>
      <c r="H248" s="20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2"/>
      <c r="B249" s="12"/>
      <c r="C249" s="12"/>
      <c r="D249" s="22"/>
      <c r="E249" s="23"/>
      <c r="F249" s="2"/>
      <c r="G249" s="20"/>
      <c r="H249" s="20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2"/>
      <c r="B250" s="12"/>
      <c r="C250" s="12"/>
      <c r="D250" s="22"/>
      <c r="E250" s="23"/>
      <c r="F250" s="2"/>
      <c r="G250" s="20"/>
      <c r="H250" s="20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2"/>
      <c r="B251" s="12"/>
      <c r="C251" s="12"/>
      <c r="D251" s="22"/>
      <c r="E251" s="23"/>
      <c r="F251" s="2"/>
      <c r="G251" s="20"/>
      <c r="H251" s="20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2"/>
      <c r="B252" s="12"/>
      <c r="C252" s="12"/>
      <c r="D252" s="22"/>
      <c r="E252" s="23"/>
      <c r="F252" s="2"/>
      <c r="G252" s="20"/>
      <c r="H252" s="20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2"/>
      <c r="B253" s="12"/>
      <c r="C253" s="12"/>
      <c r="D253" s="22"/>
      <c r="E253" s="23"/>
      <c r="F253" s="2"/>
      <c r="G253" s="20"/>
      <c r="H253" s="20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2"/>
      <c r="B254" s="12"/>
      <c r="C254" s="12"/>
      <c r="D254" s="22"/>
      <c r="E254" s="23"/>
      <c r="F254" s="2"/>
      <c r="G254" s="20"/>
      <c r="H254" s="20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2"/>
      <c r="B255" s="12"/>
      <c r="C255" s="12"/>
      <c r="D255" s="22"/>
      <c r="E255" s="23"/>
      <c r="F255" s="2"/>
      <c r="G255" s="20"/>
      <c r="H255" s="20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2"/>
      <c r="B256" s="12"/>
      <c r="C256" s="12"/>
      <c r="D256" s="22"/>
      <c r="E256" s="23"/>
      <c r="F256" s="2"/>
      <c r="G256" s="20"/>
      <c r="H256" s="20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2"/>
      <c r="B257" s="12"/>
      <c r="C257" s="12"/>
      <c r="D257" s="22"/>
      <c r="E257" s="23"/>
      <c r="F257" s="2"/>
      <c r="G257" s="20"/>
      <c r="H257" s="20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2"/>
      <c r="B258" s="12"/>
      <c r="C258" s="12"/>
      <c r="D258" s="22"/>
      <c r="E258" s="23"/>
      <c r="F258" s="2"/>
      <c r="G258" s="20"/>
      <c r="H258" s="20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2"/>
      <c r="B259" s="12"/>
      <c r="C259" s="12"/>
      <c r="D259" s="22"/>
      <c r="E259" s="23"/>
      <c r="F259" s="2"/>
      <c r="G259" s="20"/>
      <c r="H259" s="20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2"/>
      <c r="B260" s="12"/>
      <c r="C260" s="12"/>
      <c r="D260" s="22"/>
      <c r="E260" s="23"/>
      <c r="F260" s="2"/>
      <c r="G260" s="20"/>
      <c r="H260" s="20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2"/>
      <c r="B261" s="12"/>
      <c r="C261" s="12"/>
      <c r="D261" s="22"/>
      <c r="E261" s="23"/>
      <c r="F261" s="2"/>
      <c r="G261" s="20"/>
      <c r="H261" s="20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2"/>
      <c r="B262" s="12"/>
      <c r="C262" s="12"/>
      <c r="D262" s="22"/>
      <c r="E262" s="23"/>
      <c r="F262" s="2"/>
      <c r="G262" s="20"/>
      <c r="H262" s="20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2"/>
      <c r="B263" s="12"/>
      <c r="C263" s="12"/>
      <c r="D263" s="22"/>
      <c r="E263" s="23"/>
      <c r="F263" s="2"/>
      <c r="G263" s="20"/>
      <c r="H263" s="20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2"/>
      <c r="B264" s="12"/>
      <c r="C264" s="12"/>
      <c r="D264" s="22"/>
      <c r="E264" s="23"/>
      <c r="F264" s="2"/>
      <c r="G264" s="20"/>
      <c r="H264" s="20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2"/>
      <c r="B265" s="12"/>
      <c r="C265" s="12"/>
      <c r="D265" s="22"/>
      <c r="E265" s="23"/>
      <c r="F265" s="2"/>
      <c r="G265" s="20"/>
      <c r="H265" s="20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2"/>
      <c r="B266" s="12"/>
      <c r="C266" s="12"/>
      <c r="D266" s="22"/>
      <c r="E266" s="23"/>
      <c r="F266" s="2"/>
      <c r="G266" s="20"/>
      <c r="H266" s="20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2"/>
      <c r="B267" s="12"/>
      <c r="C267" s="12"/>
      <c r="D267" s="22"/>
      <c r="E267" s="23"/>
      <c r="F267" s="2"/>
      <c r="G267" s="20"/>
      <c r="H267" s="20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2"/>
      <c r="B268" s="12"/>
      <c r="C268" s="12"/>
      <c r="D268" s="22"/>
      <c r="E268" s="23"/>
      <c r="F268" s="2"/>
      <c r="G268" s="20"/>
      <c r="H268" s="20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2"/>
      <c r="B269" s="12"/>
      <c r="C269" s="12"/>
      <c r="D269" s="22"/>
      <c r="E269" s="23"/>
      <c r="F269" s="2"/>
      <c r="G269" s="20"/>
      <c r="H269" s="20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2"/>
      <c r="B270" s="12"/>
      <c r="C270" s="12"/>
      <c r="D270" s="22"/>
      <c r="E270" s="23"/>
      <c r="F270" s="2"/>
      <c r="G270" s="20"/>
      <c r="H270" s="20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2"/>
      <c r="B271" s="12"/>
      <c r="C271" s="12"/>
      <c r="D271" s="22"/>
      <c r="E271" s="23"/>
      <c r="F271" s="2"/>
      <c r="G271" s="20"/>
      <c r="H271" s="20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2"/>
      <c r="B272" s="12"/>
      <c r="C272" s="12"/>
      <c r="D272" s="22"/>
      <c r="E272" s="23"/>
      <c r="F272" s="2"/>
      <c r="G272" s="20"/>
      <c r="H272" s="20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2"/>
      <c r="B273" s="12"/>
      <c r="C273" s="12"/>
      <c r="D273" s="22"/>
      <c r="E273" s="23"/>
      <c r="F273" s="2"/>
      <c r="G273" s="20"/>
      <c r="H273" s="20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2"/>
      <c r="B274" s="12"/>
      <c r="C274" s="12"/>
      <c r="D274" s="22"/>
      <c r="E274" s="23"/>
      <c r="F274" s="2"/>
      <c r="G274" s="20"/>
      <c r="H274" s="20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2"/>
      <c r="B275" s="12"/>
      <c r="C275" s="12"/>
      <c r="D275" s="22"/>
      <c r="E275" s="23"/>
      <c r="F275" s="2"/>
      <c r="G275" s="20"/>
      <c r="H275" s="20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2"/>
      <c r="B276" s="12"/>
      <c r="C276" s="12"/>
      <c r="D276" s="22"/>
      <c r="E276" s="23"/>
      <c r="F276" s="2"/>
      <c r="G276" s="20"/>
      <c r="H276" s="20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2"/>
      <c r="B277" s="12"/>
      <c r="C277" s="12"/>
      <c r="D277" s="22"/>
      <c r="E277" s="23"/>
      <c r="F277" s="2"/>
      <c r="G277" s="20"/>
      <c r="H277" s="20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2"/>
      <c r="B278" s="12"/>
      <c r="C278" s="12"/>
      <c r="D278" s="22"/>
      <c r="E278" s="23"/>
      <c r="F278" s="2"/>
      <c r="G278" s="20"/>
      <c r="H278" s="20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2"/>
      <c r="B279" s="12"/>
      <c r="C279" s="12"/>
      <c r="D279" s="22"/>
      <c r="E279" s="23"/>
      <c r="F279" s="2"/>
      <c r="G279" s="20"/>
      <c r="H279" s="20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2"/>
      <c r="B280" s="12"/>
      <c r="C280" s="12"/>
      <c r="D280" s="22"/>
      <c r="E280" s="23"/>
      <c r="F280" s="2"/>
      <c r="G280" s="20"/>
      <c r="H280" s="20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2"/>
      <c r="B281" s="12"/>
      <c r="C281" s="12"/>
      <c r="D281" s="22"/>
      <c r="E281" s="23"/>
      <c r="F281" s="2"/>
      <c r="G281" s="20"/>
      <c r="H281" s="20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2"/>
      <c r="B282" s="12"/>
      <c r="C282" s="12"/>
      <c r="D282" s="22"/>
      <c r="E282" s="23"/>
      <c r="F282" s="2"/>
      <c r="G282" s="20"/>
      <c r="H282" s="20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2"/>
      <c r="B283" s="12"/>
      <c r="C283" s="12"/>
      <c r="D283" s="22"/>
      <c r="E283" s="23"/>
      <c r="F283" s="2"/>
      <c r="G283" s="20"/>
      <c r="H283" s="20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2"/>
      <c r="B284" s="12"/>
      <c r="C284" s="12"/>
      <c r="D284" s="22"/>
      <c r="E284" s="23"/>
      <c r="F284" s="2"/>
      <c r="G284" s="20"/>
      <c r="H284" s="20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2"/>
      <c r="B285" s="12"/>
      <c r="C285" s="12"/>
      <c r="D285" s="22"/>
      <c r="E285" s="23"/>
      <c r="F285" s="2"/>
      <c r="G285" s="20"/>
      <c r="H285" s="20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2"/>
      <c r="B286" s="12"/>
      <c r="C286" s="12"/>
      <c r="D286" s="22"/>
      <c r="E286" s="23"/>
      <c r="F286" s="2"/>
      <c r="G286" s="20"/>
      <c r="H286" s="20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2"/>
      <c r="B287" s="12"/>
      <c r="C287" s="12"/>
      <c r="D287" s="22"/>
      <c r="E287" s="23"/>
      <c r="F287" s="2"/>
      <c r="G287" s="20"/>
      <c r="H287" s="20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2"/>
      <c r="B288" s="12"/>
      <c r="C288" s="12"/>
      <c r="D288" s="22"/>
      <c r="E288" s="23"/>
      <c r="F288" s="2"/>
      <c r="G288" s="20"/>
      <c r="H288" s="20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2"/>
      <c r="B289" s="12"/>
      <c r="C289" s="12"/>
      <c r="D289" s="22"/>
      <c r="E289" s="23"/>
      <c r="F289" s="2"/>
      <c r="G289" s="20"/>
      <c r="H289" s="20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2"/>
      <c r="B290" s="12"/>
      <c r="C290" s="12"/>
      <c r="D290" s="22"/>
      <c r="E290" s="23"/>
      <c r="F290" s="2"/>
      <c r="G290" s="20"/>
      <c r="H290" s="20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2"/>
      <c r="B291" s="12"/>
      <c r="C291" s="12"/>
      <c r="D291" s="22"/>
      <c r="E291" s="23"/>
      <c r="F291" s="2"/>
      <c r="G291" s="20"/>
      <c r="H291" s="20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2"/>
      <c r="B292" s="12"/>
      <c r="C292" s="12"/>
      <c r="D292" s="22"/>
      <c r="E292" s="23"/>
      <c r="F292" s="2"/>
      <c r="G292" s="20"/>
      <c r="H292" s="20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2"/>
      <c r="B293" s="12"/>
      <c r="C293" s="12"/>
      <c r="D293" s="22"/>
      <c r="E293" s="23"/>
      <c r="F293" s="2"/>
      <c r="G293" s="20"/>
      <c r="H293" s="20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2"/>
      <c r="B294" s="12"/>
      <c r="C294" s="12"/>
      <c r="D294" s="22"/>
      <c r="E294" s="23"/>
      <c r="F294" s="2"/>
      <c r="G294" s="20"/>
      <c r="H294" s="20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2"/>
      <c r="B295" s="12"/>
      <c r="C295" s="12"/>
      <c r="D295" s="22"/>
      <c r="E295" s="23"/>
      <c r="F295" s="2"/>
      <c r="G295" s="20"/>
      <c r="H295" s="20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2"/>
      <c r="B296" s="12"/>
      <c r="C296" s="12"/>
      <c r="D296" s="22"/>
      <c r="E296" s="23"/>
      <c r="F296" s="2"/>
      <c r="G296" s="20"/>
      <c r="H296" s="20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2"/>
      <c r="B297" s="12"/>
      <c r="C297" s="12"/>
      <c r="D297" s="22"/>
      <c r="E297" s="23"/>
      <c r="F297" s="2"/>
      <c r="G297" s="20"/>
      <c r="H297" s="20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2"/>
      <c r="B298" s="12"/>
      <c r="C298" s="12"/>
      <c r="D298" s="22"/>
      <c r="E298" s="23"/>
      <c r="F298" s="2"/>
      <c r="G298" s="20"/>
      <c r="H298" s="20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2"/>
      <c r="B299" s="12"/>
      <c r="C299" s="12"/>
      <c r="D299" s="22"/>
      <c r="E299" s="23"/>
      <c r="F299" s="2"/>
      <c r="G299" s="20"/>
      <c r="H299" s="20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2"/>
      <c r="B300" s="12"/>
      <c r="C300" s="12"/>
      <c r="D300" s="22"/>
      <c r="E300" s="23"/>
      <c r="F300" s="2"/>
      <c r="G300" s="20"/>
      <c r="H300" s="20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2"/>
      <c r="B301" s="12"/>
      <c r="C301" s="12"/>
      <c r="D301" s="22"/>
      <c r="E301" s="23"/>
      <c r="F301" s="2"/>
      <c r="G301" s="20"/>
      <c r="H301" s="20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4"/>
    </row>
    <row r="305">
      <c r="D305" s="24"/>
    </row>
    <row r="306">
      <c r="D306" s="24"/>
    </row>
    <row r="307">
      <c r="D307" s="24"/>
    </row>
    <row r="308">
      <c r="D308" s="24"/>
    </row>
    <row r="309">
      <c r="D309" s="24"/>
    </row>
    <row r="310">
      <c r="D310" s="24"/>
    </row>
    <row r="311">
      <c r="D311" s="24"/>
    </row>
    <row r="312">
      <c r="D312" s="24"/>
    </row>
    <row r="313">
      <c r="D313" s="24"/>
    </row>
    <row r="314">
      <c r="D314" s="24"/>
    </row>
    <row r="315">
      <c r="D315" s="24"/>
    </row>
    <row r="316">
      <c r="D316" s="24"/>
    </row>
    <row r="317">
      <c r="D317" s="24"/>
    </row>
    <row r="318">
      <c r="D318" s="24"/>
    </row>
    <row r="319">
      <c r="D319" s="24"/>
    </row>
    <row r="320">
      <c r="D320" s="24"/>
    </row>
    <row r="321">
      <c r="D321" s="24"/>
    </row>
    <row r="322">
      <c r="D322" s="24"/>
    </row>
    <row r="323">
      <c r="D323" s="24"/>
    </row>
    <row r="324">
      <c r="D324" s="24"/>
    </row>
    <row r="325">
      <c r="D325" s="24"/>
    </row>
    <row r="326">
      <c r="D326" s="24"/>
    </row>
    <row r="327">
      <c r="D327" s="24"/>
    </row>
    <row r="328">
      <c r="D328" s="24"/>
    </row>
    <row r="329">
      <c r="D329" s="24"/>
    </row>
    <row r="330">
      <c r="D330" s="24"/>
    </row>
    <row r="331">
      <c r="D331" s="24"/>
    </row>
    <row r="332">
      <c r="D332" s="24"/>
    </row>
    <row r="333">
      <c r="D333" s="24"/>
    </row>
    <row r="334">
      <c r="D334" s="24"/>
    </row>
    <row r="335">
      <c r="D335" s="24"/>
    </row>
    <row r="336">
      <c r="D336" s="24"/>
    </row>
    <row r="337">
      <c r="D337" s="24"/>
    </row>
    <row r="338">
      <c r="D338" s="24"/>
    </row>
    <row r="339">
      <c r="D339" s="24"/>
    </row>
    <row r="340">
      <c r="D340" s="24"/>
    </row>
    <row r="341">
      <c r="D341" s="24"/>
    </row>
    <row r="342">
      <c r="D342" s="24"/>
    </row>
    <row r="343">
      <c r="D343" s="24"/>
    </row>
    <row r="344">
      <c r="D344" s="24"/>
    </row>
    <row r="345">
      <c r="D345" s="24"/>
    </row>
    <row r="346">
      <c r="D346" s="24"/>
    </row>
    <row r="347">
      <c r="D347" s="24"/>
    </row>
    <row r="348">
      <c r="D348" s="24"/>
    </row>
    <row r="349">
      <c r="D349" s="24"/>
    </row>
    <row r="350">
      <c r="D350" s="24"/>
    </row>
    <row r="351">
      <c r="D351" s="24"/>
    </row>
    <row r="352">
      <c r="D352" s="24"/>
    </row>
    <row r="353">
      <c r="D353" s="24"/>
    </row>
    <row r="354">
      <c r="D354" s="24"/>
    </row>
    <row r="355">
      <c r="D355" s="24"/>
    </row>
    <row r="356">
      <c r="D356" s="24"/>
    </row>
    <row r="357">
      <c r="D357" s="24"/>
    </row>
    <row r="358">
      <c r="D358" s="24"/>
    </row>
    <row r="359">
      <c r="D359" s="24"/>
    </row>
    <row r="360">
      <c r="D360" s="24"/>
    </row>
    <row r="361">
      <c r="D361" s="24"/>
    </row>
    <row r="362">
      <c r="D362" s="24"/>
    </row>
    <row r="363">
      <c r="D363" s="24"/>
    </row>
    <row r="364">
      <c r="D364" s="24"/>
    </row>
    <row r="365">
      <c r="D365" s="24"/>
    </row>
    <row r="366">
      <c r="D366" s="24"/>
    </row>
    <row r="367">
      <c r="D367" s="24"/>
    </row>
    <row r="368">
      <c r="D368" s="24"/>
    </row>
    <row r="369">
      <c r="D369" s="24"/>
    </row>
    <row r="370">
      <c r="D370" s="24"/>
    </row>
    <row r="371">
      <c r="D371" s="24"/>
    </row>
    <row r="372">
      <c r="D372" s="24"/>
    </row>
    <row r="373">
      <c r="D373" s="24"/>
    </row>
    <row r="374">
      <c r="D374" s="24"/>
    </row>
    <row r="375">
      <c r="D375" s="24"/>
    </row>
    <row r="376">
      <c r="D376" s="24"/>
    </row>
    <row r="377">
      <c r="D377" s="24"/>
    </row>
    <row r="378">
      <c r="D378" s="24"/>
    </row>
    <row r="379">
      <c r="D379" s="24"/>
    </row>
    <row r="380">
      <c r="D380" s="24"/>
    </row>
    <row r="381">
      <c r="D381" s="24"/>
    </row>
    <row r="382">
      <c r="D382" s="24"/>
    </row>
    <row r="383">
      <c r="D383" s="24"/>
    </row>
    <row r="384">
      <c r="D384" s="24"/>
    </row>
    <row r="385">
      <c r="D385" s="24"/>
    </row>
    <row r="386">
      <c r="D386" s="24"/>
    </row>
    <row r="387">
      <c r="D387" s="24"/>
    </row>
    <row r="388">
      <c r="D388" s="24"/>
    </row>
    <row r="389">
      <c r="D389" s="24"/>
    </row>
    <row r="390">
      <c r="D390" s="24"/>
    </row>
    <row r="391">
      <c r="D391" s="24"/>
    </row>
    <row r="392">
      <c r="D392" s="24"/>
    </row>
    <row r="393">
      <c r="D393" s="24"/>
    </row>
    <row r="394">
      <c r="D394" s="24"/>
    </row>
    <row r="395">
      <c r="D395" s="24"/>
    </row>
    <row r="396">
      <c r="D396" s="24"/>
    </row>
    <row r="397">
      <c r="D397" s="24"/>
    </row>
    <row r="398">
      <c r="D398" s="24"/>
    </row>
    <row r="399">
      <c r="D399" s="24"/>
    </row>
    <row r="400">
      <c r="D400" s="24"/>
    </row>
    <row r="401">
      <c r="D401" s="24"/>
    </row>
    <row r="402">
      <c r="D402" s="24"/>
    </row>
    <row r="403">
      <c r="D403" s="24"/>
    </row>
    <row r="404">
      <c r="D404" s="24"/>
    </row>
    <row r="405">
      <c r="D405" s="24"/>
    </row>
    <row r="406">
      <c r="D406" s="24"/>
    </row>
    <row r="407">
      <c r="D407" s="24"/>
    </row>
    <row r="408">
      <c r="D408" s="24"/>
    </row>
    <row r="409">
      <c r="D409" s="24"/>
    </row>
    <row r="410">
      <c r="D410" s="24"/>
    </row>
    <row r="411">
      <c r="D411" s="24"/>
    </row>
    <row r="412">
      <c r="D412" s="24"/>
    </row>
    <row r="413">
      <c r="D413" s="24"/>
    </row>
    <row r="414">
      <c r="D414" s="24"/>
    </row>
    <row r="415">
      <c r="D415" s="24"/>
    </row>
    <row r="416">
      <c r="D416" s="24"/>
    </row>
    <row r="417">
      <c r="D417" s="24"/>
    </row>
    <row r="418">
      <c r="D418" s="24"/>
    </row>
    <row r="419">
      <c r="D419" s="24"/>
    </row>
    <row r="420">
      <c r="D420" s="24"/>
    </row>
    <row r="421">
      <c r="D421" s="24"/>
    </row>
    <row r="422">
      <c r="D422" s="24"/>
    </row>
    <row r="423">
      <c r="D423" s="24"/>
    </row>
    <row r="424">
      <c r="D424" s="24"/>
    </row>
    <row r="425">
      <c r="D425" s="24"/>
    </row>
    <row r="426">
      <c r="D426" s="24"/>
    </row>
    <row r="427">
      <c r="D427" s="24"/>
    </row>
    <row r="428">
      <c r="D428" s="24"/>
    </row>
    <row r="429">
      <c r="D429" s="24"/>
    </row>
    <row r="430">
      <c r="D430" s="24"/>
    </row>
    <row r="431">
      <c r="D431" s="24"/>
    </row>
    <row r="432">
      <c r="D432" s="24"/>
    </row>
    <row r="433">
      <c r="D433" s="24"/>
    </row>
    <row r="434">
      <c r="D434" s="24"/>
    </row>
    <row r="435">
      <c r="D435" s="24"/>
    </row>
    <row r="436">
      <c r="D436" s="24"/>
    </row>
    <row r="437">
      <c r="D437" s="24"/>
    </row>
    <row r="438">
      <c r="D438" s="24"/>
    </row>
    <row r="439">
      <c r="D439" s="24"/>
    </row>
    <row r="440">
      <c r="D440" s="24"/>
    </row>
    <row r="441">
      <c r="D441" s="24"/>
    </row>
    <row r="442">
      <c r="D442" s="24"/>
    </row>
    <row r="443">
      <c r="D443" s="24"/>
    </row>
    <row r="444">
      <c r="D444" s="24"/>
    </row>
    <row r="445">
      <c r="D445" s="24"/>
    </row>
    <row r="446">
      <c r="D446" s="24"/>
    </row>
    <row r="447">
      <c r="D447" s="24"/>
    </row>
    <row r="448">
      <c r="D448" s="24"/>
    </row>
    <row r="449">
      <c r="D449" s="24"/>
    </row>
    <row r="450">
      <c r="D450" s="24"/>
    </row>
    <row r="451">
      <c r="D451" s="24"/>
    </row>
    <row r="452">
      <c r="D452" s="24"/>
    </row>
    <row r="453">
      <c r="D453" s="24"/>
    </row>
    <row r="454">
      <c r="D454" s="24"/>
    </row>
    <row r="455">
      <c r="D455" s="24"/>
    </row>
    <row r="456">
      <c r="D456" s="24"/>
    </row>
    <row r="457">
      <c r="D457" s="24"/>
    </row>
    <row r="458">
      <c r="D458" s="24"/>
    </row>
    <row r="459">
      <c r="D459" s="24"/>
    </row>
    <row r="460">
      <c r="D460" s="24"/>
    </row>
    <row r="461">
      <c r="D461" s="24"/>
    </row>
    <row r="462">
      <c r="D462" s="24"/>
    </row>
    <row r="463">
      <c r="D463" s="24"/>
    </row>
    <row r="464">
      <c r="D464" s="24"/>
    </row>
    <row r="465">
      <c r="D465" s="24"/>
    </row>
    <row r="466">
      <c r="D466" s="24"/>
    </row>
    <row r="467">
      <c r="D467" s="24"/>
    </row>
    <row r="468">
      <c r="D468" s="24"/>
    </row>
    <row r="469">
      <c r="D469" s="24"/>
    </row>
    <row r="470">
      <c r="D470" s="24"/>
    </row>
    <row r="471">
      <c r="D471" s="24"/>
    </row>
    <row r="472">
      <c r="D472" s="24"/>
    </row>
    <row r="473">
      <c r="D473" s="24"/>
    </row>
    <row r="474">
      <c r="D474" s="24"/>
    </row>
    <row r="475">
      <c r="D475" s="24"/>
    </row>
    <row r="476">
      <c r="D476" s="24"/>
    </row>
    <row r="477">
      <c r="D477" s="24"/>
    </row>
    <row r="478">
      <c r="D478" s="24"/>
    </row>
    <row r="479">
      <c r="D479" s="24"/>
    </row>
    <row r="480">
      <c r="D480" s="24"/>
    </row>
    <row r="481">
      <c r="D481" s="24"/>
    </row>
    <row r="482">
      <c r="D482" s="24"/>
    </row>
    <row r="483">
      <c r="D483" s="24"/>
    </row>
    <row r="484">
      <c r="D484" s="24"/>
    </row>
    <row r="485">
      <c r="D485" s="24"/>
    </row>
    <row r="486">
      <c r="D486" s="24"/>
    </row>
    <row r="487">
      <c r="D487" s="24"/>
    </row>
    <row r="488">
      <c r="D488" s="24"/>
    </row>
    <row r="489">
      <c r="D489" s="24"/>
    </row>
    <row r="490">
      <c r="D490" s="24"/>
    </row>
    <row r="491">
      <c r="D491" s="24"/>
    </row>
    <row r="492">
      <c r="D492" s="24"/>
    </row>
    <row r="493">
      <c r="D493" s="24"/>
    </row>
    <row r="494">
      <c r="D494" s="24"/>
    </row>
    <row r="495">
      <c r="D495" s="24"/>
    </row>
    <row r="496">
      <c r="D496" s="24"/>
    </row>
    <row r="497">
      <c r="D497" s="24"/>
    </row>
    <row r="498">
      <c r="D498" s="24"/>
    </row>
    <row r="499">
      <c r="D499" s="24"/>
    </row>
    <row r="500">
      <c r="D500" s="24"/>
    </row>
    <row r="501">
      <c r="D501" s="24"/>
    </row>
    <row r="502">
      <c r="D502" s="24"/>
    </row>
    <row r="503">
      <c r="D503" s="24"/>
    </row>
    <row r="504">
      <c r="D504" s="24"/>
    </row>
    <row r="505">
      <c r="D505" s="24"/>
    </row>
    <row r="506">
      <c r="D506" s="24"/>
    </row>
    <row r="507">
      <c r="D507" s="24"/>
    </row>
    <row r="508">
      <c r="D508" s="24"/>
    </row>
    <row r="509">
      <c r="D509" s="24"/>
    </row>
    <row r="510">
      <c r="D510" s="24"/>
    </row>
    <row r="511">
      <c r="D511" s="24"/>
    </row>
    <row r="512">
      <c r="D512" s="24"/>
    </row>
    <row r="513">
      <c r="D513" s="24"/>
    </row>
    <row r="514">
      <c r="D514" s="24"/>
    </row>
    <row r="515">
      <c r="D515" s="24"/>
    </row>
    <row r="516">
      <c r="D516" s="24"/>
    </row>
    <row r="517">
      <c r="D517" s="24"/>
    </row>
    <row r="518">
      <c r="D518" s="24"/>
    </row>
    <row r="519">
      <c r="D519" s="24"/>
    </row>
    <row r="520">
      <c r="D520" s="24"/>
    </row>
    <row r="521">
      <c r="D521" s="24"/>
    </row>
    <row r="522">
      <c r="D522" s="24"/>
    </row>
    <row r="523">
      <c r="D523" s="24"/>
    </row>
    <row r="524">
      <c r="D524" s="24"/>
    </row>
    <row r="525">
      <c r="D525" s="24"/>
    </row>
    <row r="526">
      <c r="D526" s="24"/>
    </row>
    <row r="527">
      <c r="D527" s="24"/>
    </row>
    <row r="528">
      <c r="D528" s="24"/>
    </row>
    <row r="529">
      <c r="D529" s="24"/>
    </row>
    <row r="530">
      <c r="D530" s="24"/>
    </row>
    <row r="531">
      <c r="D531" s="24"/>
    </row>
    <row r="532">
      <c r="D532" s="24"/>
    </row>
    <row r="533">
      <c r="D533" s="24"/>
    </row>
    <row r="534">
      <c r="D534" s="24"/>
    </row>
    <row r="535">
      <c r="D535" s="24"/>
    </row>
    <row r="536">
      <c r="D536" s="24"/>
    </row>
    <row r="537">
      <c r="D537" s="24"/>
    </row>
    <row r="538">
      <c r="D538" s="24"/>
    </row>
    <row r="539">
      <c r="D539" s="24"/>
    </row>
    <row r="540">
      <c r="D540" s="24"/>
    </row>
    <row r="541">
      <c r="D541" s="24"/>
    </row>
    <row r="542">
      <c r="D542" s="24"/>
    </row>
    <row r="543">
      <c r="D543" s="24"/>
    </row>
    <row r="544">
      <c r="D544" s="24"/>
    </row>
    <row r="545">
      <c r="D545" s="24"/>
    </row>
    <row r="546">
      <c r="D546" s="24"/>
    </row>
    <row r="547">
      <c r="D547" s="24"/>
    </row>
    <row r="548">
      <c r="D548" s="24"/>
    </row>
    <row r="549">
      <c r="D549" s="24"/>
    </row>
    <row r="550">
      <c r="D550" s="24"/>
    </row>
    <row r="551">
      <c r="D551" s="24"/>
    </row>
    <row r="552">
      <c r="D552" s="24"/>
    </row>
    <row r="553">
      <c r="D553" s="24"/>
    </row>
    <row r="554">
      <c r="D554" s="24"/>
    </row>
    <row r="555">
      <c r="D555" s="24"/>
    </row>
    <row r="556">
      <c r="D556" s="24"/>
    </row>
    <row r="557">
      <c r="D557" s="24"/>
    </row>
    <row r="558">
      <c r="D558" s="24"/>
    </row>
    <row r="559">
      <c r="D559" s="24"/>
    </row>
    <row r="560">
      <c r="D560" s="24"/>
    </row>
    <row r="561">
      <c r="D561" s="24"/>
    </row>
    <row r="562">
      <c r="D562" s="24"/>
    </row>
    <row r="563">
      <c r="D563" s="24"/>
    </row>
    <row r="564">
      <c r="D564" s="24"/>
    </row>
    <row r="565">
      <c r="D565" s="24"/>
    </row>
    <row r="566">
      <c r="D566" s="24"/>
    </row>
    <row r="567">
      <c r="D567" s="24"/>
    </row>
    <row r="568">
      <c r="D568" s="24"/>
    </row>
    <row r="569">
      <c r="D569" s="24"/>
    </row>
    <row r="570">
      <c r="D570" s="24"/>
    </row>
    <row r="571">
      <c r="D571" s="24"/>
    </row>
    <row r="572">
      <c r="D572" s="24"/>
    </row>
    <row r="573">
      <c r="D573" s="24"/>
    </row>
    <row r="574">
      <c r="D574" s="24"/>
    </row>
    <row r="575">
      <c r="D575" s="24"/>
    </row>
    <row r="576">
      <c r="D576" s="24"/>
    </row>
    <row r="577">
      <c r="D577" s="24"/>
    </row>
    <row r="578">
      <c r="D578" s="24"/>
    </row>
    <row r="579">
      <c r="D579" s="24"/>
    </row>
    <row r="580">
      <c r="D580" s="24"/>
    </row>
    <row r="581">
      <c r="D581" s="24"/>
    </row>
    <row r="582">
      <c r="D582" s="24"/>
    </row>
    <row r="583">
      <c r="D583" s="24"/>
    </row>
    <row r="584">
      <c r="D584" s="24"/>
    </row>
    <row r="585">
      <c r="D585" s="24"/>
    </row>
    <row r="586">
      <c r="D586" s="24"/>
    </row>
    <row r="587">
      <c r="D587" s="24"/>
    </row>
    <row r="588">
      <c r="D588" s="24"/>
    </row>
    <row r="589">
      <c r="D589" s="24"/>
    </row>
    <row r="590">
      <c r="D590" s="24"/>
    </row>
    <row r="591">
      <c r="D591" s="24"/>
    </row>
    <row r="592">
      <c r="D592" s="24"/>
    </row>
    <row r="593">
      <c r="D593" s="24"/>
    </row>
    <row r="594">
      <c r="D594" s="24"/>
    </row>
    <row r="595">
      <c r="D595" s="24"/>
    </row>
    <row r="596">
      <c r="D596" s="24"/>
    </row>
    <row r="597">
      <c r="D597" s="24"/>
    </row>
    <row r="598">
      <c r="D598" s="24"/>
    </row>
    <row r="599">
      <c r="D599" s="24"/>
    </row>
    <row r="600">
      <c r="D600" s="24"/>
    </row>
    <row r="601">
      <c r="D601" s="24"/>
    </row>
    <row r="602">
      <c r="D602" s="24"/>
    </row>
    <row r="603">
      <c r="D603" s="24"/>
    </row>
    <row r="604">
      <c r="D604" s="24"/>
    </row>
    <row r="605">
      <c r="D605" s="24"/>
    </row>
    <row r="606">
      <c r="D606" s="24"/>
    </row>
    <row r="607">
      <c r="D607" s="24"/>
    </row>
    <row r="608">
      <c r="D608" s="24"/>
    </row>
    <row r="609">
      <c r="D609" s="24"/>
    </row>
    <row r="610">
      <c r="D610" s="24"/>
    </row>
    <row r="611">
      <c r="D611" s="24"/>
    </row>
    <row r="612">
      <c r="D612" s="24"/>
    </row>
    <row r="613">
      <c r="D613" s="24"/>
    </row>
    <row r="614">
      <c r="D614" s="24"/>
    </row>
    <row r="615">
      <c r="D615" s="24"/>
    </row>
    <row r="616">
      <c r="D616" s="24"/>
    </row>
    <row r="617">
      <c r="D617" s="24"/>
    </row>
    <row r="618">
      <c r="D618" s="24"/>
    </row>
    <row r="619">
      <c r="D619" s="24"/>
    </row>
    <row r="620">
      <c r="D620" s="24"/>
    </row>
    <row r="621">
      <c r="D621" s="24"/>
    </row>
    <row r="622">
      <c r="D622" s="24"/>
    </row>
    <row r="623">
      <c r="D623" s="24"/>
    </row>
    <row r="624">
      <c r="D624" s="24"/>
    </row>
    <row r="625">
      <c r="D625" s="24"/>
    </row>
    <row r="626">
      <c r="D626" s="24"/>
    </row>
    <row r="627">
      <c r="D627" s="24"/>
    </row>
    <row r="628">
      <c r="D628" s="24"/>
    </row>
    <row r="629">
      <c r="D629" s="24"/>
    </row>
    <row r="630">
      <c r="D630" s="24"/>
    </row>
    <row r="631">
      <c r="D631" s="24"/>
    </row>
    <row r="632">
      <c r="D632" s="24"/>
    </row>
    <row r="633">
      <c r="D633" s="24"/>
    </row>
    <row r="634">
      <c r="D634" s="24"/>
    </row>
    <row r="635">
      <c r="D635" s="24"/>
    </row>
    <row r="636">
      <c r="D636" s="24"/>
    </row>
    <row r="637">
      <c r="D637" s="24"/>
    </row>
    <row r="638">
      <c r="D638" s="24"/>
    </row>
    <row r="639">
      <c r="D639" s="24"/>
    </row>
    <row r="640">
      <c r="D640" s="24"/>
    </row>
    <row r="641">
      <c r="D641" s="24"/>
    </row>
    <row r="642">
      <c r="D642" s="24"/>
    </row>
    <row r="643">
      <c r="D643" s="24"/>
    </row>
    <row r="644">
      <c r="D644" s="24"/>
    </row>
    <row r="645">
      <c r="D645" s="24"/>
    </row>
    <row r="646">
      <c r="D646" s="24"/>
    </row>
    <row r="647">
      <c r="D647" s="24"/>
    </row>
    <row r="648">
      <c r="D648" s="24"/>
    </row>
    <row r="649">
      <c r="D649" s="24"/>
    </row>
    <row r="650">
      <c r="D650" s="24"/>
    </row>
    <row r="651">
      <c r="D651" s="24"/>
    </row>
    <row r="652">
      <c r="D652" s="24"/>
    </row>
    <row r="653">
      <c r="D653" s="24"/>
    </row>
    <row r="654">
      <c r="D654" s="24"/>
    </row>
    <row r="655">
      <c r="D655" s="24"/>
    </row>
    <row r="656">
      <c r="D656" s="24"/>
    </row>
    <row r="657">
      <c r="D657" s="24"/>
    </row>
    <row r="658">
      <c r="D658" s="24"/>
    </row>
    <row r="659">
      <c r="D659" s="24"/>
    </row>
    <row r="660">
      <c r="D660" s="24"/>
    </row>
    <row r="661">
      <c r="D661" s="24"/>
    </row>
    <row r="662">
      <c r="D662" s="24"/>
    </row>
    <row r="663">
      <c r="D663" s="24"/>
    </row>
    <row r="664">
      <c r="D664" s="24"/>
    </row>
    <row r="665">
      <c r="D665" s="24"/>
    </row>
    <row r="666">
      <c r="D666" s="24"/>
    </row>
    <row r="667">
      <c r="D667" s="24"/>
    </row>
    <row r="668">
      <c r="D668" s="24"/>
    </row>
    <row r="669">
      <c r="D669" s="24"/>
    </row>
    <row r="670">
      <c r="D670" s="24"/>
    </row>
    <row r="671">
      <c r="D671" s="24"/>
    </row>
    <row r="672">
      <c r="D672" s="24"/>
    </row>
    <row r="673">
      <c r="D673" s="24"/>
    </row>
    <row r="674">
      <c r="D674" s="24"/>
    </row>
    <row r="675">
      <c r="D675" s="24"/>
    </row>
    <row r="676">
      <c r="D676" s="24"/>
    </row>
    <row r="677">
      <c r="D677" s="24"/>
    </row>
    <row r="678">
      <c r="D678" s="24"/>
    </row>
    <row r="679">
      <c r="D679" s="24"/>
    </row>
    <row r="680">
      <c r="D680" s="24"/>
    </row>
    <row r="681">
      <c r="D681" s="24"/>
    </row>
    <row r="682">
      <c r="D682" s="24"/>
    </row>
    <row r="683">
      <c r="D683" s="24"/>
    </row>
    <row r="684">
      <c r="D684" s="24"/>
    </row>
    <row r="685">
      <c r="D685" s="24"/>
    </row>
    <row r="686">
      <c r="D686" s="24"/>
    </row>
    <row r="687">
      <c r="D687" s="24"/>
    </row>
    <row r="688">
      <c r="D688" s="24"/>
    </row>
    <row r="689">
      <c r="D689" s="24"/>
    </row>
    <row r="690">
      <c r="D690" s="24"/>
    </row>
    <row r="691">
      <c r="D691" s="24"/>
    </row>
    <row r="692">
      <c r="D692" s="24"/>
    </row>
    <row r="693">
      <c r="D693" s="24"/>
    </row>
    <row r="694">
      <c r="D694" s="24"/>
    </row>
    <row r="695">
      <c r="D695" s="24"/>
    </row>
    <row r="696">
      <c r="D696" s="24"/>
    </row>
    <row r="697">
      <c r="D697" s="24"/>
    </row>
    <row r="698">
      <c r="D698" s="24"/>
    </row>
    <row r="699">
      <c r="D699" s="24"/>
    </row>
    <row r="700">
      <c r="D700" s="24"/>
    </row>
    <row r="701">
      <c r="D701" s="24"/>
    </row>
    <row r="702">
      <c r="D702" s="24"/>
    </row>
    <row r="703">
      <c r="D703" s="24"/>
    </row>
    <row r="704">
      <c r="D704" s="24"/>
    </row>
    <row r="705">
      <c r="D705" s="24"/>
    </row>
    <row r="706">
      <c r="D706" s="24"/>
    </row>
    <row r="707">
      <c r="D707" s="24"/>
    </row>
    <row r="708">
      <c r="D708" s="24"/>
    </row>
    <row r="709">
      <c r="D709" s="24"/>
    </row>
    <row r="710">
      <c r="D710" s="24"/>
    </row>
    <row r="711">
      <c r="D711" s="24"/>
    </row>
    <row r="712">
      <c r="D712" s="24"/>
    </row>
    <row r="713">
      <c r="D713" s="24"/>
    </row>
    <row r="714">
      <c r="D714" s="24"/>
    </row>
    <row r="715">
      <c r="D715" s="24"/>
    </row>
    <row r="716">
      <c r="D716" s="24"/>
    </row>
    <row r="717">
      <c r="D717" s="24"/>
    </row>
    <row r="718">
      <c r="D718" s="24"/>
    </row>
    <row r="719">
      <c r="D719" s="24"/>
    </row>
    <row r="720">
      <c r="D720" s="24"/>
    </row>
    <row r="721">
      <c r="D721" s="24"/>
    </row>
    <row r="722">
      <c r="D722" s="24"/>
    </row>
    <row r="723">
      <c r="D723" s="24"/>
    </row>
    <row r="724">
      <c r="D724" s="24"/>
    </row>
    <row r="725">
      <c r="D725" s="24"/>
    </row>
    <row r="726">
      <c r="D726" s="24"/>
    </row>
    <row r="727">
      <c r="D727" s="24"/>
    </row>
    <row r="728">
      <c r="D728" s="24"/>
    </row>
    <row r="729">
      <c r="D729" s="24"/>
    </row>
    <row r="730">
      <c r="D730" s="24"/>
    </row>
    <row r="731">
      <c r="D731" s="24"/>
    </row>
    <row r="732">
      <c r="D732" s="24"/>
    </row>
    <row r="733">
      <c r="D733" s="24"/>
    </row>
    <row r="734">
      <c r="D734" s="24"/>
    </row>
    <row r="735">
      <c r="D735" s="24"/>
    </row>
    <row r="736">
      <c r="D736" s="24"/>
    </row>
    <row r="737">
      <c r="D737" s="24"/>
    </row>
    <row r="738">
      <c r="D738" s="24"/>
    </row>
    <row r="739">
      <c r="D739" s="24"/>
    </row>
    <row r="740">
      <c r="D740" s="24"/>
    </row>
    <row r="741">
      <c r="D741" s="24"/>
    </row>
    <row r="742">
      <c r="D742" s="24"/>
    </row>
    <row r="743">
      <c r="D743" s="24"/>
    </row>
    <row r="744">
      <c r="D744" s="24"/>
    </row>
    <row r="745">
      <c r="D745" s="24"/>
    </row>
    <row r="746">
      <c r="D746" s="24"/>
    </row>
    <row r="747">
      <c r="D747" s="24"/>
    </row>
    <row r="748">
      <c r="D748" s="24"/>
    </row>
    <row r="749">
      <c r="D749" s="24"/>
    </row>
    <row r="750">
      <c r="D750" s="24"/>
    </row>
    <row r="751">
      <c r="D751" s="24"/>
    </row>
    <row r="752">
      <c r="D752" s="24"/>
    </row>
    <row r="753">
      <c r="D753" s="24"/>
    </row>
    <row r="754">
      <c r="D754" s="24"/>
    </row>
    <row r="755">
      <c r="D755" s="24"/>
    </row>
    <row r="756">
      <c r="D756" s="24"/>
    </row>
    <row r="757">
      <c r="D757" s="24"/>
    </row>
    <row r="758">
      <c r="D758" s="24"/>
    </row>
    <row r="759">
      <c r="D759" s="24"/>
    </row>
    <row r="760">
      <c r="D760" s="24"/>
    </row>
    <row r="761">
      <c r="D761" s="24"/>
    </row>
    <row r="762">
      <c r="D762" s="24"/>
    </row>
    <row r="763">
      <c r="D763" s="24"/>
    </row>
    <row r="764">
      <c r="D764" s="24"/>
    </row>
    <row r="765">
      <c r="D765" s="24"/>
    </row>
    <row r="766">
      <c r="D766" s="24"/>
    </row>
    <row r="767">
      <c r="D767" s="24"/>
    </row>
    <row r="768">
      <c r="D768" s="24"/>
    </row>
    <row r="769">
      <c r="D769" s="24"/>
    </row>
    <row r="770">
      <c r="D770" s="24"/>
    </row>
    <row r="771">
      <c r="D771" s="24"/>
    </row>
    <row r="772">
      <c r="D772" s="24"/>
    </row>
    <row r="773">
      <c r="D773" s="24"/>
    </row>
    <row r="774">
      <c r="D774" s="24"/>
    </row>
    <row r="775">
      <c r="D775" s="24"/>
    </row>
    <row r="776">
      <c r="D776" s="24"/>
    </row>
    <row r="777">
      <c r="D777" s="24"/>
    </row>
    <row r="778">
      <c r="D778" s="24"/>
    </row>
    <row r="779">
      <c r="D779" s="24"/>
    </row>
    <row r="780">
      <c r="D780" s="24"/>
    </row>
    <row r="781">
      <c r="D781" s="24"/>
    </row>
    <row r="782">
      <c r="D782" s="24"/>
    </row>
    <row r="783">
      <c r="D783" s="24"/>
    </row>
    <row r="784">
      <c r="D784" s="24"/>
    </row>
    <row r="785">
      <c r="D785" s="24"/>
    </row>
    <row r="786">
      <c r="D786" s="24"/>
    </row>
    <row r="787">
      <c r="D787" s="24"/>
    </row>
    <row r="788">
      <c r="D788" s="24"/>
    </row>
    <row r="789">
      <c r="D789" s="24"/>
    </row>
    <row r="790">
      <c r="D790" s="24"/>
    </row>
    <row r="791">
      <c r="D791" s="24"/>
    </row>
    <row r="792">
      <c r="D792" s="24"/>
    </row>
    <row r="793">
      <c r="D793" s="24"/>
    </row>
    <row r="794">
      <c r="D794" s="24"/>
    </row>
    <row r="795">
      <c r="D795" s="24"/>
    </row>
    <row r="796">
      <c r="D796" s="24"/>
    </row>
    <row r="797">
      <c r="D797" s="24"/>
    </row>
    <row r="798">
      <c r="D798" s="24"/>
    </row>
    <row r="799">
      <c r="D799" s="24"/>
    </row>
    <row r="800">
      <c r="D800" s="24"/>
    </row>
    <row r="801">
      <c r="D801" s="24"/>
    </row>
    <row r="802">
      <c r="D802" s="24"/>
    </row>
    <row r="803">
      <c r="D803" s="24"/>
    </row>
    <row r="804">
      <c r="D804" s="24"/>
    </row>
    <row r="805">
      <c r="D805" s="24"/>
    </row>
    <row r="806">
      <c r="D806" s="24"/>
    </row>
    <row r="807">
      <c r="D807" s="24"/>
    </row>
    <row r="808">
      <c r="D808" s="24"/>
    </row>
    <row r="809">
      <c r="D809" s="24"/>
    </row>
    <row r="810">
      <c r="D810" s="24"/>
    </row>
    <row r="811">
      <c r="D811" s="24"/>
    </row>
    <row r="812">
      <c r="D812" s="24"/>
    </row>
    <row r="813">
      <c r="D813" s="24"/>
    </row>
    <row r="814">
      <c r="D814" s="24"/>
    </row>
    <row r="815">
      <c r="D815" s="24"/>
    </row>
    <row r="816">
      <c r="D816" s="24"/>
    </row>
    <row r="817">
      <c r="D817" s="24"/>
    </row>
    <row r="818">
      <c r="D818" s="24"/>
    </row>
    <row r="819">
      <c r="D819" s="24"/>
    </row>
    <row r="820">
      <c r="D820" s="24"/>
    </row>
    <row r="821">
      <c r="D821" s="24"/>
    </row>
    <row r="822">
      <c r="D822" s="24"/>
    </row>
    <row r="823">
      <c r="D823" s="24"/>
    </row>
    <row r="824">
      <c r="D824" s="24"/>
    </row>
    <row r="825">
      <c r="D825" s="24"/>
    </row>
    <row r="826">
      <c r="D826" s="24"/>
    </row>
    <row r="827">
      <c r="D827" s="24"/>
    </row>
    <row r="828">
      <c r="D828" s="24"/>
    </row>
    <row r="829">
      <c r="D829" s="24"/>
    </row>
    <row r="830">
      <c r="D830" s="24"/>
    </row>
    <row r="831">
      <c r="D831" s="24"/>
    </row>
    <row r="832">
      <c r="D832" s="24"/>
    </row>
    <row r="833">
      <c r="D833" s="24"/>
    </row>
    <row r="834">
      <c r="D834" s="24"/>
    </row>
    <row r="835">
      <c r="D835" s="24"/>
    </row>
    <row r="836">
      <c r="D836" s="24"/>
    </row>
    <row r="837">
      <c r="D837" s="24"/>
    </row>
    <row r="838">
      <c r="D838" s="24"/>
    </row>
    <row r="839">
      <c r="D839" s="24"/>
    </row>
    <row r="840">
      <c r="D840" s="24"/>
    </row>
    <row r="841">
      <c r="D841" s="24"/>
    </row>
    <row r="842">
      <c r="D842" s="24"/>
    </row>
    <row r="843">
      <c r="D843" s="24"/>
    </row>
    <row r="844">
      <c r="D844" s="24"/>
    </row>
    <row r="845">
      <c r="D845" s="24"/>
    </row>
    <row r="846">
      <c r="D846" s="24"/>
    </row>
    <row r="847">
      <c r="D847" s="24"/>
    </row>
    <row r="848">
      <c r="D848" s="24"/>
    </row>
    <row r="849">
      <c r="D849" s="24"/>
    </row>
    <row r="850">
      <c r="D850" s="24"/>
    </row>
    <row r="851">
      <c r="D851" s="24"/>
    </row>
    <row r="852">
      <c r="D852" s="24"/>
    </row>
    <row r="853">
      <c r="D853" s="24"/>
    </row>
    <row r="854">
      <c r="D854" s="24"/>
    </row>
    <row r="855">
      <c r="D855" s="24"/>
    </row>
    <row r="856">
      <c r="D856" s="24"/>
    </row>
    <row r="857">
      <c r="D857" s="24"/>
    </row>
    <row r="858">
      <c r="D858" s="24"/>
    </row>
    <row r="859">
      <c r="D859" s="24"/>
    </row>
    <row r="860">
      <c r="D860" s="24"/>
    </row>
    <row r="861">
      <c r="D861" s="24"/>
    </row>
    <row r="862">
      <c r="D862" s="24"/>
    </row>
    <row r="863">
      <c r="D863" s="24"/>
    </row>
    <row r="864">
      <c r="D864" s="24"/>
    </row>
    <row r="865">
      <c r="D865" s="24"/>
    </row>
    <row r="866">
      <c r="D866" s="24"/>
    </row>
    <row r="867">
      <c r="D867" s="24"/>
    </row>
    <row r="868">
      <c r="D868" s="24"/>
    </row>
    <row r="869">
      <c r="D869" s="24"/>
    </row>
    <row r="870">
      <c r="D870" s="24"/>
    </row>
    <row r="871">
      <c r="D871" s="24"/>
    </row>
    <row r="872">
      <c r="D872" s="24"/>
    </row>
    <row r="873">
      <c r="D873" s="24"/>
    </row>
    <row r="874">
      <c r="D874" s="24"/>
    </row>
    <row r="875">
      <c r="D875" s="24"/>
    </row>
    <row r="876">
      <c r="D876" s="24"/>
    </row>
    <row r="877">
      <c r="D877" s="24"/>
    </row>
    <row r="878">
      <c r="D878" s="24"/>
    </row>
    <row r="879">
      <c r="D879" s="24"/>
    </row>
    <row r="880">
      <c r="D880" s="24"/>
    </row>
    <row r="881">
      <c r="D881" s="24"/>
    </row>
    <row r="882">
      <c r="D882" s="24"/>
    </row>
    <row r="883">
      <c r="D883" s="24"/>
    </row>
    <row r="884">
      <c r="D884" s="24"/>
    </row>
    <row r="885">
      <c r="D885" s="24"/>
    </row>
    <row r="886">
      <c r="D886" s="24"/>
    </row>
    <row r="887">
      <c r="D887" s="24"/>
    </row>
    <row r="888">
      <c r="D888" s="24"/>
    </row>
    <row r="889">
      <c r="D889" s="24"/>
    </row>
    <row r="890">
      <c r="D890" s="24"/>
    </row>
    <row r="891">
      <c r="D891" s="24"/>
    </row>
    <row r="892">
      <c r="D892" s="24"/>
    </row>
    <row r="893">
      <c r="D893" s="24"/>
    </row>
    <row r="894">
      <c r="D894" s="24"/>
    </row>
    <row r="895">
      <c r="D895" s="24"/>
    </row>
    <row r="896">
      <c r="D896" s="24"/>
    </row>
    <row r="897">
      <c r="D897" s="24"/>
    </row>
    <row r="898">
      <c r="D898" s="24"/>
    </row>
    <row r="899">
      <c r="D899" s="24"/>
    </row>
    <row r="900">
      <c r="D900" s="24"/>
    </row>
    <row r="901">
      <c r="D901" s="24"/>
    </row>
    <row r="902">
      <c r="D902" s="24"/>
    </row>
    <row r="903">
      <c r="D903" s="24"/>
    </row>
    <row r="904">
      <c r="D904" s="24"/>
    </row>
    <row r="905">
      <c r="D905" s="24"/>
    </row>
    <row r="906">
      <c r="D906" s="24"/>
    </row>
    <row r="907">
      <c r="D907" s="24"/>
    </row>
    <row r="908">
      <c r="D908" s="24"/>
    </row>
    <row r="909">
      <c r="D909" s="24"/>
    </row>
    <row r="910">
      <c r="D910" s="24"/>
    </row>
    <row r="911">
      <c r="D911" s="24"/>
    </row>
    <row r="912">
      <c r="D912" s="24"/>
    </row>
    <row r="913">
      <c r="D913" s="24"/>
    </row>
    <row r="914">
      <c r="D914" s="24"/>
    </row>
    <row r="915">
      <c r="D915" s="24"/>
    </row>
    <row r="916">
      <c r="D916" s="24"/>
    </row>
    <row r="917">
      <c r="D917" s="24"/>
    </row>
    <row r="918">
      <c r="D918" s="24"/>
    </row>
    <row r="919">
      <c r="D919" s="24"/>
    </row>
    <row r="920">
      <c r="D920" s="24"/>
    </row>
    <row r="921">
      <c r="D921" s="24"/>
    </row>
    <row r="922">
      <c r="D922" s="24"/>
    </row>
    <row r="923">
      <c r="D923" s="24"/>
    </row>
    <row r="924">
      <c r="D924" s="24"/>
    </row>
    <row r="925">
      <c r="D925" s="24"/>
    </row>
    <row r="926">
      <c r="D926" s="24"/>
    </row>
    <row r="927">
      <c r="D927" s="24"/>
    </row>
    <row r="928">
      <c r="D928" s="24"/>
    </row>
    <row r="929">
      <c r="D929" s="24"/>
    </row>
    <row r="930">
      <c r="D930" s="24"/>
    </row>
    <row r="931">
      <c r="D931" s="24"/>
    </row>
    <row r="932">
      <c r="D932" s="24"/>
    </row>
    <row r="933">
      <c r="D933" s="24"/>
    </row>
    <row r="934">
      <c r="D934" s="24"/>
    </row>
    <row r="935">
      <c r="D935" s="24"/>
    </row>
    <row r="936">
      <c r="D936" s="24"/>
    </row>
    <row r="937">
      <c r="D937" s="24"/>
    </row>
    <row r="938">
      <c r="D938" s="24"/>
    </row>
    <row r="939">
      <c r="D939" s="24"/>
    </row>
    <row r="940">
      <c r="D940" s="24"/>
    </row>
    <row r="941">
      <c r="D941" s="24"/>
    </row>
    <row r="942">
      <c r="D942" s="24"/>
    </row>
    <row r="943">
      <c r="D943" s="24"/>
    </row>
    <row r="944">
      <c r="D944" s="24"/>
    </row>
    <row r="945">
      <c r="D945" s="24"/>
    </row>
    <row r="946">
      <c r="D946" s="24"/>
    </row>
    <row r="947">
      <c r="D947" s="24"/>
    </row>
    <row r="948">
      <c r="D948" s="24"/>
    </row>
    <row r="949">
      <c r="D949" s="24"/>
    </row>
    <row r="950">
      <c r="D950" s="24"/>
    </row>
    <row r="951">
      <c r="D951" s="24"/>
    </row>
    <row r="952">
      <c r="D952" s="24"/>
    </row>
    <row r="953">
      <c r="D953" s="24"/>
    </row>
    <row r="954">
      <c r="D954" s="24"/>
    </row>
    <row r="955">
      <c r="D955" s="24"/>
    </row>
    <row r="956">
      <c r="D956" s="24"/>
    </row>
    <row r="957">
      <c r="D957" s="24"/>
    </row>
    <row r="958">
      <c r="D958" s="24"/>
    </row>
    <row r="959">
      <c r="D959" s="24"/>
    </row>
    <row r="960">
      <c r="D960" s="24"/>
    </row>
    <row r="961">
      <c r="D961" s="24"/>
    </row>
    <row r="962">
      <c r="D962" s="24"/>
    </row>
    <row r="963">
      <c r="D963" s="24"/>
    </row>
    <row r="964">
      <c r="D964" s="24"/>
    </row>
    <row r="965">
      <c r="D965" s="24"/>
    </row>
    <row r="966">
      <c r="D966" s="24"/>
    </row>
    <row r="967">
      <c r="D967" s="24"/>
    </row>
    <row r="968">
      <c r="D968" s="24"/>
    </row>
    <row r="969">
      <c r="D969" s="24"/>
    </row>
    <row r="970">
      <c r="D970" s="24"/>
    </row>
    <row r="971">
      <c r="D971" s="24"/>
    </row>
    <row r="972">
      <c r="D972" s="24"/>
    </row>
    <row r="973">
      <c r="D973" s="24"/>
    </row>
    <row r="974">
      <c r="D974" s="24"/>
    </row>
    <row r="975">
      <c r="D975" s="24"/>
    </row>
    <row r="976">
      <c r="D976" s="24"/>
    </row>
    <row r="977">
      <c r="D977" s="24"/>
    </row>
    <row r="978">
      <c r="D978" s="24"/>
    </row>
    <row r="979">
      <c r="D979" s="24"/>
    </row>
    <row r="980">
      <c r="D980" s="24"/>
    </row>
    <row r="981">
      <c r="D981" s="24"/>
    </row>
    <row r="982">
      <c r="D982" s="24"/>
    </row>
    <row r="983">
      <c r="D983" s="24"/>
    </row>
    <row r="984">
      <c r="D984" s="24"/>
    </row>
    <row r="985">
      <c r="D985" s="24"/>
    </row>
    <row r="986">
      <c r="D986" s="24"/>
    </row>
    <row r="987">
      <c r="D987" s="24"/>
    </row>
    <row r="988">
      <c r="D988" s="24"/>
    </row>
    <row r="989">
      <c r="D989" s="24"/>
    </row>
    <row r="990">
      <c r="D990" s="24"/>
    </row>
    <row r="991">
      <c r="D991" s="24"/>
    </row>
    <row r="992">
      <c r="D992" s="24"/>
    </row>
    <row r="993">
      <c r="D993" s="24"/>
    </row>
    <row r="994">
      <c r="D994" s="24"/>
    </row>
    <row r="995">
      <c r="D995" s="24"/>
    </row>
    <row r="996">
      <c r="D996" s="24"/>
    </row>
    <row r="997">
      <c r="D997" s="24"/>
    </row>
    <row r="998">
      <c r="D998" s="24"/>
    </row>
    <row r="999">
      <c r="D999" s="24"/>
    </row>
    <row r="1000">
      <c r="D1000" s="24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