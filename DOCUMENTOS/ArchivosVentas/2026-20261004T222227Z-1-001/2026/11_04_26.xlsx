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<sst xmlns="http://schemas.openxmlformats.org/spreadsheetml/2006/main" count="80" uniqueCount="78">
  <si>
    <t>HOJA DE CALCULO FERRETERIA</t>
  </si>
  <si>
    <t>CODIGO</t>
  </si>
  <si>
    <t>CANTIDAD</t>
  </si>
  <si>
    <t>DESCRIPCION</t>
  </si>
  <si>
    <t>TOTAL</t>
  </si>
  <si>
    <t>HORA</t>
  </si>
  <si>
    <t>CUADRAR</t>
  </si>
  <si>
    <t>matrix 1/2l</t>
  </si>
  <si>
    <t>220l</t>
  </si>
  <si>
    <t>sintetica cafe oscuro</t>
  </si>
  <si>
    <t>MONEDAS</t>
  </si>
  <si>
    <t>CAJA CHICA</t>
  </si>
  <si>
    <t>1kl</t>
  </si>
  <si>
    <t>clavo arcenol 3 1/2</t>
  </si>
  <si>
    <t>BILLETES 10-20</t>
  </si>
  <si>
    <t>TOTAL VENTAS DIA</t>
  </si>
  <si>
    <t>kl alambre ammarre</t>
  </si>
  <si>
    <t>BILLETES 50-100-200</t>
  </si>
  <si>
    <t>AUMENTO DE DINERO</t>
  </si>
  <si>
    <t>INGRESOS YAPE</t>
  </si>
  <si>
    <t>1l</t>
  </si>
  <si>
    <t>thinner duco</t>
  </si>
  <si>
    <t>INGRESOS TARJETA</t>
  </si>
  <si>
    <t>guante azul</t>
  </si>
  <si>
    <t>GASTOS VARIOS</t>
  </si>
  <si>
    <t>lubricandte  a 40</t>
  </si>
  <si>
    <t>acople duke</t>
  </si>
  <si>
    <t>DINERO GANADO HOY:</t>
  </si>
  <si>
    <t>CANTIDAD DINERO CAJA:</t>
  </si>
  <si>
    <t>paritna neomix</t>
  </si>
  <si>
    <t xml:space="preserve">kl alambre galvanizado </t>
  </si>
  <si>
    <t>oate</t>
  </si>
  <si>
    <t>teflon</t>
  </si>
  <si>
    <t>sopapa lava ma  atlas</t>
  </si>
  <si>
    <t>cinta tela</t>
  </si>
  <si>
    <t>prgatanque</t>
  </si>
  <si>
    <t>YAPE MAMÁ</t>
  </si>
  <si>
    <t>YAPE PAPÁ</t>
  </si>
  <si>
    <t>baterica atlas</t>
  </si>
  <si>
    <t xml:space="preserve">chicotillo 50 </t>
  </si>
  <si>
    <t>kl alquitra</t>
  </si>
  <si>
    <t>aceite singer</t>
  </si>
  <si>
    <t>cinta doble contacto</t>
  </si>
  <si>
    <t>lijas</t>
  </si>
  <si>
    <t xml:space="preserve">regleta </t>
  </si>
  <si>
    <t>m cable 14</t>
  </si>
  <si>
    <t>clavija tramonta</t>
  </si>
  <si>
    <t>sierra truer</t>
  </si>
  <si>
    <t>cinta aislante</t>
  </si>
  <si>
    <t>espatula 4</t>
  </si>
  <si>
    <t>tapon macho tigre 3/4</t>
  </si>
  <si>
    <t>kl grasa</t>
  </si>
  <si>
    <t>regulador gas</t>
  </si>
  <si>
    <t>aldaba</t>
  </si>
  <si>
    <t>chp 3.5 x 25</t>
  </si>
  <si>
    <t>m cadena galvanizada 1/8</t>
  </si>
  <si>
    <t>pijas aa</t>
  </si>
  <si>
    <t>llave combinada 15</t>
  </si>
  <si>
    <t>cintas silante</t>
  </si>
  <si>
    <t>20m</t>
  </si>
  <si>
    <t>hilo para podar 1,5</t>
  </si>
  <si>
    <t>rampli y chip</t>
  </si>
  <si>
    <t>brocha concreto</t>
  </si>
  <si>
    <t>juego alicate</t>
  </si>
  <si>
    <t>tapa inodoro acolchada</t>
  </si>
  <si>
    <t>ramplu y armella l</t>
  </si>
  <si>
    <t>broca concreto 8</t>
  </si>
  <si>
    <t>chip</t>
  </si>
  <si>
    <t>m perlon 8</t>
  </si>
  <si>
    <t xml:space="preserve">chicotillo  coflex </t>
  </si>
  <si>
    <t>niple tgire 1/2</t>
  </si>
  <si>
    <t xml:space="preserve">precintoa </t>
  </si>
  <si>
    <t>hidrolavadkora</t>
  </si>
  <si>
    <t>juego de desatmadkora</t>
  </si>
  <si>
    <t>juego de palitas</t>
  </si>
  <si>
    <t>perlon 6</t>
  </si>
  <si>
    <t xml:space="preserve">bateroa recargañe </t>
  </si>
  <si>
    <t>pilas recargable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</si>
</sst>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18.0</v>
      </c>
      <c r="E8" s="8">
        <v>46123.352663032405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20.0</v>
      </c>
      <c r="E9" s="8">
        <v>46123.352819872685</v>
      </c>
      <c r="F9" s="2"/>
      <c r="G9" s="9" t="s">
        <v>10</v>
      </c>
      <c r="H9" s="10">
        <v>190.0</v>
      </c>
      <c r="I9" s="2"/>
      <c r="J9" s="9" t="s">
        <v>11</v>
      </c>
      <c r="K9" s="10">
        <v>636.5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12</v>
      </c>
      <c r="C10" s="7" t="s">
        <v>13</v>
      </c>
      <c r="D10" s="6">
        <v>27.0</v>
      </c>
      <c r="E10" s="8">
        <v>46123.35819741898</v>
      </c>
      <c r="F10" s="2"/>
      <c r="G10" s="9" t="s">
        <v>14</v>
      </c>
      <c r="H10" s="10">
        <v>320.0</v>
      </c>
      <c r="I10" s="2"/>
      <c r="J10" s="9" t="s">
        <v>15</v>
      </c>
      <c r="K10" s="11">
        <f>SUM(PRINCIPAL[TOTAL])</f>
        <v>2230.5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16</v>
      </c>
      <c r="D11" s="6">
        <v>19.0</v>
      </c>
      <c r="E11" s="8">
        <v>46123.37401246528</v>
      </c>
      <c r="F11" s="2"/>
      <c r="G11" s="9" t="s">
        <v>17</v>
      </c>
      <c r="H11" s="10">
        <v>1650.0</v>
      </c>
      <c r="I11" s="2"/>
      <c r="J11" s="9" t="s">
        <v>18</v>
      </c>
      <c r="K11" s="10">
        <v>159.0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13</v>
      </c>
      <c r="D12" s="6">
        <v>25.0</v>
      </c>
      <c r="E12" s="8">
        <v>46123.38167508102</v>
      </c>
      <c r="F12" s="2"/>
      <c r="G12" s="9" t="s">
        <v>19</v>
      </c>
      <c r="H12" s="12">
        <f>SUM(G24:H361)</f>
        <v>1015.5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20</v>
      </c>
      <c r="C13" s="7" t="s">
        <v>21</v>
      </c>
      <c r="D13" s="6">
        <v>36.0</v>
      </c>
      <c r="E13" s="8">
        <v>46123.381793865745</v>
      </c>
      <c r="F13" s="2"/>
      <c r="G13" s="9" t="s">
        <v>22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23</v>
      </c>
      <c r="D14" s="6">
        <v>156.0</v>
      </c>
      <c r="E14" s="8">
        <v>46123.38679392361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25</v>
      </c>
      <c r="D15" s="6">
        <v>31.0</v>
      </c>
      <c r="E15" s="8">
        <v>46123.39163431713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26</v>
      </c>
      <c r="D16" s="6">
        <v>46.0</v>
      </c>
      <c r="E16" s="8">
        <v>46123.39173884259</v>
      </c>
      <c r="F16" s="2"/>
      <c r="G16" s="15" t="s">
        <v>27</v>
      </c>
      <c r="H16" s="16">
        <f>SUM(H9:H14)</f>
        <v>3175.5</v>
      </c>
      <c r="I16" s="3"/>
      <c r="J16" s="15" t="s">
        <v>28</v>
      </c>
      <c r="K16" s="16">
        <f>SUM(K9:K11)</f>
        <v>3026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29</v>
      </c>
      <c r="D17" s="6">
        <v>46.0</v>
      </c>
      <c r="E17" s="8">
        <v>46123.3922268287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0.5</v>
      </c>
      <c r="C18" s="7" t="s">
        <v>30</v>
      </c>
      <c r="D18" s="6">
        <v>15.0</v>
      </c>
      <c r="E18" s="8">
        <v>46123.39237054398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149,50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41.0</v>
      </c>
      <c r="E19" s="8">
        <v>46123.39958423611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2.5</v>
      </c>
      <c r="E20" s="8">
        <v>46123.39981289352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90.0</v>
      </c>
      <c r="E21" s="8">
        <v>46123.40609813658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17.0</v>
      </c>
      <c r="E22" s="8">
        <v>46123.41409106481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90.0</v>
      </c>
      <c r="E23" s="8">
        <v>46123.41427620371</v>
      </c>
      <c r="F23" s="2"/>
      <c r="G23" s="19" t="s">
        <v>36</v>
      </c>
      <c r="H23" s="19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85.0</v>
      </c>
      <c r="E24" s="8">
        <v>46123.43476665509</v>
      </c>
      <c r="F24" s="2"/>
      <c r="G24" s="20">
        <v>19.0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14.0</v>
      </c>
      <c r="E25" s="8">
        <v>46123.43485168982</v>
      </c>
      <c r="F25" s="2"/>
      <c r="G25" s="20">
        <v>41.0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54.0</v>
      </c>
      <c r="E26" s="8">
        <v>46123.43491159722</v>
      </c>
      <c r="F26" s="2"/>
      <c r="G26" s="22">
        <v>2.5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15.0</v>
      </c>
      <c r="E27" s="8">
        <v>46123.43796954861</v>
      </c>
      <c r="F27" s="2"/>
      <c r="G27" s="20">
        <v>15.0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48.0</v>
      </c>
      <c r="E28" s="8">
        <v>46123.44887</v>
      </c>
      <c r="F28" s="2"/>
      <c r="G28" s="20">
        <v>48.0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3.0</v>
      </c>
      <c r="C29" s="7" t="s">
        <v>43</v>
      </c>
      <c r="D29" s="6">
        <v>27.0</v>
      </c>
      <c r="E29" s="8">
        <v>46123.452310486115</v>
      </c>
      <c r="F29" s="2"/>
      <c r="G29" s="20">
        <v>27.0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5.0</v>
      </c>
      <c r="E30" s="8">
        <v>46123.45851640047</v>
      </c>
      <c r="F30" s="2"/>
      <c r="G30" s="20">
        <v>40.0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45</v>
      </c>
      <c r="D31" s="6">
        <v>54.0</v>
      </c>
      <c r="E31" s="8">
        <v>46123.45858824074</v>
      </c>
      <c r="F31" s="2"/>
      <c r="G31" s="20">
        <v>30.0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15.0</v>
      </c>
      <c r="E32" s="8">
        <v>46123.45875612268</v>
      </c>
      <c r="F32" s="2"/>
      <c r="G32" s="20">
        <v>112.5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17.0</v>
      </c>
      <c r="E33" s="8">
        <v>46123.458836342594</v>
      </c>
      <c r="F33" s="2"/>
      <c r="G33" s="20">
        <v>110.0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9.0</v>
      </c>
      <c r="E34" s="8">
        <v>46123.47710421296</v>
      </c>
      <c r="F34" s="2"/>
      <c r="G34" s="20">
        <v>19.5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18.0</v>
      </c>
      <c r="E35" s="8">
        <v>46123.48054986111</v>
      </c>
      <c r="F35" s="2"/>
      <c r="G35" s="20">
        <v>50.0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2.0</v>
      </c>
      <c r="E36" s="8">
        <v>46123.486981215276</v>
      </c>
      <c r="F36" s="2"/>
      <c r="G36" s="20">
        <v>45.0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8.0</v>
      </c>
      <c r="E37" s="8">
        <v>46123.49329680555</v>
      </c>
      <c r="F37" s="2"/>
      <c r="G37" s="20">
        <v>56.0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40.0</v>
      </c>
      <c r="E38" s="8">
        <v>46123.50455077546</v>
      </c>
      <c r="F38" s="2"/>
      <c r="G38" s="20">
        <v>400.0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53</v>
      </c>
      <c r="D39" s="6">
        <v>24.0</v>
      </c>
      <c r="E39" s="8">
        <v>46123.52616141204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54</v>
      </c>
      <c r="D40" s="6">
        <v>1.5</v>
      </c>
      <c r="E40" s="8">
        <v>46123.526289814814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1.2</v>
      </c>
      <c r="C41" s="7" t="s">
        <v>55</v>
      </c>
      <c r="D41" s="6">
        <v>11.0</v>
      </c>
      <c r="E41" s="8">
        <v>46123.5417159375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16.0</v>
      </c>
      <c r="E42" s="8">
        <v>46123.541785497684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27.0</v>
      </c>
      <c r="E43" s="8">
        <v>46123.54189494213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9.0</v>
      </c>
      <c r="E44" s="8">
        <v>46123.543280729165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59</v>
      </c>
      <c r="C45" s="7" t="s">
        <v>60</v>
      </c>
      <c r="D45" s="6">
        <v>30.0</v>
      </c>
      <c r="E45" s="8">
        <v>46123.55227033565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6.0</v>
      </c>
      <c r="C46" s="7" t="s">
        <v>61</v>
      </c>
      <c r="D46" s="6">
        <v>3.5</v>
      </c>
      <c r="E46" s="8">
        <v>46123.558491944445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16.0</v>
      </c>
      <c r="E47" s="8">
        <v>46123.55865331019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91.0</v>
      </c>
      <c r="E48" s="8">
        <v>46123.55876697917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10.0</v>
      </c>
      <c r="C49" s="7" t="s">
        <v>64</v>
      </c>
      <c r="D49" s="6">
        <v>110.0</v>
      </c>
      <c r="E49" s="8">
        <v>46123.55921299769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65</v>
      </c>
      <c r="D50" s="6">
        <v>3.5</v>
      </c>
      <c r="E50" s="8">
        <v>46123.561174305556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16.0</v>
      </c>
      <c r="E51" s="8">
        <v>46123.561287777775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7.0</v>
      </c>
      <c r="E52" s="8">
        <v>46123.59056674768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5.0</v>
      </c>
      <c r="C53" s="7" t="s">
        <v>68</v>
      </c>
      <c r="D53" s="6">
        <v>22.5</v>
      </c>
      <c r="E53" s="8">
        <v>46123.60745225694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10.0</v>
      </c>
      <c r="C54" s="7" t="s">
        <v>43</v>
      </c>
      <c r="D54" s="6">
        <v>50.0</v>
      </c>
      <c r="E54" s="8">
        <v>46123.623626203705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53.0</v>
      </c>
      <c r="E55" s="8">
        <v>46123.64941113426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3.0</v>
      </c>
      <c r="E56" s="8">
        <v>46123.64948069444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45.0</v>
      </c>
      <c r="E57" s="8">
        <v>46123.649645185185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115.0</v>
      </c>
      <c r="E58" s="8">
        <v>46123.65995770833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230.0</v>
      </c>
      <c r="E59" s="8">
        <v>46123.66008277777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57.0</v>
      </c>
      <c r="E60" s="8">
        <v>46123.660247974534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20.0</v>
      </c>
      <c r="C61" s="7" t="s">
        <v>75</v>
      </c>
      <c r="D61" s="6">
        <v>30.0</v>
      </c>
      <c r="E61" s="8">
        <v>46123.660599814815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89.0</v>
      </c>
      <c r="E62" s="8">
        <v>46123.66164788195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80.0</v>
      </c>
      <c r="E63" s="8">
        <v>46123.661750266205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