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<sst xmlns="http://schemas.openxmlformats.org/spreadsheetml/2006/main" count="102" uniqueCount="99">
  <si>
    <t>HOJA DE CALCULO FERRETERIA</t>
  </si>
  <si>
    <t>CODIGO</t>
  </si>
  <si>
    <t>CANTIDAD</t>
  </si>
  <si>
    <t>DESCRIPCION</t>
  </si>
  <si>
    <t>TOTAL</t>
  </si>
  <si>
    <t>HORA</t>
  </si>
  <si>
    <t>CUADRAR</t>
  </si>
  <si>
    <t>winchas 30m jadever</t>
  </si>
  <si>
    <t>cinta asilante negra</t>
  </si>
  <si>
    <t>MONEDAS</t>
  </si>
  <si>
    <t>CAJA CHICA</t>
  </si>
  <si>
    <t>cepillo copa</t>
  </si>
  <si>
    <t>BILLETES 10-20</t>
  </si>
  <si>
    <t>TOTAL VENTAS DIA</t>
  </si>
  <si>
    <t>soda caustico</t>
  </si>
  <si>
    <t>BILLETES 50-100-200</t>
  </si>
  <si>
    <t>AUMENTO DE DINERO</t>
  </si>
  <si>
    <t>CHIP 4X25</t>
  </si>
  <si>
    <t>INGRESOS YAPE</t>
  </si>
  <si>
    <t>PERNO M6X16</t>
  </si>
  <si>
    <t>INGRESOS TARJETA</t>
  </si>
  <si>
    <t>ESTILETES</t>
  </si>
  <si>
    <t>GASTOS VARIOS</t>
  </si>
  <si>
    <t>REPUESTO D ESTILETE</t>
  </si>
  <si>
    <t>CHAPA TRAVEX</t>
  </si>
  <si>
    <t>DINERO GANADO HOY:</t>
  </si>
  <si>
    <t>CANTIDAD DINERO CAJA:</t>
  </si>
  <si>
    <t>SILICON SIKA</t>
  </si>
  <si>
    <t>DADO LARGO 11</t>
  </si>
  <si>
    <t>JUEGO DE ACOPLE COMPRESORA</t>
  </si>
  <si>
    <t>LETE TR</t>
  </si>
  <si>
    <t>DISCO NORTON 4</t>
  </si>
  <si>
    <t>DISCO NORTON 9</t>
  </si>
  <si>
    <t xml:space="preserve">CUBRE CABLE </t>
  </si>
  <si>
    <t>YAPE MAMÁ</t>
  </si>
  <si>
    <t>YAPE PAPÁ</t>
  </si>
  <si>
    <t>LLAVE ALESN</t>
  </si>
  <si>
    <t>grasera tr</t>
  </si>
  <si>
    <t>cinta embalaje</t>
  </si>
  <si>
    <t>cinta tela tr</t>
  </si>
  <si>
    <t>guantes latex</t>
  </si>
  <si>
    <t>l thinner acrilico</t>
  </si>
  <si>
    <t>bolsa de reciduo toxico</t>
  </si>
  <si>
    <t>bolsa basura</t>
  </si>
  <si>
    <t>mascadores negro</t>
  </si>
  <si>
    <t>interrptor de paso</t>
  </si>
  <si>
    <t>disco galleta</t>
  </si>
  <si>
    <t>grifo 1/2 itap</t>
  </si>
  <si>
    <t>clavija solera</t>
  </si>
  <si>
    <t>cina asilante</t>
  </si>
  <si>
    <t>10M</t>
  </si>
  <si>
    <t>ALAMBRE 16</t>
  </si>
  <si>
    <t>GRAMPA</t>
  </si>
  <si>
    <t>POXIPOLMETALICO</t>
  </si>
  <si>
    <t>LLAVERO MULTIUSO</t>
  </si>
  <si>
    <t>PERNO</t>
  </si>
  <si>
    <t>CHIP X RAMPLU + TIRAFONFO</t>
  </si>
  <si>
    <t>PIGMENTO MORADO</t>
  </si>
  <si>
    <t>TOMA SOBREPONER</t>
  </si>
  <si>
    <t>5M</t>
  </si>
  <si>
    <t>ALAMBRE 12</t>
  </si>
  <si>
    <t>RAMPLU 6</t>
  </si>
  <si>
    <t>CHIP 4X30</t>
  </si>
  <si>
    <t>AEROSOL BLANC MATE</t>
  </si>
  <si>
    <t>ALARGADOR ULTRA</t>
  </si>
  <si>
    <t>ALARGADOR COMPU</t>
  </si>
  <si>
    <t>ALICATE CORTE</t>
  </si>
  <si>
    <t>PISTOLA SILICONA TR</t>
  </si>
  <si>
    <t>BRASSO</t>
  </si>
  <si>
    <t>A40</t>
  </si>
  <si>
    <t>BROCHA 2</t>
  </si>
  <si>
    <t>JUEG DE PNTAS</t>
  </si>
  <si>
    <t>JUEGO DE PUMTYAS</t>
  </si>
  <si>
    <t>ECOLE</t>
  </si>
  <si>
    <t>REDUCCION BUJE 1 1/2*1</t>
  </si>
  <si>
    <t>CHICOTILLO 50</t>
  </si>
  <si>
    <t>CHICOTILLO 30</t>
  </si>
  <si>
    <t>ABRAZADERA 1/2</t>
  </si>
  <si>
    <t>CODO 1/2 FG</t>
  </si>
  <si>
    <t>RAMPLU 6 + CHIP</t>
  </si>
  <si>
    <t>BROCA ENCASTRE</t>
  </si>
  <si>
    <t>oatey</t>
  </si>
  <si>
    <t>boton lateral</t>
  </si>
  <si>
    <t>tarraja 1/2</t>
  </si>
  <si>
    <t>espiga</t>
  </si>
  <si>
    <t>parabon</t>
  </si>
  <si>
    <t>tubo conduit 3/4</t>
  </si>
  <si>
    <t>cubre cable 10x20</t>
  </si>
  <si>
    <t>codo conduti 3/4</t>
  </si>
  <si>
    <t>autoperforante 12*1</t>
  </si>
  <si>
    <t>aerosol plateado</t>
  </si>
  <si>
    <t>cemento blaco</t>
  </si>
  <si>
    <t>LIMPIA CONACOT LEON</t>
  </si>
  <si>
    <t>LIMA VIDRIO AKFI</t>
  </si>
  <si>
    <t>PISPOT CON PERDIGON</t>
  </si>
  <si>
    <t>GOMA INODORO</t>
  </si>
  <si>
    <t>ESPACIADORES</t>
  </si>
  <si>
    <t>alargdor de corriente ultra</t>
  </si>
  <si>
    <t>chicotillo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</si>
</sst>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80.0</v>
      </c>
      <c r="E8" s="8">
        <v>46140.349538124996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13.0</v>
      </c>
      <c r="E9" s="8">
        <v>46140.35812611111</v>
      </c>
      <c r="F9" s="2"/>
      <c r="G9" s="9" t="s">
        <v>9</v>
      </c>
      <c r="H9" s="10">
        <v>79.0</v>
      </c>
      <c r="I9" s="2"/>
      <c r="J9" s="9" t="s">
        <v>10</v>
      </c>
      <c r="K9" s="10">
        <v>488.0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31.0</v>
      </c>
      <c r="E10" s="8">
        <v>46140.36070055555</v>
      </c>
      <c r="F10" s="2"/>
      <c r="G10" s="9" t="s">
        <v>12</v>
      </c>
      <c r="H10" s="10">
        <v>210.0</v>
      </c>
      <c r="I10" s="2"/>
      <c r="J10" s="9" t="s">
        <v>13</v>
      </c>
      <c r="K10" s="11">
        <f>SUM(PRINCIPAL[TOTAL])</f>
        <v>7816.46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25.0</v>
      </c>
      <c r="E11" s="8">
        <v>46140.36432596065</v>
      </c>
      <c r="F11" s="2"/>
      <c r="G11" s="9" t="s">
        <v>15</v>
      </c>
      <c r="H11" s="10">
        <v>2300.0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4.5</v>
      </c>
      <c r="C12" s="7" t="s">
        <v>17</v>
      </c>
      <c r="D12" s="6">
        <v>17.5</v>
      </c>
      <c r="E12" s="8">
        <v>46140.38590893519</v>
      </c>
      <c r="F12" s="2"/>
      <c r="G12" s="9" t="s">
        <v>18</v>
      </c>
      <c r="H12" s="12">
        <f>SUM(G24:H361)</f>
        <v>5874.96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2.5</v>
      </c>
      <c r="C13" s="7" t="s">
        <v>19</v>
      </c>
      <c r="D13" s="6">
        <v>11.0</v>
      </c>
      <c r="E13" s="8">
        <v>46140.38608789352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20.0</v>
      </c>
      <c r="E14" s="8">
        <v>46140.38620729167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16.0</v>
      </c>
      <c r="E15" s="8">
        <v>46140.386302175924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200.0</v>
      </c>
      <c r="E16" s="8">
        <v>46140.394405625004</v>
      </c>
      <c r="F16" s="2"/>
      <c r="G16" s="15" t="s">
        <v>25</v>
      </c>
      <c r="H16" s="16">
        <f>SUM(H9:H14)</f>
        <v>8463.96</v>
      </c>
      <c r="I16" s="3"/>
      <c r="J16" s="15" t="s">
        <v>26</v>
      </c>
      <c r="K16" s="16">
        <f>SUM(K9:K11)</f>
        <v>8304.46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36.0</v>
      </c>
      <c r="E17" s="8">
        <v>46140.39959369213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100.0</v>
      </c>
      <c r="E18" s="8">
        <v>46140.40209832176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159,50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126.0</v>
      </c>
      <c r="E19" s="8">
        <v>46140.40218572917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38.0</v>
      </c>
      <c r="E20" s="8">
        <v>46140.40224791667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18.0</v>
      </c>
      <c r="E21" s="8">
        <v>46140.402381875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32.0</v>
      </c>
      <c r="E22" s="8">
        <v>46140.40246527777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4.0</v>
      </c>
      <c r="C23" s="7" t="s">
        <v>33</v>
      </c>
      <c r="D23" s="6">
        <v>32.0</v>
      </c>
      <c r="E23" s="8">
        <v>46140.42569956019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80.0</v>
      </c>
      <c r="E24" s="8">
        <v>46140.4257269213</v>
      </c>
      <c r="F24" s="2"/>
      <c r="G24" s="20">
        <v>13.0</v>
      </c>
      <c r="H24" s="20">
        <v>4219.0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195.0</v>
      </c>
      <c r="E25" s="8">
        <v>46140.45594168981</v>
      </c>
      <c r="F25" s="2"/>
      <c r="G25" s="20">
        <v>25.0</v>
      </c>
      <c r="H25" s="20">
        <v>638.5</v>
      </c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10.0</v>
      </c>
      <c r="C26" s="7" t="s">
        <v>38</v>
      </c>
      <c r="D26" s="6">
        <v>120.0</v>
      </c>
      <c r="E26" s="8">
        <v>46140.45610037037</v>
      </c>
      <c r="F26" s="2"/>
      <c r="G26" s="21">
        <v>84.5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4.0</v>
      </c>
      <c r="C27" s="7" t="s">
        <v>39</v>
      </c>
      <c r="D27" s="6">
        <v>232.0</v>
      </c>
      <c r="E27" s="8">
        <v>46140.456220196764</v>
      </c>
      <c r="F27" s="2"/>
      <c r="G27" s="20">
        <v>32.0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120.0</v>
      </c>
      <c r="C28" s="7" t="s">
        <v>40</v>
      </c>
      <c r="D28" s="6">
        <v>1320.0</v>
      </c>
      <c r="E28" s="8">
        <v>46140.45656368056</v>
      </c>
      <c r="F28" s="2"/>
      <c r="G28" s="20">
        <v>24.0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24.0</v>
      </c>
      <c r="C29" s="7" t="s">
        <v>41</v>
      </c>
      <c r="D29" s="6">
        <v>1080.0</v>
      </c>
      <c r="E29" s="8">
        <v>46140.4567409375</v>
      </c>
      <c r="F29" s="2"/>
      <c r="G29" s="20">
        <v>5.0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200.0</v>
      </c>
      <c r="C30" s="7" t="s">
        <v>42</v>
      </c>
      <c r="D30" s="6">
        <v>668.0</v>
      </c>
      <c r="E30" s="8">
        <v>46140.45697168981</v>
      </c>
      <c r="F30" s="2"/>
      <c r="G30" s="20">
        <v>12.0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200.0</v>
      </c>
      <c r="C31" s="7" t="s">
        <v>43</v>
      </c>
      <c r="D31" s="6">
        <v>484.0</v>
      </c>
      <c r="E31" s="8">
        <v>46140.457105023146</v>
      </c>
      <c r="F31" s="2"/>
      <c r="G31" s="20">
        <v>68.0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20.0</v>
      </c>
      <c r="C32" s="7" t="s">
        <v>44</v>
      </c>
      <c r="D32" s="6">
        <v>120.0</v>
      </c>
      <c r="E32" s="8">
        <v>46140.4572462963</v>
      </c>
      <c r="F32" s="2"/>
      <c r="G32" s="20">
        <v>10.96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3.0</v>
      </c>
      <c r="C33" s="7" t="s">
        <v>45</v>
      </c>
      <c r="D33" s="6">
        <v>24.0</v>
      </c>
      <c r="E33" s="8">
        <v>46140.457546273145</v>
      </c>
      <c r="F33" s="2"/>
      <c r="G33" s="20">
        <v>20.0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46</v>
      </c>
      <c r="D34" s="6">
        <v>5.0</v>
      </c>
      <c r="E34" s="8">
        <v>46140.4583987963</v>
      </c>
      <c r="F34" s="2"/>
      <c r="G34" s="20">
        <v>38.0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47</v>
      </c>
      <c r="D35" s="6">
        <v>86.0</v>
      </c>
      <c r="E35" s="8">
        <v>46140.463031273146</v>
      </c>
      <c r="F35" s="2"/>
      <c r="G35" s="20">
        <v>84.0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40.0</v>
      </c>
      <c r="E36" s="8">
        <v>46140.46746613426</v>
      </c>
      <c r="F36" s="2"/>
      <c r="G36" s="20">
        <v>24.0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49</v>
      </c>
      <c r="D37" s="6">
        <v>9.0</v>
      </c>
      <c r="E37" s="8">
        <v>46140.467558379634</v>
      </c>
      <c r="F37" s="2"/>
      <c r="G37" s="20">
        <v>51.0</v>
      </c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 t="s">
        <v>50</v>
      </c>
      <c r="C38" s="7" t="s">
        <v>51</v>
      </c>
      <c r="D38" s="6">
        <v>45.0</v>
      </c>
      <c r="E38" s="8">
        <v>46140.47301133102</v>
      </c>
      <c r="F38" s="2"/>
      <c r="G38" s="20">
        <v>25.0</v>
      </c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12.0</v>
      </c>
      <c r="E39" s="8">
        <v>46140.47304491898</v>
      </c>
      <c r="F39" s="2"/>
      <c r="G39" s="20">
        <v>182.0</v>
      </c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38.0</v>
      </c>
      <c r="E40" s="8">
        <v>46140.47538758102</v>
      </c>
      <c r="F40" s="2"/>
      <c r="G40" s="20">
        <v>84.0</v>
      </c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68.0</v>
      </c>
      <c r="E41" s="8">
        <v>46140.47579</v>
      </c>
      <c r="F41" s="2"/>
      <c r="G41" s="20">
        <v>140.0</v>
      </c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8.0</v>
      </c>
      <c r="C42" s="7" t="s">
        <v>55</v>
      </c>
      <c r="D42" s="6">
        <v>2.0</v>
      </c>
      <c r="E42" s="8">
        <v>46140.50507658564</v>
      </c>
      <c r="F42" s="2"/>
      <c r="G42" s="20">
        <v>95.0</v>
      </c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24.0</v>
      </c>
      <c r="C43" s="7" t="s">
        <v>56</v>
      </c>
      <c r="D43" s="6">
        <v>10.96</v>
      </c>
      <c r="E43" s="8">
        <v>46140.514433738426</v>
      </c>
      <c r="F43" s="2"/>
      <c r="G43" s="22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57</v>
      </c>
      <c r="D44" s="6">
        <v>10.0</v>
      </c>
      <c r="E44" s="8">
        <v>46140.52430388889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58</v>
      </c>
      <c r="D45" s="6">
        <v>8.0</v>
      </c>
      <c r="E45" s="8">
        <v>46140.54016428241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59</v>
      </c>
      <c r="C46" s="7" t="s">
        <v>60</v>
      </c>
      <c r="D46" s="6">
        <v>52.5</v>
      </c>
      <c r="E46" s="8">
        <v>46140.5402918287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12.0</v>
      </c>
      <c r="C47" s="7" t="s">
        <v>61</v>
      </c>
      <c r="D47" s="6">
        <v>1.0</v>
      </c>
      <c r="E47" s="8">
        <v>46140.54039488426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24.0</v>
      </c>
      <c r="C48" s="7" t="s">
        <v>62</v>
      </c>
      <c r="D48" s="6">
        <v>5.0</v>
      </c>
      <c r="E48" s="8">
        <v>46140.54047770833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20.0</v>
      </c>
      <c r="E49" s="8">
        <v>46140.54246855324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64</v>
      </c>
      <c r="D50" s="6">
        <v>75.0</v>
      </c>
      <c r="E50" s="8">
        <v>46140.55215344907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65</v>
      </c>
      <c r="D51" s="6">
        <v>65.0</v>
      </c>
      <c r="E51" s="8">
        <v>46140.552266053244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32.0</v>
      </c>
      <c r="E52" s="8">
        <v>46140.55232487268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67</v>
      </c>
      <c r="D53" s="6">
        <v>38.0</v>
      </c>
      <c r="E53" s="8">
        <v>46140.581137835645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68</v>
      </c>
      <c r="D54" s="6">
        <v>53.0</v>
      </c>
      <c r="E54" s="8">
        <v>46140.59024832176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69</v>
      </c>
      <c r="D55" s="6">
        <v>31.0</v>
      </c>
      <c r="E55" s="8">
        <v>46140.590311817126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70</v>
      </c>
      <c r="D56" s="6">
        <v>6.0</v>
      </c>
      <c r="E56" s="8">
        <v>46140.5955819213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71</v>
      </c>
      <c r="D57" s="6">
        <v>33.0</v>
      </c>
      <c r="E57" s="8">
        <v>46140.62621041667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72</v>
      </c>
      <c r="D58" s="6">
        <v>25.0</v>
      </c>
      <c r="E58" s="8">
        <v>46140.616890879624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24.0</v>
      </c>
      <c r="E59" s="8">
        <v>46140.62623274306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74</v>
      </c>
      <c r="D60" s="6">
        <v>65.0</v>
      </c>
      <c r="E60" s="8">
        <v>46140.633759641205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75</v>
      </c>
      <c r="D61" s="6">
        <v>52.0</v>
      </c>
      <c r="E61" s="8">
        <v>46140.638854386576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76</v>
      </c>
      <c r="D62" s="6">
        <v>48.0</v>
      </c>
      <c r="E62" s="8">
        <v>46140.63895033565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4.0</v>
      </c>
      <c r="C63" s="7" t="s">
        <v>77</v>
      </c>
      <c r="D63" s="6">
        <v>8.0</v>
      </c>
      <c r="E63" s="8">
        <v>46140.6390413426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4.0</v>
      </c>
      <c r="C64" s="7" t="s">
        <v>78</v>
      </c>
      <c r="D64" s="6">
        <v>40.0</v>
      </c>
      <c r="E64" s="23"/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6.0</v>
      </c>
      <c r="C65" s="7" t="s">
        <v>79</v>
      </c>
      <c r="D65" s="6">
        <v>2.0</v>
      </c>
      <c r="E65" s="8">
        <v>46140.63956483796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80</v>
      </c>
      <c r="D66" s="6">
        <v>20.0</v>
      </c>
      <c r="E66" s="8">
        <v>46140.639649942124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81</v>
      </c>
      <c r="D67" s="6">
        <v>40.0</v>
      </c>
      <c r="E67" s="8">
        <v>46140.64531423611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82</v>
      </c>
      <c r="D68" s="6">
        <v>35.0</v>
      </c>
      <c r="E68" s="8">
        <v>46140.64537745371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83</v>
      </c>
      <c r="D69" s="6">
        <v>51.0</v>
      </c>
      <c r="E69" s="8">
        <v>46140.64619827546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84</v>
      </c>
      <c r="D70" s="6">
        <v>224.0</v>
      </c>
      <c r="E70" s="8">
        <v>46140.6520603588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85</v>
      </c>
      <c r="D71" s="6">
        <v>70.0</v>
      </c>
      <c r="E71" s="8">
        <v>46140.65245162037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14</v>
      </c>
      <c r="D72" s="6">
        <v>25.0</v>
      </c>
      <c r="E72" s="8">
        <v>46140.66926012731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27.0</v>
      </c>
      <c r="C73" s="7" t="s">
        <v>86</v>
      </c>
      <c r="D73" s="6">
        <v>216.0</v>
      </c>
      <c r="E73" s="8">
        <v>46140.67580776621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40.0</v>
      </c>
      <c r="C74" s="7" t="s">
        <v>87</v>
      </c>
      <c r="D74" s="6">
        <v>400.0</v>
      </c>
      <c r="E74" s="8">
        <v>46140.67594508102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15.0</v>
      </c>
      <c r="C75" s="7" t="s">
        <v>88</v>
      </c>
      <c r="D75" s="6">
        <v>22.5</v>
      </c>
      <c r="E75" s="8">
        <v>46140.681578738426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350.0</v>
      </c>
      <c r="C76" s="7" t="s">
        <v>89</v>
      </c>
      <c r="D76" s="6">
        <v>182.0</v>
      </c>
      <c r="E76" s="8">
        <v>46140.70612771991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90</v>
      </c>
      <c r="D77" s="6">
        <v>20.0</v>
      </c>
      <c r="E77" s="8">
        <v>46140.71647289352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91</v>
      </c>
      <c r="D78" s="6">
        <v>12.0</v>
      </c>
      <c r="E78" s="8">
        <v>46140.716704861115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92</v>
      </c>
      <c r="D79" s="6">
        <v>40.0</v>
      </c>
      <c r="E79" s="8">
        <v>46140.72221017361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93</v>
      </c>
      <c r="D80" s="6">
        <v>32.0</v>
      </c>
      <c r="E80" s="8">
        <v>46140.72230208333</v>
      </c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94</v>
      </c>
      <c r="D81" s="6">
        <v>12.0</v>
      </c>
      <c r="E81" s="8">
        <v>46140.72243284722</v>
      </c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95</v>
      </c>
      <c r="D82" s="6">
        <v>16.0</v>
      </c>
      <c r="E82" s="8">
        <v>46140.72827840278</v>
      </c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54</v>
      </c>
      <c r="D83" s="6">
        <v>23.0</v>
      </c>
      <c r="E83" s="8">
        <v>46140.72833509259</v>
      </c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4.0</v>
      </c>
      <c r="C84" s="7" t="s">
        <v>96</v>
      </c>
      <c r="D84" s="6">
        <v>140.0</v>
      </c>
      <c r="E84" s="8">
        <v>46140.73099200231</v>
      </c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97</v>
      </c>
      <c r="D85" s="6">
        <v>95.0</v>
      </c>
      <c r="E85" s="8">
        <v>46140.75009880787</v>
      </c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49</v>
      </c>
      <c r="D86" s="6">
        <v>13.0</v>
      </c>
      <c r="E86" s="8">
        <v>46140.75101577546</v>
      </c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98</v>
      </c>
      <c r="D87" s="24"/>
      <c r="E87" s="8">
        <v>46140.75144299769</v>
      </c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5"/>
      <c r="D88" s="24"/>
      <c r="E88" s="23"/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5"/>
      <c r="D89" s="24"/>
      <c r="E89" s="23"/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5"/>
      <c r="D90" s="24"/>
      <c r="E90" s="23"/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5"/>
      <c r="D91" s="24"/>
      <c r="E91" s="23"/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5"/>
      <c r="D92" s="24"/>
      <c r="E92" s="23"/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5"/>
      <c r="D93" s="24"/>
      <c r="E93" s="23"/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5"/>
      <c r="D94" s="24"/>
      <c r="E94" s="23"/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5"/>
      <c r="D95" s="24"/>
      <c r="E95" s="23"/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5"/>
      <c r="D96" s="24"/>
      <c r="E96" s="23"/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5"/>
      <c r="D97" s="24"/>
      <c r="E97" s="23"/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5"/>
      <c r="D98" s="24"/>
      <c r="E98" s="23"/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5"/>
      <c r="D99" s="24"/>
      <c r="E99" s="23"/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5"/>
      <c r="D100" s="24"/>
      <c r="E100" s="23"/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5"/>
      <c r="D101" s="24"/>
      <c r="E101" s="23"/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5"/>
      <c r="D102" s="24"/>
      <c r="E102" s="23"/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5"/>
      <c r="D103" s="24"/>
      <c r="E103" s="23"/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5"/>
      <c r="D104" s="24"/>
      <c r="E104" s="23"/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5"/>
      <c r="D105" s="24"/>
      <c r="E105" s="23"/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5"/>
      <c r="D106" s="24"/>
      <c r="E106" s="23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5"/>
      <c r="D107" s="24"/>
      <c r="E107" s="23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5"/>
      <c r="D108" s="24"/>
      <c r="E108" s="23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5"/>
      <c r="D109" s="24"/>
      <c r="E109" s="23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5"/>
      <c r="D110" s="24"/>
      <c r="E110" s="23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5"/>
      <c r="D111" s="24"/>
      <c r="E111" s="23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5"/>
      <c r="D112" s="24"/>
      <c r="E112" s="23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5"/>
      <c r="D113" s="24"/>
      <c r="E113" s="23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5"/>
      <c r="D114" s="24"/>
      <c r="E114" s="23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5"/>
      <c r="D115" s="24"/>
      <c r="E115" s="23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5"/>
      <c r="D116" s="24"/>
      <c r="E116" s="23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5"/>
      <c r="D117" s="24"/>
      <c r="E117" s="23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5"/>
      <c r="D118" s="24"/>
      <c r="E118" s="23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5"/>
      <c r="D119" s="24"/>
      <c r="E119" s="23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5"/>
      <c r="D120" s="24"/>
      <c r="E120" s="23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5"/>
      <c r="D121" s="24"/>
      <c r="E121" s="23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5"/>
      <c r="D122" s="24"/>
      <c r="E122" s="23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5"/>
      <c r="D123" s="24"/>
      <c r="E123" s="23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5"/>
      <c r="D124" s="24"/>
      <c r="E124" s="23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5"/>
      <c r="D125" s="24"/>
      <c r="E125" s="23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5"/>
      <c r="D126" s="24"/>
      <c r="E126" s="23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5"/>
      <c r="D127" s="24"/>
      <c r="E127" s="23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5"/>
      <c r="D128" s="24"/>
      <c r="E128" s="23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5"/>
      <c r="D129" s="24"/>
      <c r="E129" s="23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5"/>
      <c r="D130" s="24"/>
      <c r="E130" s="23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5"/>
      <c r="D131" s="24"/>
      <c r="E131" s="23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5"/>
      <c r="D132" s="24"/>
      <c r="E132" s="23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5"/>
      <c r="D133" s="24"/>
      <c r="E133" s="23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5"/>
      <c r="D134" s="24"/>
      <c r="E134" s="23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5"/>
      <c r="D135" s="24"/>
      <c r="E135" s="23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5"/>
      <c r="D136" s="24"/>
      <c r="E136" s="23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5"/>
      <c r="D137" s="24"/>
      <c r="E137" s="23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5"/>
      <c r="D138" s="24"/>
      <c r="E138" s="23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5"/>
      <c r="D139" s="24"/>
      <c r="E139" s="23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5"/>
      <c r="D140" s="24"/>
      <c r="E140" s="23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5"/>
      <c r="D141" s="24"/>
      <c r="E141" s="23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5"/>
      <c r="D142" s="24"/>
      <c r="E142" s="23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5"/>
      <c r="D143" s="24"/>
      <c r="E143" s="23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5"/>
      <c r="D144" s="24"/>
      <c r="E144" s="23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5"/>
      <c r="D145" s="24"/>
      <c r="E145" s="23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5"/>
      <c r="D146" s="24"/>
      <c r="E146" s="23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5"/>
      <c r="D147" s="24"/>
      <c r="E147" s="23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5"/>
      <c r="D148" s="24"/>
      <c r="E148" s="23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5"/>
      <c r="D149" s="24"/>
      <c r="E149" s="23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5"/>
      <c r="D150" s="24"/>
      <c r="E150" s="23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5"/>
      <c r="D151" s="24"/>
      <c r="E151" s="23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5"/>
      <c r="D152" s="24"/>
      <c r="E152" s="23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5"/>
      <c r="D153" s="24"/>
      <c r="E153" s="23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5"/>
      <c r="D154" s="24"/>
      <c r="E154" s="23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5"/>
      <c r="D155" s="24"/>
      <c r="E155" s="23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5"/>
      <c r="D156" s="24"/>
      <c r="E156" s="23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5"/>
      <c r="D157" s="24"/>
      <c r="E157" s="23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5"/>
      <c r="D158" s="24"/>
      <c r="E158" s="23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5"/>
      <c r="D159" s="24"/>
      <c r="E159" s="23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5"/>
      <c r="D160" s="24"/>
      <c r="E160" s="23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5"/>
      <c r="D161" s="24"/>
      <c r="E161" s="23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5"/>
      <c r="D162" s="24"/>
      <c r="E162" s="23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5"/>
      <c r="D163" s="24"/>
      <c r="E163" s="23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5"/>
      <c r="D164" s="24"/>
      <c r="E164" s="23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5"/>
      <c r="D165" s="24"/>
      <c r="E165" s="23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5"/>
      <c r="D166" s="24"/>
      <c r="E166" s="23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5"/>
      <c r="D167" s="24"/>
      <c r="E167" s="23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5"/>
      <c r="D168" s="24"/>
      <c r="E168" s="23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5"/>
      <c r="D169" s="24"/>
      <c r="E169" s="23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5"/>
      <c r="D170" s="24"/>
      <c r="E170" s="23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5"/>
      <c r="D171" s="24"/>
      <c r="E171" s="23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5"/>
      <c r="D172" s="24"/>
      <c r="E172" s="23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5"/>
      <c r="D173" s="24"/>
      <c r="E173" s="23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5"/>
      <c r="D174" s="24"/>
      <c r="E174" s="23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5"/>
      <c r="D175" s="24"/>
      <c r="E175" s="23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5"/>
      <c r="D176" s="24"/>
      <c r="E176" s="23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5"/>
      <c r="D177" s="24"/>
      <c r="E177" s="23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5"/>
      <c r="D178" s="24"/>
      <c r="E178" s="23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5"/>
      <c r="D179" s="24"/>
      <c r="E179" s="23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5"/>
      <c r="D180" s="24"/>
      <c r="E180" s="23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5"/>
      <c r="D181" s="24"/>
      <c r="E181" s="23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5"/>
      <c r="D182" s="24"/>
      <c r="E182" s="23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5"/>
      <c r="D183" s="24"/>
      <c r="E183" s="23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5"/>
      <c r="D184" s="24"/>
      <c r="E184" s="23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5"/>
      <c r="D185" s="24"/>
      <c r="E185" s="23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5"/>
      <c r="D186" s="24"/>
      <c r="E186" s="23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5"/>
      <c r="D187" s="24"/>
      <c r="E187" s="23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5"/>
      <c r="D188" s="24"/>
      <c r="E188" s="23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5"/>
      <c r="D189" s="24"/>
      <c r="E189" s="23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5"/>
      <c r="D190" s="24"/>
      <c r="E190" s="23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5"/>
      <c r="D191" s="24"/>
      <c r="E191" s="23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5"/>
      <c r="D192" s="24"/>
      <c r="E192" s="23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5"/>
      <c r="D193" s="24"/>
      <c r="E193" s="23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5"/>
      <c r="D194" s="24"/>
      <c r="E194" s="23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5"/>
      <c r="D195" s="24"/>
      <c r="E195" s="23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5"/>
      <c r="D196" s="24"/>
      <c r="E196" s="23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5"/>
      <c r="D197" s="24"/>
      <c r="E197" s="23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5"/>
      <c r="D198" s="24"/>
      <c r="E198" s="23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5"/>
      <c r="D199" s="24"/>
      <c r="E199" s="23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5"/>
      <c r="D200" s="24"/>
      <c r="E200" s="23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5"/>
      <c r="D201" s="24"/>
      <c r="E201" s="23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5"/>
      <c r="D202" s="24"/>
      <c r="E202" s="23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5"/>
      <c r="D203" s="24"/>
      <c r="E203" s="23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5"/>
      <c r="D204" s="24"/>
      <c r="E204" s="23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5"/>
      <c r="D205" s="24"/>
      <c r="E205" s="23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5"/>
      <c r="D206" s="24"/>
      <c r="E206" s="23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5"/>
      <c r="D207" s="24"/>
      <c r="E207" s="23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5"/>
      <c r="D208" s="24"/>
      <c r="E208" s="23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5"/>
      <c r="D209" s="24"/>
      <c r="E209" s="23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5"/>
      <c r="D210" s="24"/>
      <c r="E210" s="23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5"/>
      <c r="D211" s="24"/>
      <c r="E211" s="23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5"/>
      <c r="D212" s="24"/>
      <c r="E212" s="23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5"/>
      <c r="D213" s="24"/>
      <c r="E213" s="23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5"/>
      <c r="D214" s="24"/>
      <c r="E214" s="23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5"/>
      <c r="D215" s="24"/>
      <c r="E215" s="23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5"/>
      <c r="D216" s="24"/>
      <c r="E216" s="23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5"/>
      <c r="D217" s="24"/>
      <c r="E217" s="23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5"/>
      <c r="D218" s="24"/>
      <c r="E218" s="23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5"/>
      <c r="D219" s="24"/>
      <c r="E219" s="23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5"/>
      <c r="D220" s="24"/>
      <c r="E220" s="23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5"/>
      <c r="D221" s="24"/>
      <c r="E221" s="23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5"/>
      <c r="D222" s="24"/>
      <c r="E222" s="23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5"/>
      <c r="D223" s="24"/>
      <c r="E223" s="23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5"/>
      <c r="D224" s="24"/>
      <c r="E224" s="23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5"/>
      <c r="D225" s="24"/>
      <c r="E225" s="23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5"/>
      <c r="D226" s="24"/>
      <c r="E226" s="23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5"/>
      <c r="D227" s="24"/>
      <c r="E227" s="23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5"/>
      <c r="D228" s="24"/>
      <c r="E228" s="23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5"/>
      <c r="D229" s="24"/>
      <c r="E229" s="23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5"/>
      <c r="D230" s="24"/>
      <c r="E230" s="23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5"/>
      <c r="D231" s="24"/>
      <c r="E231" s="23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5"/>
      <c r="D232" s="24"/>
      <c r="E232" s="23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5"/>
      <c r="D233" s="24"/>
      <c r="E233" s="23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5"/>
      <c r="D234" s="24"/>
      <c r="E234" s="23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5"/>
      <c r="D235" s="24"/>
      <c r="E235" s="23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5"/>
      <c r="D236" s="24"/>
      <c r="E236" s="23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5"/>
      <c r="D237" s="24"/>
      <c r="E237" s="23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5"/>
      <c r="D238" s="24"/>
      <c r="E238" s="23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5"/>
      <c r="D239" s="24"/>
      <c r="E239" s="23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5"/>
      <c r="D240" s="24"/>
      <c r="E240" s="23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5"/>
      <c r="D241" s="24"/>
      <c r="E241" s="23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5"/>
      <c r="D242" s="24"/>
      <c r="E242" s="23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5"/>
      <c r="D243" s="24"/>
      <c r="E243" s="23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5"/>
      <c r="D244" s="24"/>
      <c r="E244" s="23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5"/>
      <c r="D245" s="24"/>
      <c r="E245" s="23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5"/>
      <c r="D246" s="24"/>
      <c r="E246" s="23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5"/>
      <c r="D247" s="24"/>
      <c r="E247" s="23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5"/>
      <c r="D248" s="24"/>
      <c r="E248" s="23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5"/>
      <c r="D249" s="24"/>
      <c r="E249" s="23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5"/>
      <c r="D250" s="24"/>
      <c r="E250" s="23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5"/>
      <c r="D251" s="24"/>
      <c r="E251" s="23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5"/>
      <c r="D252" s="24"/>
      <c r="E252" s="23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5"/>
      <c r="D253" s="24"/>
      <c r="E253" s="23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5"/>
      <c r="D254" s="24"/>
      <c r="E254" s="23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5"/>
      <c r="D255" s="24"/>
      <c r="E255" s="23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5"/>
      <c r="D256" s="24"/>
      <c r="E256" s="23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5"/>
      <c r="D257" s="24"/>
      <c r="E257" s="23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5"/>
      <c r="D258" s="24"/>
      <c r="E258" s="23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5"/>
      <c r="D259" s="24"/>
      <c r="E259" s="23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5"/>
      <c r="D260" s="24"/>
      <c r="E260" s="23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5"/>
      <c r="D261" s="24"/>
      <c r="E261" s="23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5"/>
      <c r="D262" s="24"/>
      <c r="E262" s="23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5"/>
      <c r="D263" s="24"/>
      <c r="E263" s="23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5"/>
      <c r="D264" s="24"/>
      <c r="E264" s="23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5"/>
      <c r="D265" s="24"/>
      <c r="E265" s="23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5"/>
      <c r="D266" s="24"/>
      <c r="E266" s="23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5"/>
      <c r="D267" s="24"/>
      <c r="E267" s="23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5"/>
      <c r="D268" s="24"/>
      <c r="E268" s="23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5"/>
      <c r="D269" s="24"/>
      <c r="E269" s="23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5"/>
      <c r="D270" s="24"/>
      <c r="E270" s="23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5"/>
      <c r="D271" s="24"/>
      <c r="E271" s="23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5"/>
      <c r="D272" s="24"/>
      <c r="E272" s="23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5"/>
      <c r="D273" s="24"/>
      <c r="E273" s="23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5"/>
      <c r="D274" s="24"/>
      <c r="E274" s="23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5"/>
      <c r="D275" s="24"/>
      <c r="E275" s="23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5"/>
      <c r="D276" s="24"/>
      <c r="E276" s="23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5"/>
      <c r="D277" s="24"/>
      <c r="E277" s="23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5"/>
      <c r="D278" s="24"/>
      <c r="E278" s="23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5"/>
      <c r="D279" s="24"/>
      <c r="E279" s="23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5"/>
      <c r="D280" s="24"/>
      <c r="E280" s="23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5"/>
      <c r="D281" s="24"/>
      <c r="E281" s="23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5"/>
      <c r="D282" s="24"/>
      <c r="E282" s="23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5"/>
      <c r="D283" s="24"/>
      <c r="E283" s="23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5"/>
      <c r="D284" s="24"/>
      <c r="E284" s="23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5"/>
      <c r="D285" s="24"/>
      <c r="E285" s="23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5"/>
      <c r="D286" s="24"/>
      <c r="E286" s="23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5"/>
      <c r="D287" s="24"/>
      <c r="E287" s="23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5"/>
      <c r="D288" s="24"/>
      <c r="E288" s="23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5"/>
      <c r="D289" s="24"/>
      <c r="E289" s="23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5"/>
      <c r="D290" s="24"/>
      <c r="E290" s="23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5"/>
      <c r="D291" s="24"/>
      <c r="E291" s="23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5"/>
      <c r="D292" s="24"/>
      <c r="E292" s="23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5"/>
      <c r="D293" s="24"/>
      <c r="E293" s="23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5"/>
      <c r="D294" s="24"/>
      <c r="E294" s="23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5"/>
      <c r="D295" s="24"/>
      <c r="E295" s="23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5"/>
      <c r="D296" s="24"/>
      <c r="E296" s="23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5"/>
      <c r="D297" s="24"/>
      <c r="E297" s="23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5"/>
      <c r="D298" s="24"/>
      <c r="E298" s="23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5"/>
      <c r="D299" s="24"/>
      <c r="E299" s="23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5"/>
      <c r="D300" s="24"/>
      <c r="E300" s="23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5"/>
      <c r="D301" s="24"/>
      <c r="E301" s="23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