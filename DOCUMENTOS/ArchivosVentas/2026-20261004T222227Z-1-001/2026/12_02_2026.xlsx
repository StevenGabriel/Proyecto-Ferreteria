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<sst xmlns="http://schemas.openxmlformats.org/spreadsheetml/2006/main" count="131" uniqueCount="126">
  <si>
    <t>HOJA DE CALCULO FERRETERIA</t>
  </si>
  <si>
    <t>CODIGO</t>
  </si>
  <si>
    <t>CANTIDAD</t>
  </si>
  <si>
    <t>DESCRIPCION</t>
  </si>
  <si>
    <t>TOTAL</t>
  </si>
  <si>
    <t>HORA</t>
  </si>
  <si>
    <t>CUADRAR</t>
  </si>
  <si>
    <t>broca concreto encastre</t>
  </si>
  <si>
    <t>escalera mor</t>
  </si>
  <si>
    <t>MONEDAS</t>
  </si>
  <si>
    <t>CAJA CHICA</t>
  </si>
  <si>
    <t>flexo golphi</t>
  </si>
  <si>
    <t>BILLETES 10-20</t>
  </si>
  <si>
    <t>TOTAL VENTAS DIA</t>
  </si>
  <si>
    <t>tapon auditivo</t>
  </si>
  <si>
    <t>BILLETES 50-100-200</t>
  </si>
  <si>
    <t>AUMENTO DE DINERO</t>
  </si>
  <si>
    <t>guanes asastex</t>
  </si>
  <si>
    <t>INGRESOS YAPE</t>
  </si>
  <si>
    <t>burletes</t>
  </si>
  <si>
    <t>INGRESOS TARJETA</t>
  </si>
  <si>
    <t>burlees</t>
  </si>
  <si>
    <t>GASTOS VARIOS</t>
  </si>
  <si>
    <t>cinta doble contacto crisal</t>
  </si>
  <si>
    <t>juego de lijas</t>
  </si>
  <si>
    <t>DINERO GANADO HOY:</t>
  </si>
  <si>
    <t>CANTIDAD DINERO CAJA:</t>
  </si>
  <si>
    <t>foco 20w</t>
  </si>
  <si>
    <t>placa dobe epem</t>
  </si>
  <si>
    <t>foco 40w</t>
  </si>
  <si>
    <t>soquet</t>
  </si>
  <si>
    <t>rodapie 40mm</t>
  </si>
  <si>
    <t>candoo herne</t>
  </si>
  <si>
    <t xml:space="preserve">broca truoer </t>
  </si>
  <si>
    <t>YAPE MAMÁ</t>
  </si>
  <si>
    <t>YAPE PAPÁ</t>
  </si>
  <si>
    <t>lija 220</t>
  </si>
  <si>
    <t>prensa  tolrse</t>
  </si>
  <si>
    <t>punta philio truper</t>
  </si>
  <si>
    <t>timbres inalamlvrico dacia</t>
  </si>
  <si>
    <t>varilla de estaño</t>
  </si>
  <si>
    <t>debor fierrro 5</t>
  </si>
  <si>
    <t>caja cable alambre 16 7h</t>
  </si>
  <si>
    <t>caja shuko</t>
  </si>
  <si>
    <t>placa doble com tomas tramon</t>
  </si>
  <si>
    <t>silicona ame negro</t>
  </si>
  <si>
    <t>pistola silicona tr</t>
  </si>
  <si>
    <t>aspiradora</t>
  </si>
  <si>
    <t>alargador 20m</t>
  </si>
  <si>
    <t>silicona trans akfi</t>
  </si>
  <si>
    <t>pilas duracel 6 psc</t>
  </si>
  <si>
    <t>cina aintideslisza d</t>
  </si>
  <si>
    <t>termico sica</t>
  </si>
  <si>
    <t>maleta tolsen</t>
  </si>
  <si>
    <t>sujeta cable</t>
  </si>
  <si>
    <t>tuercas + arandelas</t>
  </si>
  <si>
    <t>juego de acoples</t>
  </si>
  <si>
    <t>juego de adptdor pretul</t>
  </si>
  <si>
    <t>desarmador  truper</t>
  </si>
  <si>
    <t>pistola de calor totatal</t>
  </si>
  <si>
    <t>multimetro</t>
  </si>
  <si>
    <t>carbon</t>
  </si>
  <si>
    <t xml:space="preserve"> fresa 1/2</t>
  </si>
  <si>
    <t>cepillo electrico trupre</t>
  </si>
  <si>
    <t>lente truper</t>
  </si>
  <si>
    <t>presa sargente</t>
  </si>
  <si>
    <t>canddo hermex</t>
  </si>
  <si>
    <t>ramplu 6 + chip</t>
  </si>
  <si>
    <t>rampli 10</t>
  </si>
  <si>
    <t>5doc</t>
  </si>
  <si>
    <t>pernos + tue</t>
  </si>
  <si>
    <t>calvo 3/4</t>
  </si>
  <si>
    <t>conector  macho</t>
  </si>
  <si>
    <t>conector ramaoni</t>
  </si>
  <si>
    <t>conector tolse</t>
  </si>
  <si>
    <t>pico de grigo</t>
  </si>
  <si>
    <t>conecto tolse</t>
  </si>
  <si>
    <t>puntas de encastre</t>
  </si>
  <si>
    <t>wd40</t>
  </si>
  <si>
    <t>bolsa de clavo</t>
  </si>
  <si>
    <t>parche</t>
  </si>
  <si>
    <t>pegamento para parche</t>
  </si>
  <si>
    <t>einflador</t>
  </si>
  <si>
    <t>pares de bisagra rino oro viejo</t>
  </si>
  <si>
    <t>disoc lija 4</t>
  </si>
  <si>
    <t>nivel jadever</t>
  </si>
  <si>
    <t>flexo tr</t>
  </si>
  <si>
    <t>ducha atlas</t>
  </si>
  <si>
    <t>copla cpvc 1/2</t>
  </si>
  <si>
    <t>teflon</t>
  </si>
  <si>
    <t>codo fg 1/2</t>
  </si>
  <si>
    <t>adaptador cpvc 1/2</t>
  </si>
  <si>
    <t>niple fg 1/2</t>
  </si>
  <si>
    <t>grampa para cable</t>
  </si>
  <si>
    <t>presostato</t>
  </si>
  <si>
    <t>codo 1 pvc</t>
  </si>
  <si>
    <t>codo 1/2pvvc</t>
  </si>
  <si>
    <t>2m</t>
  </si>
  <si>
    <t>alambre 12 7h</t>
  </si>
  <si>
    <t>disco galleta</t>
  </si>
  <si>
    <t>destornillador revercible</t>
  </si>
  <si>
    <t>clavo 25mm</t>
  </si>
  <si>
    <t>1m</t>
  </si>
  <si>
    <t>estaño hilo</t>
  </si>
  <si>
    <t>skparox</t>
  </si>
  <si>
    <t>alubnada</t>
  </si>
  <si>
    <t>silicon aakfo</t>
  </si>
  <si>
    <t>calamina</t>
  </si>
  <si>
    <t>adaptdro corrieonre</t>
  </si>
  <si>
    <t>candado</t>
  </si>
  <si>
    <t>prer maq red m4</t>
  </si>
  <si>
    <t>hilo cotrta pasto</t>
  </si>
  <si>
    <t>espuama expansiva</t>
  </si>
  <si>
    <t>clefa 100</t>
  </si>
  <si>
    <t>llave crecen 10</t>
  </si>
  <si>
    <t>adaptdro  pretul</t>
  </si>
  <si>
    <t>juego de marillo yool</t>
  </si>
  <si>
    <t>clavito</t>
  </si>
  <si>
    <t>carpicola 500 ml</t>
  </si>
  <si>
    <t>purgdor 1/2</t>
  </si>
  <si>
    <t>caja distribucion contetones</t>
  </si>
  <si>
    <t>abrazadera</t>
  </si>
  <si>
    <t xml:space="preserve">1 kg </t>
  </si>
  <si>
    <t>carbueo</t>
  </si>
  <si>
    <t>aaptdor ultyra</t>
  </si>
  <si>
    <t>probadorde corriente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</si>
</sst>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3.0</v>
      </c>
      <c r="C8" s="7" t="s">
        <v>7</v>
      </c>
      <c r="D8" s="6">
        <v>70.0</v>
      </c>
      <c r="E8" s="8">
        <v>46065.35768732639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555.0</v>
      </c>
      <c r="E9" s="8">
        <v>46065.3598896412</v>
      </c>
      <c r="F9" s="2"/>
      <c r="G9" s="9" t="s">
        <v>9</v>
      </c>
      <c r="H9" s="10">
        <v>87.0</v>
      </c>
      <c r="I9" s="2"/>
      <c r="J9" s="9" t="s">
        <v>10</v>
      </c>
      <c r="K9" s="10">
        <v>496.0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25.0</v>
      </c>
      <c r="E10" s="8">
        <v>46065.36317832176</v>
      </c>
      <c r="F10" s="2"/>
      <c r="G10" s="9" t="s">
        <v>12</v>
      </c>
      <c r="H10" s="10">
        <v>320.0</v>
      </c>
      <c r="I10" s="2"/>
      <c r="J10" s="9" t="s">
        <v>13</v>
      </c>
      <c r="K10" s="11">
        <f>SUM(PRINCIPAL[TOTAL])</f>
        <v>7936.5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9.0</v>
      </c>
      <c r="E11" s="8">
        <v>46065.39857896991</v>
      </c>
      <c r="F11" s="2"/>
      <c r="G11" s="9" t="s">
        <v>15</v>
      </c>
      <c r="H11" s="10">
        <v>2950.0</v>
      </c>
      <c r="I11" s="2"/>
      <c r="J11" s="9" t="s">
        <v>16</v>
      </c>
      <c r="K11" s="10">
        <v>30.0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12.0</v>
      </c>
      <c r="C12" s="7" t="s">
        <v>17</v>
      </c>
      <c r="D12" s="6">
        <v>156.0</v>
      </c>
      <c r="E12" s="8">
        <v>46065.407205358795</v>
      </c>
      <c r="F12" s="2"/>
      <c r="G12" s="9" t="s">
        <v>18</v>
      </c>
      <c r="H12" s="12">
        <f>SUM(G24:H361)</f>
        <v>5190.5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2.0</v>
      </c>
      <c r="C13" s="7" t="s">
        <v>19</v>
      </c>
      <c r="D13" s="6">
        <v>90.0</v>
      </c>
      <c r="E13" s="8">
        <v>46065.41260960649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43.0</v>
      </c>
      <c r="E14" s="8">
        <v>46065.41268612268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48.0</v>
      </c>
      <c r="E15" s="8">
        <v>46065.41281996528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26.0</v>
      </c>
      <c r="E16" s="8">
        <v>46065.42511133102</v>
      </c>
      <c r="F16" s="2"/>
      <c r="G16" s="15" t="s">
        <v>25</v>
      </c>
      <c r="H16" s="16">
        <f>SUM(H9:H14)</f>
        <v>8547.5</v>
      </c>
      <c r="I16" s="3"/>
      <c r="J16" s="15" t="s">
        <v>26</v>
      </c>
      <c r="K16" s="16">
        <f>SUM(K9:K11)</f>
        <v>8462.5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25.0</v>
      </c>
      <c r="E17" s="8">
        <v>46065.43006318287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2.0</v>
      </c>
      <c r="C18" s="7" t="s">
        <v>28</v>
      </c>
      <c r="D18" s="6">
        <v>24.0</v>
      </c>
      <c r="E18" s="8">
        <v>46065.43014751158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85,00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29</v>
      </c>
      <c r="D19" s="6">
        <v>50.0</v>
      </c>
      <c r="E19" s="8">
        <v>46065.431416458334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30</v>
      </c>
      <c r="D20" s="6">
        <v>5.0</v>
      </c>
      <c r="E20" s="8">
        <v>46065.43144673611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16.0</v>
      </c>
      <c r="C21" s="7" t="s">
        <v>31</v>
      </c>
      <c r="D21" s="6">
        <v>80.0</v>
      </c>
      <c r="E21" s="8">
        <v>46065.45084344907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32</v>
      </c>
      <c r="D22" s="6">
        <v>71.0</v>
      </c>
      <c r="E22" s="8">
        <v>46065.45207414352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2.0</v>
      </c>
      <c r="C23" s="7" t="s">
        <v>33</v>
      </c>
      <c r="D23" s="6">
        <v>50.0</v>
      </c>
      <c r="E23" s="8">
        <v>46065.45228993056</v>
      </c>
      <c r="F23" s="2"/>
      <c r="G23" s="19" t="s">
        <v>34</v>
      </c>
      <c r="H23" s="19" t="s">
        <v>35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36</v>
      </c>
      <c r="D24" s="6">
        <v>14.0</v>
      </c>
      <c r="E24" s="8">
        <v>46065.45319909722</v>
      </c>
      <c r="F24" s="2"/>
      <c r="G24" s="20">
        <v>1755.0</v>
      </c>
      <c r="H24" s="21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2.0</v>
      </c>
      <c r="C25" s="7" t="s">
        <v>37</v>
      </c>
      <c r="D25" s="6">
        <v>64.0</v>
      </c>
      <c r="E25" s="8">
        <v>46065.454120462964</v>
      </c>
      <c r="F25" s="2"/>
      <c r="G25" s="20">
        <v>71.0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38</v>
      </c>
      <c r="D26" s="6">
        <v>4.0</v>
      </c>
      <c r="E26" s="8">
        <v>46065.45629811342</v>
      </c>
      <c r="F26" s="2"/>
      <c r="G26" s="22">
        <v>68.0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2.0</v>
      </c>
      <c r="C27" s="7" t="s">
        <v>39</v>
      </c>
      <c r="D27" s="6">
        <v>108.0</v>
      </c>
      <c r="E27" s="8">
        <v>46065.45770353009</v>
      </c>
      <c r="F27" s="2"/>
      <c r="G27" s="20">
        <v>25.0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40</v>
      </c>
      <c r="D28" s="6">
        <v>25.0</v>
      </c>
      <c r="E28" s="8">
        <v>46065.46414333333</v>
      </c>
      <c r="F28" s="2"/>
      <c r="G28" s="20">
        <v>220.0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4.0</v>
      </c>
      <c r="C29" s="7" t="s">
        <v>41</v>
      </c>
      <c r="D29" s="6">
        <v>60.0</v>
      </c>
      <c r="E29" s="8">
        <v>46065.46426969908</v>
      </c>
      <c r="F29" s="2"/>
      <c r="G29" s="20">
        <v>48.0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42</v>
      </c>
      <c r="D30" s="6">
        <v>455.0</v>
      </c>
      <c r="E30" s="8">
        <v>46065.46448217593</v>
      </c>
      <c r="F30" s="2"/>
      <c r="G30" s="20">
        <v>61.0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2.0</v>
      </c>
      <c r="C31" s="7" t="s">
        <v>43</v>
      </c>
      <c r="D31" s="6">
        <v>30.0</v>
      </c>
      <c r="E31" s="8">
        <v>46065.46460068287</v>
      </c>
      <c r="F31" s="2"/>
      <c r="G31" s="20">
        <v>205.0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2.0</v>
      </c>
      <c r="C32" s="7" t="s">
        <v>44</v>
      </c>
      <c r="D32" s="6">
        <v>70.0</v>
      </c>
      <c r="E32" s="8">
        <v>46065.464741805554</v>
      </c>
      <c r="F32" s="2"/>
      <c r="G32" s="20">
        <v>1416.0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45</v>
      </c>
      <c r="D33" s="6">
        <v>27.0</v>
      </c>
      <c r="E33" s="8">
        <v>46065.46485399306</v>
      </c>
      <c r="F33" s="2"/>
      <c r="G33" s="20">
        <v>63.0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46</v>
      </c>
      <c r="D34" s="6">
        <v>88.0</v>
      </c>
      <c r="E34" s="8">
        <v>46065.46492084491</v>
      </c>
      <c r="F34" s="2"/>
      <c r="G34" s="20">
        <v>30.5</v>
      </c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47</v>
      </c>
      <c r="D35" s="6">
        <v>830.0</v>
      </c>
      <c r="E35" s="8">
        <v>46065.46503607639</v>
      </c>
      <c r="F35" s="2"/>
      <c r="G35" s="20">
        <v>109.0</v>
      </c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48</v>
      </c>
      <c r="D36" s="6">
        <v>115.0</v>
      </c>
      <c r="E36" s="8">
        <v>46065.46512599537</v>
      </c>
      <c r="F36" s="2"/>
      <c r="G36" s="20">
        <v>4.0</v>
      </c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2.0</v>
      </c>
      <c r="C37" s="7" t="s">
        <v>49</v>
      </c>
      <c r="D37" s="6">
        <v>68.0</v>
      </c>
      <c r="E37" s="8">
        <v>46065.46524810186</v>
      </c>
      <c r="F37" s="2"/>
      <c r="G37" s="20">
        <v>138.0</v>
      </c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50</v>
      </c>
      <c r="D38" s="6">
        <v>85.0</v>
      </c>
      <c r="E38" s="8">
        <v>46065.471452060185</v>
      </c>
      <c r="F38" s="2"/>
      <c r="G38" s="20">
        <v>40.0</v>
      </c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51</v>
      </c>
      <c r="D39" s="6">
        <v>57.0</v>
      </c>
      <c r="E39" s="8">
        <v>46065.476172939816</v>
      </c>
      <c r="F39" s="2"/>
      <c r="G39" s="20">
        <v>170.0</v>
      </c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52</v>
      </c>
      <c r="D40" s="6">
        <v>57.0</v>
      </c>
      <c r="E40" s="8">
        <v>46065.47633659722</v>
      </c>
      <c r="F40" s="2"/>
      <c r="G40" s="20">
        <v>100.0</v>
      </c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53</v>
      </c>
      <c r="D41" s="6">
        <v>220.0</v>
      </c>
      <c r="E41" s="8">
        <v>46065.48680480324</v>
      </c>
      <c r="F41" s="2"/>
      <c r="G41" s="20">
        <v>67.0</v>
      </c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4.0</v>
      </c>
      <c r="C42" s="7" t="s">
        <v>54</v>
      </c>
      <c r="D42" s="6">
        <v>38.0</v>
      </c>
      <c r="E42" s="8">
        <v>46065.50383109954</v>
      </c>
      <c r="F42" s="2"/>
      <c r="G42" s="20">
        <v>130.0</v>
      </c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8.0</v>
      </c>
      <c r="C43" s="7" t="s">
        <v>55</v>
      </c>
      <c r="D43" s="6">
        <v>10.0</v>
      </c>
      <c r="E43" s="8">
        <v>46065.50400302083</v>
      </c>
      <c r="F43" s="2"/>
      <c r="G43" s="20">
        <v>97.0</v>
      </c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56</v>
      </c>
      <c r="D44" s="6">
        <v>61.0</v>
      </c>
      <c r="E44" s="8">
        <v>46065.504090428236</v>
      </c>
      <c r="F44" s="2"/>
      <c r="G44" s="20">
        <v>115.0</v>
      </c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57</v>
      </c>
      <c r="D45" s="6">
        <v>70.0</v>
      </c>
      <c r="E45" s="8">
        <v>46065.51232403935</v>
      </c>
      <c r="F45" s="2"/>
      <c r="G45" s="20">
        <v>26.0</v>
      </c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58</v>
      </c>
      <c r="D46" s="6">
        <v>25.0</v>
      </c>
      <c r="E46" s="8">
        <v>46065.511316504635</v>
      </c>
      <c r="F46" s="2"/>
      <c r="G46" s="20">
        <v>8.0</v>
      </c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59</v>
      </c>
      <c r="D47" s="6">
        <v>245.0</v>
      </c>
      <c r="E47" s="8">
        <v>46065.512758020835</v>
      </c>
      <c r="F47" s="2"/>
      <c r="G47" s="20">
        <v>224.0</v>
      </c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60</v>
      </c>
      <c r="D48" s="6">
        <v>95.0</v>
      </c>
      <c r="E48" s="8">
        <v>46065.53166523148</v>
      </c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61</v>
      </c>
      <c r="D49" s="6">
        <v>30.0</v>
      </c>
      <c r="E49" s="8">
        <v>46065.53819533565</v>
      </c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62</v>
      </c>
      <c r="D50" s="6">
        <v>63.0</v>
      </c>
      <c r="E50" s="8">
        <v>46065.543137175926</v>
      </c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63</v>
      </c>
      <c r="D51" s="6">
        <v>1174.0</v>
      </c>
      <c r="E51" s="8">
        <v>46065.54501671296</v>
      </c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64</v>
      </c>
      <c r="D52" s="6">
        <v>123.0</v>
      </c>
      <c r="E52" s="8">
        <v>46065.545188993055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65</v>
      </c>
      <c r="D53" s="6">
        <v>119.0</v>
      </c>
      <c r="E53" s="8">
        <v>46065.54527935185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66</v>
      </c>
      <c r="D54" s="6">
        <v>15.0</v>
      </c>
      <c r="E54" s="8">
        <v>46065.56340652778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12.0</v>
      </c>
      <c r="C55" s="7" t="s">
        <v>67</v>
      </c>
      <c r="D55" s="6">
        <v>3.0</v>
      </c>
      <c r="E55" s="8">
        <v>46065.56590392361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12.0</v>
      </c>
      <c r="C56" s="7" t="s">
        <v>68</v>
      </c>
      <c r="D56" s="6">
        <v>4.0</v>
      </c>
      <c r="E56" s="8">
        <v>46065.565949861106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 t="s">
        <v>69</v>
      </c>
      <c r="C57" s="7" t="s">
        <v>70</v>
      </c>
      <c r="D57" s="6">
        <v>22.5</v>
      </c>
      <c r="E57" s="8">
        <v>46065.56617657407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71</v>
      </c>
      <c r="D58" s="6">
        <v>19.0</v>
      </c>
      <c r="E58" s="8">
        <v>46065.5701609838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72</v>
      </c>
      <c r="D59" s="6">
        <v>10.0</v>
      </c>
      <c r="E59" s="8">
        <v>46065.57694428241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73</v>
      </c>
      <c r="D60" s="6">
        <v>10.0</v>
      </c>
      <c r="E60" s="8">
        <v>46065.57703424769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74</v>
      </c>
      <c r="D61" s="6">
        <v>10.0</v>
      </c>
      <c r="E61" s="8">
        <v>46065.57713421296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75</v>
      </c>
      <c r="D62" s="6">
        <v>13.0</v>
      </c>
      <c r="E62" s="8">
        <v>46065.57763935185</v>
      </c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76</v>
      </c>
      <c r="D63" s="6">
        <v>15.0</v>
      </c>
      <c r="E63" s="8">
        <v>46065.57757680556</v>
      </c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2.0</v>
      </c>
      <c r="C64" s="7" t="s">
        <v>77</v>
      </c>
      <c r="D64" s="6">
        <v>60.0</v>
      </c>
      <c r="E64" s="8">
        <v>46065.579504305555</v>
      </c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78</v>
      </c>
      <c r="D65" s="6">
        <v>109.0</v>
      </c>
      <c r="E65" s="8">
        <v>46065.58542400463</v>
      </c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79</v>
      </c>
      <c r="D66" s="6">
        <v>4.0</v>
      </c>
      <c r="E66" s="8">
        <v>46065.58900689815</v>
      </c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80</v>
      </c>
      <c r="D67" s="6">
        <v>10.0</v>
      </c>
      <c r="E67" s="8">
        <v>46065.60072181713</v>
      </c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81</v>
      </c>
      <c r="D68" s="6">
        <v>5.0</v>
      </c>
      <c r="E68" s="8">
        <v>46065.60088627315</v>
      </c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82</v>
      </c>
      <c r="D69" s="6">
        <v>61.0</v>
      </c>
      <c r="E69" s="8">
        <v>46065.600912106485</v>
      </c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6.0</v>
      </c>
      <c r="C70" s="7" t="s">
        <v>83</v>
      </c>
      <c r="D70" s="6">
        <v>138.0</v>
      </c>
      <c r="E70" s="8">
        <v>46065.60939622685</v>
      </c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2.0</v>
      </c>
      <c r="C71" s="7" t="s">
        <v>84</v>
      </c>
      <c r="D71" s="6">
        <v>40.0</v>
      </c>
      <c r="E71" s="8">
        <v>46065.611400821756</v>
      </c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85</v>
      </c>
      <c r="D72" s="6">
        <v>13.0</v>
      </c>
      <c r="E72" s="8">
        <v>46065.61529302083</v>
      </c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2.0</v>
      </c>
      <c r="C73" s="7" t="s">
        <v>86</v>
      </c>
      <c r="D73" s="6">
        <v>170.0</v>
      </c>
      <c r="E73" s="8">
        <v>46065.63725326389</v>
      </c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87</v>
      </c>
      <c r="D74" s="6">
        <v>100.0</v>
      </c>
      <c r="E74" s="8">
        <v>46065.64358560185</v>
      </c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88</v>
      </c>
      <c r="D75" s="6">
        <v>3.0</v>
      </c>
      <c r="E75" s="8">
        <v>46065.65042763889</v>
      </c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89</v>
      </c>
      <c r="D76" s="6">
        <v>3.0</v>
      </c>
      <c r="E76" s="8">
        <v>46065.650494421294</v>
      </c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2.0</v>
      </c>
      <c r="C77" s="7" t="s">
        <v>90</v>
      </c>
      <c r="D77" s="6">
        <v>24.0</v>
      </c>
      <c r="E77" s="8">
        <v>46065.65121898148</v>
      </c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2.0</v>
      </c>
      <c r="C78" s="7" t="s">
        <v>91</v>
      </c>
      <c r="D78" s="6">
        <v>7.0</v>
      </c>
      <c r="E78" s="8">
        <v>46065.651880590274</v>
      </c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2.0</v>
      </c>
      <c r="C79" s="7" t="s">
        <v>92</v>
      </c>
      <c r="D79" s="6">
        <v>25.0</v>
      </c>
      <c r="E79" s="8">
        <v>46065.65215969908</v>
      </c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93</v>
      </c>
      <c r="D80" s="6">
        <v>10.0</v>
      </c>
      <c r="E80" s="8">
        <v>46065.652214131944</v>
      </c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94</v>
      </c>
      <c r="D81" s="6">
        <v>72.0</v>
      </c>
      <c r="E81" s="8">
        <v>46065.661126782405</v>
      </c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95</v>
      </c>
      <c r="D82" s="6">
        <v>10.0</v>
      </c>
      <c r="E82" s="8">
        <v>46065.661186956015</v>
      </c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2.0</v>
      </c>
      <c r="C83" s="7" t="s">
        <v>96</v>
      </c>
      <c r="D83" s="6">
        <v>8.0</v>
      </c>
      <c r="E83" s="8">
        <v>46065.6612521875</v>
      </c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 t="s">
        <v>97</v>
      </c>
      <c r="C84" s="7" t="s">
        <v>98</v>
      </c>
      <c r="D84" s="6">
        <v>23.0</v>
      </c>
      <c r="E84" s="8">
        <v>46065.661333564814</v>
      </c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2.0</v>
      </c>
      <c r="C85" s="7" t="s">
        <v>99</v>
      </c>
      <c r="D85" s="6">
        <v>10.0</v>
      </c>
      <c r="E85" s="8">
        <v>46065.666785416666</v>
      </c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4.0</v>
      </c>
      <c r="C86" s="7" t="s">
        <v>70</v>
      </c>
      <c r="D86" s="6">
        <v>2.0</v>
      </c>
      <c r="E86" s="8">
        <v>46065.67024878472</v>
      </c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100</v>
      </c>
      <c r="D87" s="6">
        <v>12.0</v>
      </c>
      <c r="E87" s="8">
        <v>46065.67041515047</v>
      </c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1.0</v>
      </c>
      <c r="C88" s="7" t="s">
        <v>101</v>
      </c>
      <c r="D88" s="6">
        <v>67.0</v>
      </c>
      <c r="E88" s="8">
        <v>46065.67610125</v>
      </c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 t="s">
        <v>102</v>
      </c>
      <c r="C89" s="7" t="s">
        <v>103</v>
      </c>
      <c r="D89" s="6">
        <v>8.0</v>
      </c>
      <c r="E89" s="8">
        <v>46065.67857451389</v>
      </c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1.0</v>
      </c>
      <c r="C90" s="7" t="s">
        <v>104</v>
      </c>
      <c r="D90" s="6">
        <v>45.0</v>
      </c>
      <c r="E90" s="8">
        <v>46065.689568912036</v>
      </c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2.0</v>
      </c>
      <c r="C91" s="7" t="s">
        <v>105</v>
      </c>
      <c r="D91" s="6">
        <v>64.0</v>
      </c>
      <c r="E91" s="8">
        <v>46065.689616828706</v>
      </c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1.0</v>
      </c>
      <c r="C92" s="7" t="s">
        <v>106</v>
      </c>
      <c r="D92" s="6">
        <v>34.0</v>
      </c>
      <c r="E92" s="8">
        <v>46065.68967585648</v>
      </c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>
        <v>1.0</v>
      </c>
      <c r="C93" s="7" t="s">
        <v>107</v>
      </c>
      <c r="D93" s="6">
        <v>35.0</v>
      </c>
      <c r="E93" s="8">
        <v>46065.690035</v>
      </c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6">
        <v>1.0</v>
      </c>
      <c r="C94" s="7" t="s">
        <v>108</v>
      </c>
      <c r="D94" s="6">
        <v>60.0</v>
      </c>
      <c r="E94" s="8">
        <v>46065.691781319445</v>
      </c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6">
        <v>1.0</v>
      </c>
      <c r="C95" s="7" t="s">
        <v>109</v>
      </c>
      <c r="D95" s="6">
        <v>130.0</v>
      </c>
      <c r="E95" s="8">
        <v>46065.70403458334</v>
      </c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6">
        <v>8.0</v>
      </c>
      <c r="C96" s="7" t="s">
        <v>110</v>
      </c>
      <c r="D96" s="6">
        <v>5.0</v>
      </c>
      <c r="E96" s="8">
        <v>46065.71556621528</v>
      </c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6">
        <v>10.0</v>
      </c>
      <c r="C97" s="7" t="s">
        <v>111</v>
      </c>
      <c r="D97" s="6">
        <v>20.0</v>
      </c>
      <c r="E97" s="8">
        <v>46065.71902184028</v>
      </c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6">
        <v>1.0</v>
      </c>
      <c r="C98" s="7" t="s">
        <v>112</v>
      </c>
      <c r="D98" s="6">
        <v>81.0</v>
      </c>
      <c r="E98" s="8">
        <v>46065.724257361115</v>
      </c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6">
        <v>1.0</v>
      </c>
      <c r="C99" s="7" t="s">
        <v>113</v>
      </c>
      <c r="D99" s="6">
        <v>16.0</v>
      </c>
      <c r="E99" s="8">
        <v>46065.72430240741</v>
      </c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6">
        <v>1.0</v>
      </c>
      <c r="C100" s="7" t="s">
        <v>114</v>
      </c>
      <c r="D100" s="6">
        <v>90.0</v>
      </c>
      <c r="E100" s="8">
        <v>46065.72442381944</v>
      </c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6">
        <v>1.0</v>
      </c>
      <c r="C101" s="7" t="s">
        <v>115</v>
      </c>
      <c r="D101" s="6">
        <v>25.0</v>
      </c>
      <c r="E101" s="8">
        <v>46065.72453265046</v>
      </c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6">
        <v>1.0</v>
      </c>
      <c r="C102" s="7" t="s">
        <v>116</v>
      </c>
      <c r="D102" s="6">
        <v>15.0</v>
      </c>
      <c r="E102" s="8">
        <v>46065.728305729164</v>
      </c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6">
        <v>1.0</v>
      </c>
      <c r="C103" s="7" t="s">
        <v>117</v>
      </c>
      <c r="D103" s="6">
        <v>3.0</v>
      </c>
      <c r="E103" s="8">
        <v>46065.728376018524</v>
      </c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6">
        <v>1.0</v>
      </c>
      <c r="C104" s="7" t="s">
        <v>118</v>
      </c>
      <c r="D104" s="6">
        <v>26.0</v>
      </c>
      <c r="E104" s="8">
        <v>46065.74565965278</v>
      </c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6">
        <v>1.0</v>
      </c>
      <c r="C105" s="7" t="s">
        <v>119</v>
      </c>
      <c r="D105" s="6">
        <v>65.0</v>
      </c>
      <c r="E105" s="8">
        <v>46065.756058252315</v>
      </c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6">
        <v>3.0</v>
      </c>
      <c r="C106" s="7" t="s">
        <v>89</v>
      </c>
      <c r="D106" s="6">
        <v>9.0</v>
      </c>
      <c r="E106" s="8">
        <v>46065.75612092593</v>
      </c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6">
        <v>43791.0</v>
      </c>
      <c r="B107" s="6">
        <v>1.0</v>
      </c>
      <c r="C107" s="7" t="s">
        <v>109</v>
      </c>
      <c r="D107" s="6">
        <v>25.0</v>
      </c>
      <c r="E107" s="8">
        <v>46065.76781709491</v>
      </c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6">
        <v>1.0</v>
      </c>
      <c r="C108" s="7" t="s">
        <v>118</v>
      </c>
      <c r="D108" s="6">
        <v>8.0</v>
      </c>
      <c r="E108" s="8">
        <v>46065.76916403935</v>
      </c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6">
        <v>1.0</v>
      </c>
      <c r="C109" s="7" t="s">
        <v>120</v>
      </c>
      <c r="D109" s="6">
        <v>35.0</v>
      </c>
      <c r="E109" s="8">
        <v>46065.76942142361</v>
      </c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6">
        <v>2.0</v>
      </c>
      <c r="C110" s="7" t="s">
        <v>121</v>
      </c>
      <c r="D110" s="6">
        <v>4.0</v>
      </c>
      <c r="E110" s="8">
        <v>46065.769511192135</v>
      </c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6" t="s">
        <v>122</v>
      </c>
      <c r="C111" s="7" t="s">
        <v>123</v>
      </c>
      <c r="D111" s="6">
        <v>29.0</v>
      </c>
      <c r="E111" s="8">
        <v>46065.77193016204</v>
      </c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6">
        <v>1.0</v>
      </c>
      <c r="C112" s="7" t="s">
        <v>124</v>
      </c>
      <c r="D112" s="6">
        <v>16.0</v>
      </c>
      <c r="E112" s="8">
        <v>46065.77519486111</v>
      </c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6">
        <v>1.0</v>
      </c>
      <c r="C113" s="7" t="s">
        <v>125</v>
      </c>
      <c r="D113" s="6">
        <v>86.0</v>
      </c>
      <c r="E113" s="8">
        <v>46065.781386793984</v>
      </c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6">
        <v>1.0</v>
      </c>
      <c r="C114" s="7" t="s">
        <v>114</v>
      </c>
      <c r="D114" s="6">
        <v>138.0</v>
      </c>
      <c r="E114" s="8">
        <v>46065.78148371528</v>
      </c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3"/>
      <c r="D115" s="24"/>
      <c r="E115" s="25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3"/>
      <c r="D116" s="24"/>
      <c r="E116" s="25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3"/>
      <c r="D117" s="24"/>
      <c r="E117" s="25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3"/>
      <c r="D118" s="24"/>
      <c r="E118" s="25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3"/>
      <c r="D119" s="24"/>
      <c r="E119" s="25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3"/>
      <c r="D120" s="24"/>
      <c r="E120" s="25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3"/>
      <c r="D121" s="24"/>
      <c r="E121" s="25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3"/>
      <c r="D122" s="24"/>
      <c r="E122" s="25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3"/>
      <c r="D123" s="24"/>
      <c r="E123" s="25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3"/>
      <c r="D124" s="24"/>
      <c r="E124" s="25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3"/>
      <c r="D125" s="24"/>
      <c r="E125" s="25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3"/>
      <c r="D126" s="24"/>
      <c r="E126" s="25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3"/>
      <c r="D127" s="24"/>
      <c r="E127" s="25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3"/>
      <c r="D128" s="24"/>
      <c r="E128" s="25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3"/>
      <c r="D129" s="24"/>
      <c r="E129" s="25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3"/>
      <c r="D130" s="24"/>
      <c r="E130" s="25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3"/>
      <c r="D131" s="24"/>
      <c r="E131" s="25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3"/>
      <c r="D132" s="24"/>
      <c r="E132" s="25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3"/>
      <c r="D133" s="24"/>
      <c r="E133" s="25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3"/>
      <c r="D134" s="24"/>
      <c r="E134" s="25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3"/>
      <c r="D135" s="24"/>
      <c r="E135" s="25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3"/>
      <c r="D136" s="24"/>
      <c r="E136" s="25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3"/>
      <c r="D137" s="24"/>
      <c r="E137" s="25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3"/>
      <c r="D138" s="24"/>
      <c r="E138" s="25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3"/>
      <c r="D139" s="24"/>
      <c r="E139" s="25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3"/>
      <c r="D140" s="24"/>
      <c r="E140" s="25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3"/>
      <c r="D141" s="24"/>
      <c r="E141" s="25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3"/>
      <c r="D142" s="24"/>
      <c r="E142" s="25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3"/>
      <c r="D143" s="24"/>
      <c r="E143" s="25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3"/>
      <c r="D144" s="24"/>
      <c r="E144" s="25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3"/>
      <c r="D145" s="24"/>
      <c r="E145" s="25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3"/>
      <c r="D146" s="24"/>
      <c r="E146" s="25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3"/>
      <c r="D147" s="24"/>
      <c r="E147" s="25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3"/>
      <c r="D148" s="24"/>
      <c r="E148" s="25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3"/>
      <c r="D149" s="24"/>
      <c r="E149" s="25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3"/>
      <c r="D150" s="24"/>
      <c r="E150" s="25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3"/>
      <c r="D151" s="24"/>
      <c r="E151" s="25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3"/>
      <c r="D152" s="24"/>
      <c r="E152" s="25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3"/>
      <c r="D153" s="24"/>
      <c r="E153" s="25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3"/>
      <c r="D154" s="24"/>
      <c r="E154" s="25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3"/>
      <c r="D155" s="24"/>
      <c r="E155" s="25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3"/>
      <c r="D156" s="24"/>
      <c r="E156" s="25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3"/>
      <c r="D157" s="24"/>
      <c r="E157" s="25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3"/>
      <c r="D158" s="24"/>
      <c r="E158" s="25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3"/>
      <c r="D159" s="24"/>
      <c r="E159" s="25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3"/>
      <c r="D160" s="24"/>
      <c r="E160" s="25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3"/>
      <c r="D161" s="24"/>
      <c r="E161" s="25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3"/>
      <c r="D162" s="24"/>
      <c r="E162" s="25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3"/>
      <c r="D163" s="24"/>
      <c r="E163" s="25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3"/>
      <c r="D164" s="24"/>
      <c r="E164" s="25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3"/>
      <c r="D165" s="24"/>
      <c r="E165" s="25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3"/>
      <c r="D166" s="24"/>
      <c r="E166" s="25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3"/>
      <c r="D167" s="24"/>
      <c r="E167" s="25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3"/>
      <c r="D168" s="24"/>
      <c r="E168" s="25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3"/>
      <c r="D169" s="24"/>
      <c r="E169" s="25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3"/>
      <c r="D170" s="24"/>
      <c r="E170" s="25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3"/>
      <c r="D171" s="24"/>
      <c r="E171" s="25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3"/>
      <c r="D172" s="24"/>
      <c r="E172" s="25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3"/>
      <c r="D173" s="24"/>
      <c r="E173" s="25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3"/>
      <c r="D174" s="24"/>
      <c r="E174" s="25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3"/>
      <c r="D175" s="24"/>
      <c r="E175" s="25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3"/>
      <c r="D176" s="24"/>
      <c r="E176" s="25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3"/>
      <c r="D177" s="24"/>
      <c r="E177" s="25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3"/>
      <c r="D178" s="24"/>
      <c r="E178" s="25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3"/>
      <c r="D179" s="24"/>
      <c r="E179" s="25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3"/>
      <c r="D180" s="24"/>
      <c r="E180" s="25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3"/>
      <c r="D181" s="24"/>
      <c r="E181" s="25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3"/>
      <c r="D182" s="24"/>
      <c r="E182" s="25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3"/>
      <c r="D183" s="24"/>
      <c r="E183" s="25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3"/>
      <c r="D184" s="24"/>
      <c r="E184" s="25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3"/>
      <c r="D185" s="24"/>
      <c r="E185" s="25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3"/>
      <c r="D186" s="24"/>
      <c r="E186" s="25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3"/>
      <c r="D187" s="24"/>
      <c r="E187" s="25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3"/>
      <c r="D188" s="24"/>
      <c r="E188" s="25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3"/>
      <c r="D189" s="24"/>
      <c r="E189" s="25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3"/>
      <c r="D190" s="24"/>
      <c r="E190" s="25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3"/>
      <c r="D191" s="24"/>
      <c r="E191" s="25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3"/>
      <c r="D192" s="24"/>
      <c r="E192" s="25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3"/>
      <c r="D193" s="24"/>
      <c r="E193" s="25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3"/>
      <c r="D194" s="24"/>
      <c r="E194" s="25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3"/>
      <c r="D195" s="24"/>
      <c r="E195" s="25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3"/>
      <c r="D196" s="24"/>
      <c r="E196" s="25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3"/>
      <c r="D197" s="24"/>
      <c r="E197" s="25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3"/>
      <c r="D198" s="24"/>
      <c r="E198" s="25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3"/>
      <c r="D199" s="24"/>
      <c r="E199" s="25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3"/>
      <c r="D200" s="24"/>
      <c r="E200" s="25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3"/>
      <c r="D201" s="24"/>
      <c r="E201" s="25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3"/>
      <c r="D202" s="24"/>
      <c r="E202" s="25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3"/>
      <c r="D203" s="24"/>
      <c r="E203" s="25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3"/>
      <c r="D204" s="24"/>
      <c r="E204" s="25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3"/>
      <c r="D205" s="24"/>
      <c r="E205" s="25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3"/>
      <c r="D206" s="24"/>
      <c r="E206" s="25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3"/>
      <c r="D207" s="24"/>
      <c r="E207" s="25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3"/>
      <c r="D208" s="24"/>
      <c r="E208" s="25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3"/>
      <c r="D209" s="24"/>
      <c r="E209" s="25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3"/>
      <c r="D210" s="24"/>
      <c r="E210" s="25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3"/>
      <c r="D211" s="24"/>
      <c r="E211" s="25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3"/>
      <c r="D212" s="24"/>
      <c r="E212" s="25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3"/>
      <c r="D213" s="24"/>
      <c r="E213" s="25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3"/>
      <c r="D214" s="24"/>
      <c r="E214" s="25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3"/>
      <c r="D215" s="24"/>
      <c r="E215" s="25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3"/>
      <c r="D216" s="24"/>
      <c r="E216" s="25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3"/>
      <c r="D217" s="24"/>
      <c r="E217" s="25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3"/>
      <c r="D218" s="24"/>
      <c r="E218" s="25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3"/>
      <c r="D219" s="24"/>
      <c r="E219" s="25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3"/>
      <c r="D220" s="24"/>
      <c r="E220" s="25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3"/>
      <c r="D221" s="24"/>
      <c r="E221" s="25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3"/>
      <c r="D222" s="24"/>
      <c r="E222" s="25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3"/>
      <c r="D223" s="24"/>
      <c r="E223" s="25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3"/>
      <c r="D224" s="24"/>
      <c r="E224" s="25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3"/>
      <c r="D225" s="24"/>
      <c r="E225" s="25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3"/>
      <c r="D226" s="24"/>
      <c r="E226" s="25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3"/>
      <c r="D227" s="24"/>
      <c r="E227" s="25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3"/>
      <c r="D228" s="24"/>
      <c r="E228" s="25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3"/>
      <c r="D229" s="24"/>
      <c r="E229" s="25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3"/>
      <c r="D230" s="24"/>
      <c r="E230" s="25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3"/>
      <c r="D231" s="24"/>
      <c r="E231" s="25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3"/>
      <c r="D232" s="24"/>
      <c r="E232" s="25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3"/>
      <c r="D233" s="24"/>
      <c r="E233" s="25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3"/>
      <c r="D234" s="24"/>
      <c r="E234" s="25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3"/>
      <c r="D235" s="24"/>
      <c r="E235" s="25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3"/>
      <c r="D236" s="24"/>
      <c r="E236" s="25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3"/>
      <c r="D237" s="24"/>
      <c r="E237" s="25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3"/>
      <c r="D238" s="24"/>
      <c r="E238" s="25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3"/>
      <c r="D239" s="24"/>
      <c r="E239" s="25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3"/>
      <c r="D240" s="24"/>
      <c r="E240" s="25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3"/>
      <c r="D241" s="24"/>
      <c r="E241" s="25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3"/>
      <c r="D242" s="24"/>
      <c r="E242" s="25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3"/>
      <c r="D243" s="24"/>
      <c r="E243" s="25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3"/>
      <c r="D244" s="24"/>
      <c r="E244" s="25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3"/>
      <c r="D245" s="24"/>
      <c r="E245" s="25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3"/>
      <c r="D246" s="24"/>
      <c r="E246" s="25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3"/>
      <c r="D247" s="24"/>
      <c r="E247" s="25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3"/>
      <c r="D248" s="24"/>
      <c r="E248" s="25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3"/>
      <c r="D249" s="24"/>
      <c r="E249" s="25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3"/>
      <c r="D250" s="24"/>
      <c r="E250" s="25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3"/>
      <c r="D251" s="24"/>
      <c r="E251" s="25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3"/>
      <c r="D252" s="24"/>
      <c r="E252" s="25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3"/>
      <c r="D253" s="24"/>
      <c r="E253" s="25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3"/>
      <c r="D254" s="24"/>
      <c r="E254" s="25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3"/>
      <c r="D255" s="24"/>
      <c r="E255" s="25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3"/>
      <c r="D256" s="24"/>
      <c r="E256" s="25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3"/>
      <c r="D257" s="24"/>
      <c r="E257" s="25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3"/>
      <c r="D258" s="24"/>
      <c r="E258" s="25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3"/>
      <c r="D259" s="24"/>
      <c r="E259" s="25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3"/>
      <c r="D260" s="24"/>
      <c r="E260" s="25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3"/>
      <c r="D261" s="24"/>
      <c r="E261" s="25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3"/>
      <c r="D262" s="24"/>
      <c r="E262" s="25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3"/>
      <c r="D263" s="24"/>
      <c r="E263" s="25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3"/>
      <c r="D264" s="24"/>
      <c r="E264" s="25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3"/>
      <c r="D265" s="24"/>
      <c r="E265" s="25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3"/>
      <c r="D266" s="24"/>
      <c r="E266" s="25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3"/>
      <c r="D267" s="24"/>
      <c r="E267" s="25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3"/>
      <c r="D268" s="24"/>
      <c r="E268" s="25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3"/>
      <c r="D269" s="24"/>
      <c r="E269" s="25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3"/>
      <c r="D270" s="24"/>
      <c r="E270" s="25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3"/>
      <c r="D271" s="24"/>
      <c r="E271" s="25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3"/>
      <c r="D272" s="24"/>
      <c r="E272" s="25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3"/>
      <c r="D273" s="24"/>
      <c r="E273" s="25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3"/>
      <c r="D274" s="24"/>
      <c r="E274" s="25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3"/>
      <c r="D275" s="24"/>
      <c r="E275" s="25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3"/>
      <c r="D276" s="24"/>
      <c r="E276" s="25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3"/>
      <c r="D277" s="24"/>
      <c r="E277" s="25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3"/>
      <c r="D278" s="24"/>
      <c r="E278" s="25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3"/>
      <c r="D279" s="24"/>
      <c r="E279" s="25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3"/>
      <c r="D280" s="24"/>
      <c r="E280" s="25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3"/>
      <c r="D281" s="24"/>
      <c r="E281" s="25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3"/>
      <c r="D282" s="24"/>
      <c r="E282" s="25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3"/>
      <c r="D283" s="24"/>
      <c r="E283" s="25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3"/>
      <c r="D284" s="24"/>
      <c r="E284" s="25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3"/>
      <c r="D285" s="24"/>
      <c r="E285" s="25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3"/>
      <c r="D286" s="24"/>
      <c r="E286" s="25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3"/>
      <c r="D287" s="24"/>
      <c r="E287" s="25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3"/>
      <c r="D288" s="24"/>
      <c r="E288" s="25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3"/>
      <c r="D289" s="24"/>
      <c r="E289" s="25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3"/>
      <c r="D290" s="24"/>
      <c r="E290" s="25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3"/>
      <c r="D291" s="24"/>
      <c r="E291" s="25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3"/>
      <c r="D292" s="24"/>
      <c r="E292" s="25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3"/>
      <c r="D293" s="24"/>
      <c r="E293" s="25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3"/>
      <c r="D294" s="24"/>
      <c r="E294" s="25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3"/>
      <c r="D295" s="24"/>
      <c r="E295" s="25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3"/>
      <c r="D296" s="24"/>
      <c r="E296" s="25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3"/>
      <c r="D297" s="24"/>
      <c r="E297" s="25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3"/>
      <c r="D298" s="24"/>
      <c r="E298" s="25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3"/>
      <c r="D299" s="24"/>
      <c r="E299" s="25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3"/>
      <c r="D300" s="24"/>
      <c r="E300" s="25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3"/>
      <c r="D301" s="24"/>
      <c r="E301" s="25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