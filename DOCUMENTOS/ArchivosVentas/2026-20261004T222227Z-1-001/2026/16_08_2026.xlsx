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<sst xmlns="http://schemas.openxmlformats.org/spreadsheetml/2006/main" count="152" uniqueCount="149">
  <si>
    <t>HOJA DE CALCULO FERRETERIA</t>
  </si>
  <si>
    <t>CODIGO</t>
  </si>
  <si>
    <t>CANTIDAD</t>
  </si>
  <si>
    <t>DESCRIPCION</t>
  </si>
  <si>
    <t>TOTAL</t>
  </si>
  <si>
    <t>HORA</t>
  </si>
  <si>
    <t>CUADRAR</t>
  </si>
  <si>
    <t>GRIFO ITAP 1/2</t>
  </si>
  <si>
    <t>TEFLO</t>
  </si>
  <si>
    <t>MONEDAS</t>
  </si>
  <si>
    <t>CAJA CHICA</t>
  </si>
  <si>
    <t>BROCHA ROJAS 11/2</t>
  </si>
  <si>
    <t>BILLETES 10-20</t>
  </si>
  <si>
    <t>TOTAL VENTAS DIA</t>
  </si>
  <si>
    <t>ACOPLE MTV</t>
  </si>
  <si>
    <t>BILLETES 50-100-200</t>
  </si>
  <si>
    <t>AUMENTO DE DINERO</t>
  </si>
  <si>
    <t>DISCO CORTE CONCRETO</t>
  </si>
  <si>
    <t>INGRESOS YAPE</t>
  </si>
  <si>
    <t>BOCA GRUPER CONCERETE</t>
  </si>
  <si>
    <t>INGRESOS TARJETA</t>
  </si>
  <si>
    <t>cincel tolsen</t>
  </si>
  <si>
    <t>GASTOS VARIOS</t>
  </si>
  <si>
    <t>bisagra torneada</t>
  </si>
  <si>
    <t>semic dodo 2</t>
  </si>
  <si>
    <t>DINERO GANADO HOY:</t>
  </si>
  <si>
    <t>CANTIDAD DINERO CAJA:</t>
  </si>
  <si>
    <t>chip 4,5*30</t>
  </si>
  <si>
    <t>nitrolasc</t>
  </si>
  <si>
    <t>angulimetro digital</t>
  </si>
  <si>
    <t>tapa nodoro</t>
  </si>
  <si>
    <t xml:space="preserve">n hilo </t>
  </si>
  <si>
    <t xml:space="preserve">llace crecen </t>
  </si>
  <si>
    <t>desamado recersivle</t>
  </si>
  <si>
    <t>YAPE MAMÁ</t>
  </si>
  <si>
    <t>YAPE PAPÁ</t>
  </si>
  <si>
    <t>YAPE</t>
  </si>
  <si>
    <t xml:space="preserve">repatros </t>
  </si>
  <si>
    <t>Monto Total YAPE (No tocar):</t>
  </si>
  <si>
    <t xml:space="preserve">tirafondo </t>
  </si>
  <si>
    <t xml:space="preserve">electrdo </t>
  </si>
  <si>
    <t>Monto Total Registrado en aplicacion</t>
  </si>
  <si>
    <t>carpicola</t>
  </si>
  <si>
    <t>ramplus 10</t>
  </si>
  <si>
    <t>tee tigre</t>
  </si>
  <si>
    <t>niple rosca a</t>
  </si>
  <si>
    <t>dadaptdor 1/2</t>
  </si>
  <si>
    <t>tee 1/2</t>
  </si>
  <si>
    <t>codo 1/2</t>
  </si>
  <si>
    <t>semi codo 1/2</t>
  </si>
  <si>
    <t>PAGOS YAPE</t>
  </si>
  <si>
    <t>DESCRIPCION PAGO</t>
  </si>
  <si>
    <t>adaptador h</t>
  </si>
  <si>
    <t>llave de paso</t>
  </si>
  <si>
    <t>cañeria</t>
  </si>
  <si>
    <t>parabom</t>
  </si>
  <si>
    <t>tubo 2</t>
  </si>
  <si>
    <t>codo 11/2</t>
  </si>
  <si>
    <t>tee 11/2</t>
  </si>
  <si>
    <t>abrazadera</t>
  </si>
  <si>
    <t>tornillo</t>
  </si>
  <si>
    <t>abrzadera 11/2</t>
  </si>
  <si>
    <t xml:space="preserve">grifo lavaplaos </t>
  </si>
  <si>
    <t>sifon corrugado</t>
  </si>
  <si>
    <t xml:space="preserve">serrucho </t>
  </si>
  <si>
    <t xml:space="preserve">pigmento </t>
  </si>
  <si>
    <t>tiza molidad</t>
  </si>
  <si>
    <t>teflon</t>
  </si>
  <si>
    <t>chicotillo</t>
  </si>
  <si>
    <t>juego sereiriwe a</t>
  </si>
  <si>
    <t>masa corrida</t>
  </si>
  <si>
    <t>lija</t>
  </si>
  <si>
    <t>cemetno blanco</t>
  </si>
  <si>
    <t>pie de amig</t>
  </si>
  <si>
    <t>lalve combinada ferrawy</t>
  </si>
  <si>
    <t xml:space="preserve">llave crecen </t>
  </si>
  <si>
    <t xml:space="preserve">llave pipa </t>
  </si>
  <si>
    <t>desarmador rever</t>
  </si>
  <si>
    <t>copla tigre</t>
  </si>
  <si>
    <t>niple tigre</t>
  </si>
  <si>
    <t>mniples 1/2</t>
  </si>
  <si>
    <t>tijera para podar</t>
  </si>
  <si>
    <t>escardillo tramon</t>
  </si>
  <si>
    <t>rastrillo artezanal</t>
  </si>
  <si>
    <t>espuma expansiva</t>
  </si>
  <si>
    <t>hilo tr</t>
  </si>
  <si>
    <t>grampas 3/8</t>
  </si>
  <si>
    <t>doble contac</t>
  </si>
  <si>
    <t>regaton</t>
  </si>
  <si>
    <t>picaporte plano</t>
  </si>
  <si>
    <t>disco removedor de pintura</t>
  </si>
  <si>
    <t>2kl</t>
  </si>
  <si>
    <t>alambre amarre</t>
  </si>
  <si>
    <t>chicotillo 40cm</t>
  </si>
  <si>
    <t>goma retenes</t>
  </si>
  <si>
    <t xml:space="preserve">grifo fontavir </t>
  </si>
  <si>
    <t>lija 320</t>
  </si>
  <si>
    <t>lija 2000</t>
  </si>
  <si>
    <t>repuesot estilertwe</t>
  </si>
  <si>
    <t>clavo tr 45mm</t>
  </si>
  <si>
    <t>abrazadera 3/4</t>
  </si>
  <si>
    <t>aldava</t>
  </si>
  <si>
    <t>par bisagra 4</t>
  </si>
  <si>
    <t>silicona trnaparente</t>
  </si>
  <si>
    <t>kl alambre amarre</t>
  </si>
  <si>
    <t>clavo2 arcenol</t>
  </si>
  <si>
    <t>poxipol</t>
  </si>
  <si>
    <t>candado jego de 4</t>
  </si>
  <si>
    <t>grifo fv lavaplatos</t>
  </si>
  <si>
    <t>portetil</t>
  </si>
  <si>
    <t>clefa</t>
  </si>
  <si>
    <t>alicate de corte</t>
  </si>
  <si>
    <t>5m</t>
  </si>
  <si>
    <t>hilo estaño</t>
  </si>
  <si>
    <t>silicona trnaprente</t>
  </si>
  <si>
    <t>kl clavo 1 1/2</t>
  </si>
  <si>
    <t>reglea 25a</t>
  </si>
  <si>
    <t>clavija shuco</t>
  </si>
  <si>
    <t>regleta 2</t>
  </si>
  <si>
    <t>lima 10</t>
  </si>
  <si>
    <t>brazo de ducha</t>
  </si>
  <si>
    <t>remachadora uyus</t>
  </si>
  <si>
    <t>disco norton norlmal</t>
  </si>
  <si>
    <t>broca fierro 5</t>
  </si>
  <si>
    <t>abrazadera redonda</t>
  </si>
  <si>
    <t>m perlon 12</t>
  </si>
  <si>
    <t>roldadna</t>
  </si>
  <si>
    <t>cepillo tr</t>
  </si>
  <si>
    <t>juegod e cepillos</t>
  </si>
  <si>
    <t>calibrador geish uyus</t>
  </si>
  <si>
    <t>gancho tr</t>
  </si>
  <si>
    <t>CUBRE CABLE</t>
  </si>
  <si>
    <t>CABLE BIPOILAR 12</t>
  </si>
  <si>
    <t xml:space="preserve">INERRUPTO </t>
  </si>
  <si>
    <t>DOC TRM POP</t>
  </si>
  <si>
    <t>CINTA DOBLE CON</t>
  </si>
  <si>
    <t>KG GALV 18</t>
  </si>
  <si>
    <t>ABRAZASDWERA</t>
  </si>
  <si>
    <t>CASCO BLANCO</t>
  </si>
  <si>
    <t>CHALECO REFLECTIVO</t>
  </si>
  <si>
    <t>SOGA PERLO</t>
  </si>
  <si>
    <t>PISTOLA DE SILEICA</t>
  </si>
  <si>
    <t>REM POP</t>
  </si>
  <si>
    <t>SILICONA AKDI</t>
  </si>
  <si>
    <t>CEPILLO DE AERO</t>
  </si>
  <si>
    <t>CUBRECABL</t>
  </si>
  <si>
    <t xml:space="preserve">broca madera </t>
  </si>
  <si>
    <t>tope de puera</t>
  </si>
  <si>
    <t>amarre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</si>
</sst>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65.0</v>
      </c>
      <c r="E8" s="8">
        <v>46250.37090738426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2.5</v>
      </c>
      <c r="E9" s="8">
        <v>46250.37096998843</v>
      </c>
      <c r="F9" s="2"/>
      <c r="G9" s="9" t="s">
        <v>9</v>
      </c>
      <c r="H9" s="10">
        <v>70.5</v>
      </c>
      <c r="I9" s="2"/>
      <c r="J9" s="9" t="s">
        <v>10</v>
      </c>
      <c r="K9" s="10">
        <v>272.0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7.0</v>
      </c>
      <c r="E10" s="8">
        <v>46250.371072696755</v>
      </c>
      <c r="F10" s="2"/>
      <c r="G10" s="9" t="s">
        <v>12</v>
      </c>
      <c r="H10" s="10">
        <v>620.0</v>
      </c>
      <c r="I10" s="2"/>
      <c r="J10" s="9" t="s">
        <v>13</v>
      </c>
      <c r="K10" s="11">
        <f>SUM(PRINCIPAL[TOTAL])</f>
        <v>5153.17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8.0</v>
      </c>
      <c r="E11" s="8">
        <v>46250.371259548614</v>
      </c>
      <c r="F11" s="2"/>
      <c r="G11" s="9" t="s">
        <v>15</v>
      </c>
      <c r="H11" s="10">
        <v>3200.0</v>
      </c>
      <c r="I11" s="2"/>
      <c r="J11" s="9" t="s">
        <v>16</v>
      </c>
      <c r="K11" s="10">
        <v>450.0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27.0</v>
      </c>
      <c r="E12" s="8">
        <v>46250.37148994213</v>
      </c>
      <c r="F12" s="2"/>
      <c r="G12" s="9" t="s">
        <v>18</v>
      </c>
      <c r="H12" s="12">
        <f>SUM(G24:H361)</f>
        <v>2071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34.0</v>
      </c>
      <c r="E13" s="8">
        <v>46250.37163876157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55.0</v>
      </c>
      <c r="E14" s="8">
        <v>46250.386881631945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40.0</v>
      </c>
      <c r="E15" s="8">
        <v>46250.3896156713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5.0</v>
      </c>
      <c r="E16" s="8">
        <v>46250.38968206018</v>
      </c>
      <c r="F16" s="2"/>
      <c r="G16" s="15" t="s">
        <v>25</v>
      </c>
      <c r="H16" s="16">
        <f>SUM(H9:H14)</f>
        <v>5961.5</v>
      </c>
      <c r="I16" s="3"/>
      <c r="J16" s="15" t="s">
        <v>26</v>
      </c>
      <c r="K16" s="16">
        <f>SUM(K9:K11)</f>
        <v>5875.17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6.0</v>
      </c>
      <c r="E17" s="8">
        <v>46250.41075523148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17.0</v>
      </c>
      <c r="E18" s="8">
        <v>46250.41090697917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86,33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130.0</v>
      </c>
      <c r="E19" s="8">
        <v>46250.41193194444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6.0</v>
      </c>
      <c r="C20" s="7" t="s">
        <v>30</v>
      </c>
      <c r="D20" s="6">
        <v>400.0</v>
      </c>
      <c r="E20" s="8">
        <v>46250.442294849534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10.0</v>
      </c>
      <c r="C21" s="7" t="s">
        <v>31</v>
      </c>
      <c r="D21" s="6">
        <v>15.0</v>
      </c>
      <c r="E21" s="8">
        <v>46250.44356810185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40.0</v>
      </c>
      <c r="E22" s="8">
        <v>46250.443669120374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12.0</v>
      </c>
      <c r="E23" s="8">
        <v>46250.44378486111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12.0</v>
      </c>
      <c r="C24" s="7" t="s">
        <v>37</v>
      </c>
      <c r="D24" s="6">
        <v>108.0</v>
      </c>
      <c r="E24" s="8">
        <v>46250.44495679398</v>
      </c>
      <c r="F24" s="2"/>
      <c r="G24" s="22">
        <v>560.0</v>
      </c>
      <c r="H24" s="23"/>
      <c r="I24" s="2"/>
      <c r="J24" s="24" t="s">
        <v>38</v>
      </c>
      <c r="K24" s="25">
        <f>SUM(INGRESOS_YAPE[])</f>
        <v>2071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12.0</v>
      </c>
      <c r="C25" s="7" t="s">
        <v>39</v>
      </c>
      <c r="D25" s="6">
        <v>12.0</v>
      </c>
      <c r="E25" s="8">
        <v>46250.44522858797</v>
      </c>
      <c r="F25" s="2"/>
      <c r="G25" s="22">
        <v>230.0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0.5</v>
      </c>
      <c r="C26" s="7" t="s">
        <v>40</v>
      </c>
      <c r="D26" s="6">
        <v>29.0</v>
      </c>
      <c r="E26" s="8">
        <v>46250.445305104164</v>
      </c>
      <c r="F26" s="2"/>
      <c r="G26" s="26">
        <v>271.0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8.0</v>
      </c>
      <c r="E27" s="8">
        <v>46250.44691054398</v>
      </c>
      <c r="F27" s="2"/>
      <c r="G27" s="22">
        <v>78.0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43</v>
      </c>
      <c r="D28" s="6">
        <v>6.0</v>
      </c>
      <c r="E28" s="8">
        <v>46250.44699888889</v>
      </c>
      <c r="F28" s="2"/>
      <c r="G28" s="22">
        <v>250.0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6.0</v>
      </c>
      <c r="E29" s="8">
        <v>46250.456878530094</v>
      </c>
      <c r="F29" s="2"/>
      <c r="G29" s="22">
        <v>3.0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2071,00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4.0</v>
      </c>
      <c r="E30" s="8">
        <v>46250.45735547454</v>
      </c>
      <c r="F30" s="2"/>
      <c r="G30" s="22">
        <v>130.0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6">
        <v>15.0</v>
      </c>
      <c r="E31" s="8">
        <v>46250.45740351852</v>
      </c>
      <c r="F31" s="2"/>
      <c r="G31" s="22">
        <v>47.0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47</v>
      </c>
      <c r="D32" s="6">
        <v>5.0</v>
      </c>
      <c r="E32" s="8">
        <v>46250.45806736111</v>
      </c>
      <c r="F32" s="2"/>
      <c r="G32" s="22">
        <v>26.0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7.0</v>
      </c>
      <c r="C33" s="7" t="s">
        <v>48</v>
      </c>
      <c r="D33" s="6">
        <v>26.9</v>
      </c>
      <c r="E33" s="8">
        <v>46250.45812851852</v>
      </c>
      <c r="F33" s="2"/>
      <c r="G33" s="22">
        <v>319.0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5.6</v>
      </c>
      <c r="E34" s="8">
        <v>46250.45818947916</v>
      </c>
      <c r="F34" s="2"/>
      <c r="G34" s="22">
        <v>55.0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52</v>
      </c>
      <c r="D35" s="6">
        <v>2.0</v>
      </c>
      <c r="E35" s="8">
        <v>46250.458283113425</v>
      </c>
      <c r="F35" s="2"/>
      <c r="G35" s="22">
        <v>15.0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148.0</v>
      </c>
      <c r="E36" s="8">
        <v>46250.458371967594</v>
      </c>
      <c r="F36" s="2"/>
      <c r="G36" s="22">
        <v>10.0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54</v>
      </c>
      <c r="D37" s="6">
        <v>65.17</v>
      </c>
      <c r="E37" s="8">
        <v>46250.45843212963</v>
      </c>
      <c r="F37" s="2"/>
      <c r="G37" s="22">
        <v>77.0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1.33</v>
      </c>
      <c r="C38" s="7" t="s">
        <v>55</v>
      </c>
      <c r="D38" s="6">
        <v>78.0</v>
      </c>
      <c r="E38" s="8">
        <v>46250.458472557875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48.0</v>
      </c>
      <c r="E39" s="8">
        <v>46250.45860128472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1.5</v>
      </c>
      <c r="C40" s="7" t="s">
        <v>57</v>
      </c>
      <c r="D40" s="6">
        <v>17.5</v>
      </c>
      <c r="E40" s="8">
        <v>46250.45870732639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5.0</v>
      </c>
      <c r="C41" s="7" t="s">
        <v>58</v>
      </c>
      <c r="D41" s="6">
        <v>4.5</v>
      </c>
      <c r="E41" s="8">
        <v>46250.458756736116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15.0</v>
      </c>
      <c r="E42" s="8">
        <v>46250.45889018518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13"/>
      <c r="C43" s="7" t="s">
        <v>43</v>
      </c>
      <c r="D43" s="6">
        <v>4.5</v>
      </c>
      <c r="E43" s="8">
        <v>46250.45893533565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13"/>
      <c r="C44" s="7" t="s">
        <v>60</v>
      </c>
      <c r="D44" s="6">
        <v>4.5</v>
      </c>
      <c r="E44" s="8">
        <v>46250.45898321759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13"/>
      <c r="C45" s="7" t="s">
        <v>61</v>
      </c>
      <c r="D45" s="6">
        <v>12.0</v>
      </c>
      <c r="E45" s="8">
        <v>46250.45910928241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210.0</v>
      </c>
      <c r="E46" s="8">
        <v>46250.45929020834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35.0</v>
      </c>
      <c r="E47" s="8">
        <v>46250.459345509254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55.0</v>
      </c>
      <c r="E48" s="8">
        <v>46250.46116319444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65</v>
      </c>
      <c r="D49" s="6">
        <v>40.0</v>
      </c>
      <c r="E49" s="8">
        <v>46250.462826620365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3.0</v>
      </c>
      <c r="E50" s="8">
        <v>46250.46291292824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6.0</v>
      </c>
      <c r="C51" s="7" t="s">
        <v>67</v>
      </c>
      <c r="D51" s="6">
        <v>12.0</v>
      </c>
      <c r="E51" s="8">
        <v>46250.46952384259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15.0</v>
      </c>
      <c r="E52" s="8">
        <v>46250.46956817129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75.0</v>
      </c>
      <c r="E53" s="8">
        <v>46250.488436886575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29.0</v>
      </c>
      <c r="E54" s="8">
        <v>46250.490199988424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10.0</v>
      </c>
      <c r="E55" s="8">
        <v>46250.494932511574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15.0</v>
      </c>
      <c r="E56" s="8">
        <v>46250.49487688657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73</v>
      </c>
      <c r="D57" s="6">
        <v>15.0</v>
      </c>
      <c r="E57" s="8">
        <v>46250.507909803244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3.0</v>
      </c>
      <c r="C58" s="7" t="s">
        <v>74</v>
      </c>
      <c r="D58" s="6">
        <v>30.0</v>
      </c>
      <c r="E58" s="8">
        <v>46250.509422013885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40.0</v>
      </c>
      <c r="E59" s="8">
        <v>46250.509697326386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35.0</v>
      </c>
      <c r="E60" s="8">
        <v>46250.50976965278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10.0</v>
      </c>
      <c r="E61" s="8">
        <v>46250.50985155093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7.5</v>
      </c>
      <c r="E62" s="8">
        <v>46250.514406898146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5.5</v>
      </c>
      <c r="E63" s="8">
        <v>46250.514490891204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80</v>
      </c>
      <c r="D64" s="6">
        <v>4.0</v>
      </c>
      <c r="E64" s="8">
        <v>46250.51459028936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77.0</v>
      </c>
      <c r="E65" s="8">
        <v>46251.3849012963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72.0</v>
      </c>
      <c r="E66" s="8">
        <v>46251.38558444445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60.0</v>
      </c>
      <c r="E67" s="8">
        <v>46251.38526456019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62.0</v>
      </c>
      <c r="E68" s="8">
        <v>46251.38517835648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33">
        <v>20.0</v>
      </c>
      <c r="E69" s="8">
        <v>46251.38564030093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86</v>
      </c>
      <c r="D70" s="6">
        <v>78.0</v>
      </c>
      <c r="E70" s="8">
        <v>46251.39053209491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10.0</v>
      </c>
      <c r="E71" s="8">
        <v>46251.403075069444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88</v>
      </c>
      <c r="D72" s="6">
        <v>6.0</v>
      </c>
      <c r="E72" s="8">
        <v>46251.40371175926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10.0</v>
      </c>
      <c r="E73" s="8">
        <v>46251.40799707176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52.0</v>
      </c>
      <c r="E74" s="8">
        <v>46251.41333068287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91</v>
      </c>
      <c r="C75" s="7" t="s">
        <v>92</v>
      </c>
      <c r="D75" s="6">
        <v>38.0</v>
      </c>
      <c r="E75" s="8">
        <v>46251.44715733796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14.0</v>
      </c>
      <c r="E76" s="8">
        <v>46251.450004259255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67</v>
      </c>
      <c r="D77" s="6">
        <v>5.0</v>
      </c>
      <c r="E77" s="8">
        <v>46251.4494034838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94</v>
      </c>
      <c r="D78" s="33">
        <v>3.0</v>
      </c>
      <c r="E78" s="8">
        <v>46251.452012152775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73.0</v>
      </c>
      <c r="E79" s="8">
        <v>46251.46122009259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6">
        <v>1.0</v>
      </c>
      <c r="B80" s="6">
        <v>1.0</v>
      </c>
      <c r="C80" s="7" t="s">
        <v>96</v>
      </c>
      <c r="D80" s="6">
        <v>5.0</v>
      </c>
      <c r="E80" s="8">
        <v>46251.46130783565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10.0</v>
      </c>
      <c r="E81" s="8">
        <v>46251.461379120374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10.0</v>
      </c>
      <c r="E82" s="8">
        <v>46251.463237268516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99</v>
      </c>
      <c r="D83" s="33">
        <v>240.0</v>
      </c>
      <c r="E83" s="8">
        <v>46251.46336212963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3.0</v>
      </c>
      <c r="E84" s="8">
        <v>46251.46490652778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4.0</v>
      </c>
      <c r="C85" s="7" t="s">
        <v>101</v>
      </c>
      <c r="D85" s="33">
        <v>16.0</v>
      </c>
      <c r="E85" s="8">
        <v>46251.48156689815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16.0</v>
      </c>
      <c r="E86" s="8">
        <v>46251.53238984954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103</v>
      </c>
      <c r="D87" s="6">
        <v>64.0</v>
      </c>
      <c r="E87" s="8">
        <v>46251.535239282406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20.0</v>
      </c>
      <c r="E88" s="8">
        <v>46251.5352883912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105</v>
      </c>
      <c r="D89" s="6">
        <v>24.0</v>
      </c>
      <c r="E89" s="8">
        <v>46251.539004791666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106</v>
      </c>
      <c r="D90" s="6">
        <v>38.0</v>
      </c>
      <c r="E90" s="8">
        <v>46251.539124849536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107</v>
      </c>
      <c r="D91" s="6">
        <v>216.0</v>
      </c>
      <c r="E91" s="8">
        <v>46251.5547909375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130.0</v>
      </c>
      <c r="E92" s="8">
        <v>46251.55885646991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109</v>
      </c>
      <c r="D93" s="33">
        <v>90.0</v>
      </c>
      <c r="E93" s="8">
        <v>46251.57498686343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110</v>
      </c>
      <c r="D94" s="6">
        <v>16.0</v>
      </c>
      <c r="E94" s="8">
        <v>46251.58376569445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111</v>
      </c>
      <c r="D95" s="6">
        <v>47.0</v>
      </c>
      <c r="E95" s="8">
        <v>46251.59219564815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 t="s">
        <v>112</v>
      </c>
      <c r="C96" s="7" t="s">
        <v>113</v>
      </c>
      <c r="D96" s="6">
        <v>35.0</v>
      </c>
      <c r="E96" s="8">
        <v>46251.59501942129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114</v>
      </c>
      <c r="D97" s="6">
        <v>26.0</v>
      </c>
      <c r="E97" s="8">
        <v>46251.601701736116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115</v>
      </c>
      <c r="D98" s="6">
        <v>20.0</v>
      </c>
      <c r="E98" s="8">
        <v>46251.610501469906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116</v>
      </c>
      <c r="D99" s="6">
        <v>75.0</v>
      </c>
      <c r="E99" s="8">
        <v>46251.61787094908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2.0</v>
      </c>
      <c r="C100" s="7" t="s">
        <v>117</v>
      </c>
      <c r="D100" s="6">
        <v>64.0</v>
      </c>
      <c r="E100" s="8">
        <v>46251.61780391204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118</v>
      </c>
      <c r="D101" s="6">
        <v>17.0</v>
      </c>
      <c r="E101" s="8">
        <v>46251.61774306713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119</v>
      </c>
      <c r="D102" s="6">
        <v>64.0</v>
      </c>
      <c r="E102" s="8">
        <v>46251.62177457176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120</v>
      </c>
      <c r="D103" s="6">
        <v>60.0</v>
      </c>
      <c r="E103" s="8">
        <v>46251.62366494213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121</v>
      </c>
      <c r="D104" s="6">
        <v>44.0</v>
      </c>
      <c r="E104" s="8">
        <v>46251.63743553241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122</v>
      </c>
      <c r="D105" s="6">
        <v>17.0</v>
      </c>
      <c r="E105" s="8">
        <v>46251.64175710648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123</v>
      </c>
      <c r="D106" s="6">
        <v>15.0</v>
      </c>
      <c r="E106" s="8">
        <v>46251.64164649305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2.0</v>
      </c>
      <c r="C107" s="7" t="s">
        <v>124</v>
      </c>
      <c r="D107" s="6">
        <v>8.0</v>
      </c>
      <c r="E107" s="8">
        <v>46251.65581175926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22.0</v>
      </c>
      <c r="C108" s="7" t="s">
        <v>125</v>
      </c>
      <c r="D108" s="6">
        <v>230.0</v>
      </c>
      <c r="E108" s="8">
        <v>46251.67662628472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126</v>
      </c>
      <c r="D109" s="6">
        <v>89.0</v>
      </c>
      <c r="E109" s="8">
        <v>46251.67667826389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127</v>
      </c>
      <c r="D110" s="6">
        <v>19.0</v>
      </c>
      <c r="E110" s="8">
        <v>46251.68113175926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128</v>
      </c>
      <c r="D111" s="6">
        <v>15.0</v>
      </c>
      <c r="E111" s="8">
        <v>46251.680863738424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83</v>
      </c>
      <c r="D112" s="6">
        <v>60.0</v>
      </c>
      <c r="E112" s="8">
        <v>46251.680786550925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129</v>
      </c>
      <c r="D113" s="6">
        <v>36.0</v>
      </c>
      <c r="E113" s="8">
        <v>46251.683746712966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6.0</v>
      </c>
      <c r="C114" s="7" t="s">
        <v>130</v>
      </c>
      <c r="D114" s="6">
        <v>78.0</v>
      </c>
      <c r="E114" s="8">
        <v>46251.68745011574</v>
      </c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2.0</v>
      </c>
      <c r="C115" s="7" t="s">
        <v>131</v>
      </c>
      <c r="D115" s="6">
        <v>16.0</v>
      </c>
      <c r="E115" s="8">
        <v>46251.69010581019</v>
      </c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4.0</v>
      </c>
      <c r="C116" s="7" t="s">
        <v>132</v>
      </c>
      <c r="D116" s="6">
        <v>12.0</v>
      </c>
      <c r="E116" s="8">
        <v>46251.69016271991</v>
      </c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2.0</v>
      </c>
      <c r="C117" s="7" t="s">
        <v>133</v>
      </c>
      <c r="D117" s="6">
        <v>16.0</v>
      </c>
      <c r="E117" s="8">
        <v>46251.70466517362</v>
      </c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134</v>
      </c>
      <c r="D118" s="6">
        <v>2.0</v>
      </c>
      <c r="E118" s="8">
        <v>46251.70572824074</v>
      </c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135</v>
      </c>
      <c r="D119" s="6">
        <v>55.0</v>
      </c>
      <c r="E119" s="8">
        <v>46251.70924128473</v>
      </c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34">
        <v>46054.0</v>
      </c>
      <c r="C120" s="7" t="s">
        <v>136</v>
      </c>
      <c r="D120" s="35">
        <v>15.0</v>
      </c>
      <c r="E120" s="8">
        <v>46251.71329644676</v>
      </c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2.0</v>
      </c>
      <c r="C121" s="7" t="s">
        <v>137</v>
      </c>
      <c r="D121" s="6">
        <v>8.0</v>
      </c>
      <c r="E121" s="8">
        <v>46251.7227894213</v>
      </c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138</v>
      </c>
      <c r="D122" s="6">
        <v>45.0</v>
      </c>
      <c r="E122" s="8">
        <v>46251.72290818287</v>
      </c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1.0</v>
      </c>
      <c r="C123" s="7" t="s">
        <v>139</v>
      </c>
      <c r="D123" s="6">
        <v>22.0</v>
      </c>
      <c r="E123" s="8">
        <v>46251.72301296296</v>
      </c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140</v>
      </c>
      <c r="D124" s="6">
        <v>10.0</v>
      </c>
      <c r="E124" s="8">
        <v>46251.72316601852</v>
      </c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1.0</v>
      </c>
      <c r="C125" s="7" t="s">
        <v>141</v>
      </c>
      <c r="D125" s="6">
        <v>91.0</v>
      </c>
      <c r="E125" s="8">
        <v>46251.72463956018</v>
      </c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24.0</v>
      </c>
      <c r="C126" s="7" t="s">
        <v>142</v>
      </c>
      <c r="D126" s="6">
        <v>6.0</v>
      </c>
      <c r="E126" s="8">
        <v>46251.72470894676</v>
      </c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1.0</v>
      </c>
      <c r="C127" s="7" t="s">
        <v>143</v>
      </c>
      <c r="D127" s="6">
        <v>34.0</v>
      </c>
      <c r="E127" s="8">
        <v>46251.724761122685</v>
      </c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1.0</v>
      </c>
      <c r="C128" s="7" t="s">
        <v>144</v>
      </c>
      <c r="D128" s="6">
        <v>9.0</v>
      </c>
      <c r="E128" s="8">
        <v>46251.72483266203</v>
      </c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1.0</v>
      </c>
      <c r="C129" s="7" t="s">
        <v>145</v>
      </c>
      <c r="D129" s="6">
        <v>6.0</v>
      </c>
      <c r="E129" s="8">
        <v>46251.72726583334</v>
      </c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>
        <v>1.0</v>
      </c>
      <c r="C130" s="7" t="s">
        <v>146</v>
      </c>
      <c r="D130" s="6">
        <v>35.0</v>
      </c>
      <c r="E130" s="8">
        <v>46251.76193275463</v>
      </c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6">
        <v>2.0</v>
      </c>
      <c r="C131" s="7" t="s">
        <v>147</v>
      </c>
      <c r="D131" s="6">
        <v>120.0</v>
      </c>
      <c r="E131" s="8">
        <v>46251.767802789356</v>
      </c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6">
        <v>1.0</v>
      </c>
      <c r="C132" s="36"/>
      <c r="D132" s="37"/>
      <c r="E132" s="38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6">
        <v>1.0</v>
      </c>
      <c r="C133" s="7" t="s">
        <v>148</v>
      </c>
      <c r="D133" s="6">
        <v>20.0</v>
      </c>
      <c r="E133" s="8">
        <v>46251.77466540509</v>
      </c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