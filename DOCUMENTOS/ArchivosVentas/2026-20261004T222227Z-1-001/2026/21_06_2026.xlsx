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<sst xmlns="http://schemas.openxmlformats.org/spreadsheetml/2006/main" count="96" uniqueCount="94">
  <si>
    <t>HOJA DE CALCULO FERRETERIA</t>
  </si>
  <si>
    <t>CODIGO</t>
  </si>
  <si>
    <t>CANTIDAD</t>
  </si>
  <si>
    <t>DESCRIPCION</t>
  </si>
  <si>
    <t>TOTAL</t>
  </si>
  <si>
    <t>HORA</t>
  </si>
  <si>
    <t>CUADRAR</t>
  </si>
  <si>
    <t>anticorrosivo 3,5</t>
  </si>
  <si>
    <t>slack  bicoponete</t>
  </si>
  <si>
    <t>MONEDAS</t>
  </si>
  <si>
    <t>CAJA CHICA</t>
  </si>
  <si>
    <t xml:space="preserve">perno </t>
  </si>
  <si>
    <t>BILLETES 10-20</t>
  </si>
  <si>
    <t>TOTAL VENTAS DIA</t>
  </si>
  <si>
    <t>tuercas</t>
  </si>
  <si>
    <t>BILLETES 50-100-200</t>
  </si>
  <si>
    <t>AUMENTO DE DINERO</t>
  </si>
  <si>
    <t>ara</t>
  </si>
  <si>
    <t>INGRESOS YAPE</t>
  </si>
  <si>
    <t>discos 4</t>
  </si>
  <si>
    <t>INGRESOS TARJETA</t>
  </si>
  <si>
    <t>PANEL LED 18W SOBEPNIES</t>
  </si>
  <si>
    <t>GASTOS VARIOS</t>
  </si>
  <si>
    <t>COMBO TRAMKONIA</t>
  </si>
  <si>
    <t>MRCADOR</t>
  </si>
  <si>
    <t>DINERO GANADO HOY:</t>
  </si>
  <si>
    <t>CANTIDAD DINERO CAJA:</t>
  </si>
  <si>
    <t>PER CARR 5/6*6</t>
  </si>
  <si>
    <t>TEE PVC 11/2</t>
  </si>
  <si>
    <t>REDUCCION 11/2*1</t>
  </si>
  <si>
    <t>BRAZO 30 CM</t>
  </si>
  <si>
    <t>DUCHA ENERBAS</t>
  </si>
  <si>
    <t>TERMICO 25</t>
  </si>
  <si>
    <t>TERMCIO 20</t>
  </si>
  <si>
    <t>YAPE MAMÁ</t>
  </si>
  <si>
    <t>YAPE PAPÁ</t>
  </si>
  <si>
    <t>YAPE</t>
  </si>
  <si>
    <t>TERMICO 35</t>
  </si>
  <si>
    <t>Monto Total YAPE (No tocar):</t>
  </si>
  <si>
    <t xml:space="preserve">PARABON </t>
  </si>
  <si>
    <t>GRFIO 1/2</t>
  </si>
  <si>
    <t>Monto Total Registrado en aplicacion</t>
  </si>
  <si>
    <t>LIMPIADOR</t>
  </si>
  <si>
    <t>CODO 1/2</t>
  </si>
  <si>
    <t>ADAPTDOR</t>
  </si>
  <si>
    <t>COPLAS 1/2</t>
  </si>
  <si>
    <t>M CAÑERIA</t>
  </si>
  <si>
    <t>TEFLON</t>
  </si>
  <si>
    <t>SEMICODO 3/4 CPVC</t>
  </si>
  <si>
    <t>CODO 3/4 CPV</t>
  </si>
  <si>
    <t>PAGOS YAPE</t>
  </si>
  <si>
    <t>DESCRIPCION PAGO</t>
  </si>
  <si>
    <t>COPLAS 3/4 CPVC</t>
  </si>
  <si>
    <t>RODILLO ATLAS</t>
  </si>
  <si>
    <t>AEROSOL BLANCO</t>
  </si>
  <si>
    <t>CHIO 4,5*25</t>
  </si>
  <si>
    <t>PICO TRUPER</t>
  </si>
  <si>
    <t>HIDROPISTOLA TRUPER</t>
  </si>
  <si>
    <t>CAJAS REC</t>
  </si>
  <si>
    <t>REGLETAS</t>
  </si>
  <si>
    <t>CLAVO</t>
  </si>
  <si>
    <t>chicotilo astra 60 cm</t>
  </si>
  <si>
    <t>llave de paso 1/2</t>
  </si>
  <si>
    <t>llave de paso 3/4</t>
  </si>
  <si>
    <t>teflon</t>
  </si>
  <si>
    <t>cincel plano tolse</t>
  </si>
  <si>
    <t>cina aislane</t>
  </si>
  <si>
    <t>escoba española</t>
  </si>
  <si>
    <t>broca fierro debore 3,5</t>
  </si>
  <si>
    <t>tesdores</t>
  </si>
  <si>
    <t>bandolas</t>
  </si>
  <si>
    <t>alambre de marre</t>
  </si>
  <si>
    <t>poxilia</t>
  </si>
  <si>
    <t>waype</t>
  </si>
  <si>
    <t>ramplus 10</t>
  </si>
  <si>
    <t>ramplus 6</t>
  </si>
  <si>
    <t>disco 4 tensador</t>
  </si>
  <si>
    <t>juego de lijas</t>
  </si>
  <si>
    <t>lija 120</t>
  </si>
  <si>
    <t>rodilloo 15 cm</t>
  </si>
  <si>
    <t>adaptador 11</t>
  </si>
  <si>
    <t>electrdo</t>
  </si>
  <si>
    <t>ramplus 8</t>
  </si>
  <si>
    <t>punas philip</t>
  </si>
  <si>
    <t>pie de amgio</t>
  </si>
  <si>
    <t>combo TRAMKONIA</t>
  </si>
  <si>
    <t>broca fierro deor 2,5</t>
  </si>
  <si>
    <t>broca debor 3</t>
  </si>
  <si>
    <t>regilla piso</t>
  </si>
  <si>
    <t>FLOADOR ELECTRICO</t>
  </si>
  <si>
    <t xml:space="preserve">CODO </t>
  </si>
  <si>
    <t>COPLA</t>
  </si>
  <si>
    <t>JKL ELECTRODO SOLDEXA</t>
  </si>
  <si>
    <t>ECOLE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</si>
</sst>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4">
        <v>1.0</v>
      </c>
      <c r="N6" s="2"/>
      <c r="O6" s="2"/>
      <c r="P6" s="2"/>
      <c r="Q6" s="2"/>
    </row>
    <row r="7" ht="22.5" customHeight="1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2"/>
      <c r="G7" s="6" t="s">
        <v>6</v>
      </c>
      <c r="L7" s="2"/>
      <c r="M7" s="2"/>
      <c r="N7" s="2"/>
      <c r="O7" s="2"/>
      <c r="P7" s="2"/>
      <c r="Q7" s="2"/>
    </row>
    <row r="8" ht="22.5" customHeight="1">
      <c r="A8" s="7"/>
      <c r="B8" s="7">
        <v>1.0</v>
      </c>
      <c r="C8" s="8" t="s">
        <v>7</v>
      </c>
      <c r="D8" s="7">
        <v>190.0</v>
      </c>
      <c r="E8" s="9">
        <v>46194.40667866898</v>
      </c>
      <c r="F8" s="2"/>
      <c r="L8" s="2"/>
      <c r="M8" s="2"/>
      <c r="N8" s="2"/>
      <c r="O8" s="2"/>
      <c r="P8" s="2"/>
      <c r="Q8" s="2"/>
    </row>
    <row r="9" ht="22.5" customHeight="1">
      <c r="A9" s="7"/>
      <c r="B9" s="7">
        <v>1.0</v>
      </c>
      <c r="C9" s="8" t="s">
        <v>8</v>
      </c>
      <c r="D9" s="7">
        <v>90.0</v>
      </c>
      <c r="E9" s="9">
        <v>46194.418485138885</v>
      </c>
      <c r="F9" s="2"/>
      <c r="G9" s="10" t="s">
        <v>9</v>
      </c>
      <c r="H9" s="11">
        <v>179.0</v>
      </c>
      <c r="I9" s="2"/>
      <c r="J9" s="10" t="s">
        <v>10</v>
      </c>
      <c r="K9" s="11">
        <v>700.0</v>
      </c>
      <c r="L9" s="2"/>
      <c r="M9" s="2"/>
      <c r="N9" s="2"/>
      <c r="O9" s="2"/>
      <c r="P9" s="2"/>
      <c r="Q9" s="2"/>
    </row>
    <row r="10" ht="22.5" customHeight="1">
      <c r="A10" s="7"/>
      <c r="B10" s="7">
        <v>4.0</v>
      </c>
      <c r="C10" s="8" t="s">
        <v>11</v>
      </c>
      <c r="D10" s="7">
        <v>4.0</v>
      </c>
      <c r="E10" s="9">
        <v>46194.42824690972</v>
      </c>
      <c r="F10" s="2"/>
      <c r="G10" s="10" t="s">
        <v>12</v>
      </c>
      <c r="H10" s="11">
        <v>460.0</v>
      </c>
      <c r="I10" s="2"/>
      <c r="J10" s="10" t="s">
        <v>13</v>
      </c>
      <c r="K10" s="12">
        <f>SUM(PRINCIPAL[TOTAL])</f>
        <v>2757.2</v>
      </c>
      <c r="L10" s="2"/>
      <c r="M10" s="2"/>
      <c r="N10" s="2"/>
      <c r="O10" s="2"/>
      <c r="P10" s="2"/>
      <c r="Q10" s="2"/>
    </row>
    <row r="11" ht="22.5" customHeight="1">
      <c r="A11" s="7"/>
      <c r="B11" s="7">
        <v>4.0</v>
      </c>
      <c r="C11" s="8" t="s">
        <v>14</v>
      </c>
      <c r="D11" s="7">
        <v>2.0</v>
      </c>
      <c r="E11" s="9">
        <v>46194.428376412034</v>
      </c>
      <c r="F11" s="2"/>
      <c r="G11" s="10" t="s">
        <v>15</v>
      </c>
      <c r="H11" s="11">
        <v>1800.0</v>
      </c>
      <c r="I11" s="2"/>
      <c r="J11" s="10" t="s">
        <v>16</v>
      </c>
      <c r="K11" s="11">
        <v>20.0</v>
      </c>
      <c r="L11" s="2"/>
      <c r="M11" s="2"/>
      <c r="N11" s="2"/>
      <c r="O11" s="2"/>
      <c r="P11" s="2"/>
      <c r="Q11" s="2"/>
    </row>
    <row r="12" ht="22.5" customHeight="1">
      <c r="A12" s="7"/>
      <c r="B12" s="7">
        <v>8.0</v>
      </c>
      <c r="C12" s="8" t="s">
        <v>17</v>
      </c>
      <c r="D12" s="7">
        <v>2.0</v>
      </c>
      <c r="E12" s="9">
        <v>46194.428499953705</v>
      </c>
      <c r="F12" s="2"/>
      <c r="G12" s="10" t="s">
        <v>18</v>
      </c>
      <c r="H12" s="13">
        <f>SUM(G24:H361)</f>
        <v>1029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7">
        <v>4.0</v>
      </c>
      <c r="C13" s="8" t="s">
        <v>19</v>
      </c>
      <c r="D13" s="7">
        <v>18.0</v>
      </c>
      <c r="E13" s="9">
        <v>46194.438014259256</v>
      </c>
      <c r="F13" s="2"/>
      <c r="G13" s="10" t="s">
        <v>20</v>
      </c>
      <c r="H13" s="11"/>
      <c r="I13" s="2"/>
      <c r="J13" s="4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7">
        <v>1.0</v>
      </c>
      <c r="C14" s="8" t="s">
        <v>21</v>
      </c>
      <c r="D14" s="7">
        <v>40.0</v>
      </c>
      <c r="E14" s="9">
        <v>46194.45192857639</v>
      </c>
      <c r="F14" s="2"/>
      <c r="G14" s="10" t="s">
        <v>22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7">
        <v>1.0</v>
      </c>
      <c r="C15" s="8" t="s">
        <v>23</v>
      </c>
      <c r="D15" s="7">
        <v>135.0</v>
      </c>
      <c r="E15" s="9">
        <v>46194.461792013884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7">
        <v>1.0</v>
      </c>
      <c r="C16" s="8" t="s">
        <v>24</v>
      </c>
      <c r="D16" s="7">
        <v>5.0</v>
      </c>
      <c r="E16" s="9">
        <v>46194.46182190972</v>
      </c>
      <c r="F16" s="2"/>
      <c r="G16" s="15" t="s">
        <v>25</v>
      </c>
      <c r="H16" s="16">
        <f>SUM(H9:H14)</f>
        <v>3468</v>
      </c>
      <c r="I16" s="3"/>
      <c r="J16" s="15" t="s">
        <v>26</v>
      </c>
      <c r="K16" s="16">
        <f>SUM(K9:K11)</f>
        <v>3477.2</v>
      </c>
      <c r="L16" s="2"/>
      <c r="M16" s="2"/>
      <c r="N16" s="2"/>
      <c r="O16" s="2"/>
      <c r="P16" s="2"/>
      <c r="Q16" s="2"/>
    </row>
    <row r="17" ht="22.5" customHeight="1">
      <c r="A17" s="14"/>
      <c r="B17" s="7">
        <v>3.0</v>
      </c>
      <c r="C17" s="8" t="s">
        <v>27</v>
      </c>
      <c r="D17" s="7">
        <v>10.0</v>
      </c>
      <c r="E17" s="9">
        <v>46194.46331377314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7">
        <v>1.0</v>
      </c>
      <c r="C18" s="8" t="s">
        <v>28</v>
      </c>
      <c r="D18" s="7">
        <v>17.0</v>
      </c>
      <c r="E18" s="9">
        <v>46194.46999466435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9,20</v>
      </c>
      <c r="L18" s="2"/>
      <c r="M18" s="2"/>
      <c r="N18" s="2"/>
      <c r="O18" s="2"/>
      <c r="P18" s="2"/>
      <c r="Q18" s="2"/>
    </row>
    <row r="19" ht="22.5" customHeight="1">
      <c r="A19" s="14"/>
      <c r="B19" s="7">
        <v>1.0</v>
      </c>
      <c r="C19" s="8" t="s">
        <v>29</v>
      </c>
      <c r="D19" s="7">
        <v>8.5</v>
      </c>
      <c r="E19" s="9">
        <v>46194.46993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7">
        <v>1.0</v>
      </c>
      <c r="C20" s="8" t="s">
        <v>30</v>
      </c>
      <c r="D20" s="7">
        <v>69.0</v>
      </c>
      <c r="E20" s="9">
        <v>46194.47023457176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7">
        <v>1.0</v>
      </c>
      <c r="C21" s="8" t="s">
        <v>31</v>
      </c>
      <c r="D21" s="7">
        <v>140.0</v>
      </c>
      <c r="E21" s="9">
        <v>46194.47031984954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7">
        <v>1.0</v>
      </c>
      <c r="C22" s="8" t="s">
        <v>32</v>
      </c>
      <c r="D22" s="7">
        <v>26.0</v>
      </c>
      <c r="E22" s="9">
        <v>46194.47052476852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7">
        <v>1.0</v>
      </c>
      <c r="C23" s="8" t="s">
        <v>33</v>
      </c>
      <c r="D23" s="7">
        <v>26.0</v>
      </c>
      <c r="E23" s="9">
        <v>46194.47057609954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4"/>
      <c r="B24" s="7">
        <v>5.0</v>
      </c>
      <c r="C24" s="8" t="s">
        <v>37</v>
      </c>
      <c r="D24" s="7">
        <v>130.0</v>
      </c>
      <c r="E24" s="9">
        <v>46194.47062761574</v>
      </c>
      <c r="F24" s="2"/>
      <c r="G24" s="22">
        <v>40.0</v>
      </c>
      <c r="H24" s="23"/>
      <c r="I24" s="2"/>
      <c r="J24" s="24" t="s">
        <v>38</v>
      </c>
      <c r="K24" s="25">
        <f>SUM(INGRESOS_YAPE[])</f>
        <v>1029</v>
      </c>
      <c r="L24" s="2"/>
      <c r="M24" s="2"/>
      <c r="N24" s="2"/>
      <c r="O24" s="2"/>
      <c r="P24" s="2"/>
      <c r="Q24" s="2"/>
    </row>
    <row r="25" ht="22.5" customHeight="1">
      <c r="A25" s="14"/>
      <c r="B25" s="7">
        <v>1.0</v>
      </c>
      <c r="C25" s="8" t="s">
        <v>39</v>
      </c>
      <c r="D25" s="7">
        <v>78.0</v>
      </c>
      <c r="E25" s="9">
        <v>46194.48941996528</v>
      </c>
      <c r="F25" s="2"/>
      <c r="G25" s="22">
        <v>140.0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7">
        <v>1.0</v>
      </c>
      <c r="C26" s="8" t="s">
        <v>40</v>
      </c>
      <c r="D26" s="7">
        <v>86.0</v>
      </c>
      <c r="E26" s="9">
        <v>46194.489481516204</v>
      </c>
      <c r="F26" s="2"/>
      <c r="G26" s="26">
        <v>10.0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4"/>
      <c r="B27" s="7">
        <v>1.0</v>
      </c>
      <c r="C27" s="8" t="s">
        <v>42</v>
      </c>
      <c r="D27" s="7">
        <v>60.0</v>
      </c>
      <c r="E27" s="9">
        <v>46194.48953197917</v>
      </c>
      <c r="F27" s="2"/>
      <c r="G27" s="22">
        <v>234.0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7">
        <v>2.0</v>
      </c>
      <c r="C28" s="8" t="s">
        <v>43</v>
      </c>
      <c r="D28" s="7">
        <v>7.4</v>
      </c>
      <c r="E28" s="9">
        <v>46194.4897040162</v>
      </c>
      <c r="F28" s="2"/>
      <c r="G28" s="22">
        <v>194.0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7">
        <v>2.0</v>
      </c>
      <c r="C29" s="8" t="s">
        <v>44</v>
      </c>
      <c r="D29" s="7">
        <v>5.0</v>
      </c>
      <c r="E29" s="9">
        <v>46194.48978212963</v>
      </c>
      <c r="F29" s="2"/>
      <c r="G29" s="22">
        <v>29.0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1029,00</v>
      </c>
      <c r="L29" s="2"/>
      <c r="M29" s="2"/>
      <c r="N29" s="2"/>
      <c r="O29" s="2"/>
      <c r="P29" s="2"/>
      <c r="Q29" s="2"/>
    </row>
    <row r="30" ht="22.5" customHeight="1">
      <c r="A30" s="14"/>
      <c r="B30" s="7">
        <v>2.0</v>
      </c>
      <c r="C30" s="8" t="s">
        <v>45</v>
      </c>
      <c r="D30" s="7">
        <v>7.0</v>
      </c>
      <c r="E30" s="9">
        <v>46194.48982841436</v>
      </c>
      <c r="F30" s="2"/>
      <c r="G30" s="22">
        <v>56.0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7">
        <v>1.0</v>
      </c>
      <c r="C31" s="8" t="s">
        <v>46</v>
      </c>
      <c r="D31" s="7">
        <v>9.8</v>
      </c>
      <c r="E31" s="9">
        <v>46194.490008877314</v>
      </c>
      <c r="F31" s="2"/>
      <c r="G31" s="22">
        <v>5.0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7">
        <v>2.0</v>
      </c>
      <c r="C32" s="8" t="s">
        <v>47</v>
      </c>
      <c r="D32" s="7">
        <v>6.0</v>
      </c>
      <c r="E32" s="9">
        <v>46194.49004658565</v>
      </c>
      <c r="F32" s="2"/>
      <c r="G32" s="22">
        <v>9.0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7">
        <v>2.0</v>
      </c>
      <c r="C33" s="8" t="s">
        <v>48</v>
      </c>
      <c r="D33" s="7">
        <v>15.0</v>
      </c>
      <c r="E33" s="9">
        <v>46194.49015960648</v>
      </c>
      <c r="F33" s="2"/>
      <c r="G33" s="22">
        <v>165.0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7">
        <v>2.0</v>
      </c>
      <c r="C34" s="8" t="s">
        <v>49</v>
      </c>
      <c r="D34" s="7">
        <v>20.0</v>
      </c>
      <c r="E34" s="9">
        <v>46194.490308865745</v>
      </c>
      <c r="F34" s="2"/>
      <c r="G34" s="22">
        <v>102.0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4"/>
      <c r="B35" s="7">
        <v>2.0</v>
      </c>
      <c r="C35" s="8" t="s">
        <v>52</v>
      </c>
      <c r="D35" s="7">
        <v>10.0</v>
      </c>
      <c r="E35" s="9">
        <v>46194.49038732639</v>
      </c>
      <c r="F35" s="2"/>
      <c r="G35" s="22">
        <v>10.0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4"/>
      <c r="B36" s="7">
        <v>1.0</v>
      </c>
      <c r="C36" s="8" t="s">
        <v>53</v>
      </c>
      <c r="D36" s="7">
        <v>11.0</v>
      </c>
      <c r="E36" s="9">
        <v>46194.489253912034</v>
      </c>
      <c r="F36" s="2"/>
      <c r="G36" s="22">
        <v>35.0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4"/>
      <c r="B37" s="7">
        <v>1.0</v>
      </c>
      <c r="C37" s="8" t="s">
        <v>54</v>
      </c>
      <c r="D37" s="7">
        <v>18.0</v>
      </c>
      <c r="E37" s="9">
        <v>46194.48920699074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4"/>
      <c r="B38" s="7">
        <v>24.0</v>
      </c>
      <c r="C38" s="8" t="s">
        <v>55</v>
      </c>
      <c r="D38" s="7">
        <v>5.0</v>
      </c>
      <c r="E38" s="9">
        <v>46194.50137292824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4"/>
      <c r="B39" s="7">
        <v>1.0</v>
      </c>
      <c r="C39" s="8" t="s">
        <v>56</v>
      </c>
      <c r="D39" s="7">
        <v>6.0</v>
      </c>
      <c r="E39" s="9">
        <v>46194.501545266205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4"/>
      <c r="B40" s="7">
        <v>1.0</v>
      </c>
      <c r="C40" s="8" t="s">
        <v>57</v>
      </c>
      <c r="D40" s="7">
        <v>45.0</v>
      </c>
      <c r="E40" s="9">
        <v>46194.50160072917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4"/>
      <c r="B41" s="7">
        <v>2.0</v>
      </c>
      <c r="C41" s="8" t="s">
        <v>58</v>
      </c>
      <c r="D41" s="7">
        <v>11.0</v>
      </c>
      <c r="E41" s="9">
        <v>46194.516550162036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4"/>
      <c r="B42" s="7">
        <v>2.0</v>
      </c>
      <c r="C42" s="8" t="s">
        <v>59</v>
      </c>
      <c r="D42" s="7">
        <v>32.0</v>
      </c>
      <c r="E42" s="9">
        <v>46194.51974212963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4"/>
      <c r="B43" s="7">
        <v>1.0</v>
      </c>
      <c r="C43" s="8" t="s">
        <v>60</v>
      </c>
      <c r="D43" s="7">
        <v>4.0</v>
      </c>
      <c r="E43" s="9">
        <v>46194.51998592593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4"/>
      <c r="B44" s="7">
        <v>1.0</v>
      </c>
      <c r="C44" s="8" t="s">
        <v>61</v>
      </c>
      <c r="D44" s="7">
        <v>20.0</v>
      </c>
      <c r="E44" s="9">
        <v>46195.396379502316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7">
        <v>1.0</v>
      </c>
      <c r="C45" s="8" t="s">
        <v>62</v>
      </c>
      <c r="D45" s="7">
        <v>62.0</v>
      </c>
      <c r="E45" s="9">
        <v>46195.39647626157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7">
        <v>1.0</v>
      </c>
      <c r="C46" s="8" t="s">
        <v>63</v>
      </c>
      <c r="D46" s="7">
        <v>92.0</v>
      </c>
      <c r="E46" s="9">
        <v>46195.39656275463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7">
        <v>2.0</v>
      </c>
      <c r="C47" s="8" t="s">
        <v>64</v>
      </c>
      <c r="D47" s="7">
        <v>6.0</v>
      </c>
      <c r="E47" s="9">
        <v>46195.396617060185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7">
        <v>2.0</v>
      </c>
      <c r="C48" s="8" t="s">
        <v>65</v>
      </c>
      <c r="D48" s="7">
        <v>280.0</v>
      </c>
      <c r="E48" s="9">
        <v>46195.43265311343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7">
        <v>1.0</v>
      </c>
      <c r="C49" s="8" t="s">
        <v>66</v>
      </c>
      <c r="D49" s="7">
        <v>12.0</v>
      </c>
      <c r="E49" s="9">
        <v>46195.43270662037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7">
        <v>1.0</v>
      </c>
      <c r="C50" s="8" t="s">
        <v>67</v>
      </c>
      <c r="D50" s="7">
        <v>40.0</v>
      </c>
      <c r="E50" s="9">
        <v>46195.432889675925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7">
        <v>1.0</v>
      </c>
      <c r="C51" s="8" t="s">
        <v>68</v>
      </c>
      <c r="D51" s="7">
        <v>12.0</v>
      </c>
      <c r="E51" s="9">
        <v>46195.43299861111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7">
        <v>4.0</v>
      </c>
      <c r="C52" s="8" t="s">
        <v>69</v>
      </c>
      <c r="D52" s="7">
        <v>44.0</v>
      </c>
      <c r="E52" s="9">
        <v>46195.456886458334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7">
        <v>4.0</v>
      </c>
      <c r="C53" s="8" t="s">
        <v>70</v>
      </c>
      <c r="D53" s="7">
        <v>28.0</v>
      </c>
      <c r="E53" s="9">
        <v>46195.45700152778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7">
        <v>0.5</v>
      </c>
      <c r="C54" s="8" t="s">
        <v>71</v>
      </c>
      <c r="D54" s="7">
        <v>9.5</v>
      </c>
      <c r="E54" s="9">
        <v>46195.4571024537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7">
        <v>1.0</v>
      </c>
      <c r="C55" s="8" t="s">
        <v>72</v>
      </c>
      <c r="D55" s="7">
        <v>35.0</v>
      </c>
      <c r="E55" s="9">
        <v>46195.45722534722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7">
        <v>1.0</v>
      </c>
      <c r="C56" s="8" t="s">
        <v>73</v>
      </c>
      <c r="D56" s="7">
        <v>10.0</v>
      </c>
      <c r="E56" s="9">
        <v>46195.459268437495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7">
        <v>12.0</v>
      </c>
      <c r="C57" s="8" t="s">
        <v>74</v>
      </c>
      <c r="D57" s="7">
        <v>4.0</v>
      </c>
      <c r="E57" s="9">
        <v>46195.471278784724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7">
        <v>6.0</v>
      </c>
      <c r="C58" s="8" t="s">
        <v>75</v>
      </c>
      <c r="D58" s="7">
        <v>1.0</v>
      </c>
      <c r="E58" s="9">
        <v>46195.47136486111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7">
        <v>1.0</v>
      </c>
      <c r="C59" s="8" t="s">
        <v>76</v>
      </c>
      <c r="D59" s="7">
        <v>34.0</v>
      </c>
      <c r="E59" s="9">
        <v>46195.47161956019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7">
        <v>1.0</v>
      </c>
      <c r="C60" s="8" t="s">
        <v>77</v>
      </c>
      <c r="D60" s="7">
        <v>12.0</v>
      </c>
      <c r="E60" s="9">
        <v>46195.47173215278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7">
        <v>1.0</v>
      </c>
      <c r="C61" s="8" t="s">
        <v>78</v>
      </c>
      <c r="D61" s="7">
        <v>10.0</v>
      </c>
      <c r="E61" s="9">
        <v>46195.47782266204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7">
        <v>1.0</v>
      </c>
      <c r="C62" s="8" t="s">
        <v>79</v>
      </c>
      <c r="D62" s="7">
        <v>17.0</v>
      </c>
      <c r="E62" s="9">
        <v>46195.47789175926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7">
        <v>1.0</v>
      </c>
      <c r="C63" s="8" t="s">
        <v>80</v>
      </c>
      <c r="D63" s="7">
        <v>9.0</v>
      </c>
      <c r="E63" s="9">
        <v>46195.48253037037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7">
        <v>0.5</v>
      </c>
      <c r="C64" s="8" t="s">
        <v>81</v>
      </c>
      <c r="D64" s="7">
        <v>29.0</v>
      </c>
      <c r="E64" s="9">
        <v>46195.50641474537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7">
        <v>12.0</v>
      </c>
      <c r="C65" s="8" t="s">
        <v>82</v>
      </c>
      <c r="D65" s="7">
        <v>3.0</v>
      </c>
      <c r="E65" s="9">
        <v>46195.50648570602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7">
        <v>3.0</v>
      </c>
      <c r="C66" s="8" t="s">
        <v>83</v>
      </c>
      <c r="D66" s="7">
        <v>12.0</v>
      </c>
      <c r="E66" s="9">
        <v>46195.50672491898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7">
        <v>24.0</v>
      </c>
      <c r="C67" s="8" t="s">
        <v>75</v>
      </c>
      <c r="D67" s="7">
        <v>3.0</v>
      </c>
      <c r="E67" s="9">
        <v>46195.506790960644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7">
        <v>4.0</v>
      </c>
      <c r="C68" s="8" t="s">
        <v>84</v>
      </c>
      <c r="D68" s="7">
        <v>52.0</v>
      </c>
      <c r="E68" s="9">
        <v>46195.50694085648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7">
        <v>1.0</v>
      </c>
      <c r="C69" s="8" t="s">
        <v>85</v>
      </c>
      <c r="D69" s="7">
        <v>148.0</v>
      </c>
      <c r="E69" s="9">
        <v>46195.50701601851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7">
        <v>2.0</v>
      </c>
      <c r="C70" s="8" t="s">
        <v>86</v>
      </c>
      <c r="D70" s="7">
        <v>20.0</v>
      </c>
      <c r="E70" s="9">
        <v>46195.507236053236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7">
        <v>1.0</v>
      </c>
      <c r="C71" s="8" t="s">
        <v>87</v>
      </c>
      <c r="D71" s="7">
        <v>10.0</v>
      </c>
      <c r="E71" s="9">
        <v>46195.507288877314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7">
        <v>1.0</v>
      </c>
      <c r="C72" s="8" t="s">
        <v>88</v>
      </c>
      <c r="D72" s="7">
        <v>35.0</v>
      </c>
      <c r="E72" s="9">
        <v>46195.5236834838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7">
        <v>1.0</v>
      </c>
      <c r="C73" s="8" t="s">
        <v>89</v>
      </c>
      <c r="D73" s="7">
        <v>174.0</v>
      </c>
      <c r="E73" s="9">
        <v>46195.53932024306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7">
        <v>1.0</v>
      </c>
      <c r="C74" s="8" t="s">
        <v>90</v>
      </c>
      <c r="D74" s="7">
        <v>9.0</v>
      </c>
      <c r="E74" s="9">
        <v>46195.53951707176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7">
        <v>2.0</v>
      </c>
      <c r="C75" s="8" t="s">
        <v>91</v>
      </c>
      <c r="D75" s="7">
        <v>14.0</v>
      </c>
      <c r="E75" s="9">
        <v>46195.53956582176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7">
        <v>1.0</v>
      </c>
      <c r="C76" s="8" t="s">
        <v>43</v>
      </c>
      <c r="D76" s="7">
        <v>10.0</v>
      </c>
      <c r="E76" s="9">
        <v>46195.53968480324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7">
        <v>2.0</v>
      </c>
      <c r="C77" s="8" t="s">
        <v>92</v>
      </c>
      <c r="D77" s="7">
        <v>128.0</v>
      </c>
      <c r="E77" s="9">
        <v>46195.53980190972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7">
        <v>1.0</v>
      </c>
      <c r="C78" s="8" t="s">
        <v>93</v>
      </c>
      <c r="D78" s="7">
        <v>24.0</v>
      </c>
      <c r="E78" s="9">
        <v>46195.549639687495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14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14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14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14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