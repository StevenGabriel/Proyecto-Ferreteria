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<sst xmlns="http://schemas.openxmlformats.org/spreadsheetml/2006/main" count="88" uniqueCount="87">
  <si>
    <t>HOJA DE CALCULO FERRETERIA</t>
  </si>
  <si>
    <t>CODIGO</t>
  </si>
  <si>
    <t>CANTIDAD</t>
  </si>
  <si>
    <t>DESCRIPCION</t>
  </si>
  <si>
    <t>TOTAL</t>
  </si>
  <si>
    <t>HORA</t>
  </si>
  <si>
    <t>CUADRAR</t>
  </si>
  <si>
    <t>chip 4x25</t>
  </si>
  <si>
    <t>chip 3x25</t>
  </si>
  <si>
    <t>MONEDAS</t>
  </si>
  <si>
    <t>CAJA CHICA</t>
  </si>
  <si>
    <t>carpicola 300</t>
  </si>
  <si>
    <t>BILLETES 10-20</t>
  </si>
  <si>
    <t>TOTAL VENTAS DIA</t>
  </si>
  <si>
    <t>acerrin</t>
  </si>
  <si>
    <t>BILLETES 50-100-200</t>
  </si>
  <si>
    <t>AUMENTO DE DINERO</t>
  </si>
  <si>
    <t>tee pvc 1/2</t>
  </si>
  <si>
    <t>INGRESOS YAPE</t>
  </si>
  <si>
    <t>termco 40</t>
  </si>
  <si>
    <t>INGRESOS TARJETA</t>
  </si>
  <si>
    <t>termico 50</t>
  </si>
  <si>
    <t>GASTOS VARIOS</t>
  </si>
  <si>
    <t>juego de gubias perue</t>
  </si>
  <si>
    <t>DETECTOR DE VOLTAJW</t>
  </si>
  <si>
    <t>DINERO GANADO HOY:</t>
  </si>
  <si>
    <t>CANTIDAD DINERO CAJA:</t>
  </si>
  <si>
    <t>SILICONA AMERICA</t>
  </si>
  <si>
    <t>JUEG DISCO DE PULIR</t>
  </si>
  <si>
    <t>CEPILLOS DIAMANTE</t>
  </si>
  <si>
    <t>W40</t>
  </si>
  <si>
    <t>1KL</t>
  </si>
  <si>
    <t>ALAMBRE GAL 18</t>
  </si>
  <si>
    <t>JUEGO DE PIEDRAS UYUS</t>
  </si>
  <si>
    <t>DISCO FLAP</t>
  </si>
  <si>
    <t>YAPE MAMÁ</t>
  </si>
  <si>
    <t>YAPE PAPÁ</t>
  </si>
  <si>
    <t>YAPE</t>
  </si>
  <si>
    <t>ADAPTADOR TRMAON</t>
  </si>
  <si>
    <t>Monto Total YAPE (No tocar):</t>
  </si>
  <si>
    <t>PICO TRAMON</t>
  </si>
  <si>
    <t>MASA CORRIDA</t>
  </si>
  <si>
    <t>Monto Total Registrado en aplicacion</t>
  </si>
  <si>
    <t>AEROSOL BANCO MATE</t>
  </si>
  <si>
    <t>ESPATULA PALSTICA</t>
  </si>
  <si>
    <t>1M</t>
  </si>
  <si>
    <t>LIJA 120M</t>
  </si>
  <si>
    <t>BROCA 21/2</t>
  </si>
  <si>
    <t>REGILLAS DE VENTILACION</t>
  </si>
  <si>
    <t>PICOLA CAUTIN</t>
  </si>
  <si>
    <t>FRESA</t>
  </si>
  <si>
    <t>POXIPOL TRAN</t>
  </si>
  <si>
    <t>PAGOS YAPE</t>
  </si>
  <si>
    <t>DESCRIPCION PAGO</t>
  </si>
  <si>
    <t>ROLETE ASTRA</t>
  </si>
  <si>
    <t>PISOTO</t>
  </si>
  <si>
    <t>POSPO</t>
  </si>
  <si>
    <t>SEMICODO 11/2</t>
  </si>
  <si>
    <t>CODO 11/2</t>
  </si>
  <si>
    <t>PIFGMENT</t>
  </si>
  <si>
    <t>BROCHA ROJAS 11/2</t>
  </si>
  <si>
    <t>TEE 1</t>
  </si>
  <si>
    <t>OATEY</t>
  </si>
  <si>
    <t>REDUCCION</t>
  </si>
  <si>
    <t>CAÑERA 3/4</t>
  </si>
  <si>
    <t>CADADO DOBLE</t>
  </si>
  <si>
    <t>ESCALRA TR</t>
  </si>
  <si>
    <t>CHIP + RAPMLU 10</t>
  </si>
  <si>
    <t>BROCHA ATLAS BLANCA3</t>
  </si>
  <si>
    <t>BROCHA ATLAS BLANCA 2</t>
  </si>
  <si>
    <t>ARANDELAS</t>
  </si>
  <si>
    <t>ALARGADOR DE CORRIENTE</t>
  </si>
  <si>
    <t>LLAVE STILSON 12</t>
  </si>
  <si>
    <t>GRIFO EKO 1/2 IMI</t>
  </si>
  <si>
    <t>ALARGADOR UYUS</t>
  </si>
  <si>
    <t>ADAPTADOR ARGENTINO</t>
  </si>
  <si>
    <t xml:space="preserve">chiop </t>
  </si>
  <si>
    <t>clefa 1l</t>
  </si>
  <si>
    <t>codo 11/2</t>
  </si>
  <si>
    <t>RESISTENCIA CORONA</t>
  </si>
  <si>
    <t>GUANTE JDEVER</t>
  </si>
  <si>
    <t>RODILLO LANA 15</t>
  </si>
  <si>
    <t>PISPOT</t>
  </si>
  <si>
    <t>JAADOR</t>
  </si>
  <si>
    <t>MASQUIN 1</t>
  </si>
  <si>
    <t>BISAGRA CODO TR</t>
  </si>
  <si>
    <t>FOCO CALIDO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</si>
</sst>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24.0</v>
      </c>
      <c r="C8" s="7" t="s">
        <v>7</v>
      </c>
      <c r="D8" s="6">
        <v>5.0</v>
      </c>
      <c r="E8" s="8">
        <v>46179.38656087963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24.0</v>
      </c>
      <c r="C9" s="7" t="s">
        <v>8</v>
      </c>
      <c r="D9" s="6">
        <v>3.0</v>
      </c>
      <c r="E9" s="8">
        <v>46179.38528567129</v>
      </c>
      <c r="F9" s="2"/>
      <c r="G9" s="9" t="s">
        <v>9</v>
      </c>
      <c r="H9" s="10">
        <v>67.0</v>
      </c>
      <c r="I9" s="2"/>
      <c r="J9" s="9" t="s">
        <v>10</v>
      </c>
      <c r="K9" s="10">
        <v>385.5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18.0</v>
      </c>
      <c r="E10" s="8">
        <v>46179.38521695602</v>
      </c>
      <c r="F10" s="2"/>
      <c r="G10" s="9" t="s">
        <v>12</v>
      </c>
      <c r="H10" s="10">
        <v>230.0</v>
      </c>
      <c r="I10" s="2"/>
      <c r="J10" s="9" t="s">
        <v>13</v>
      </c>
      <c r="K10" s="11">
        <f>SUM(PRINCIPAL[TOTAL])</f>
        <v>4579.5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7.0</v>
      </c>
      <c r="E11" s="8">
        <v>46179.38511994213</v>
      </c>
      <c r="F11" s="2"/>
      <c r="G11" s="9" t="s">
        <v>15</v>
      </c>
      <c r="H11" s="10">
        <v>3150.0</v>
      </c>
      <c r="I11" s="2"/>
      <c r="J11" s="9" t="s">
        <v>16</v>
      </c>
      <c r="K11" s="10">
        <v>85.0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5.0</v>
      </c>
      <c r="E12" s="8">
        <v>46179.38664193287</v>
      </c>
      <c r="F12" s="2"/>
      <c r="G12" s="9" t="s">
        <v>18</v>
      </c>
      <c r="H12" s="12">
        <f>SUM(G24:H361)</f>
        <v>1162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29.0</v>
      </c>
      <c r="E13" s="8">
        <v>46179.4000121412</v>
      </c>
      <c r="F13" s="2"/>
      <c r="G13" s="9" t="s">
        <v>20</v>
      </c>
      <c r="H13" s="10">
        <v>506.0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29.0</v>
      </c>
      <c r="E14" s="8">
        <v>46179.40005488426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45.0</v>
      </c>
      <c r="E15" s="8">
        <v>46179.400192546294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104.0</v>
      </c>
      <c r="E16" s="8">
        <v>46179.403189398145</v>
      </c>
      <c r="F16" s="2"/>
      <c r="G16" s="15" t="s">
        <v>25</v>
      </c>
      <c r="H16" s="16">
        <f>SUM(H9:H14)</f>
        <v>5115</v>
      </c>
      <c r="I16" s="3"/>
      <c r="J16" s="15" t="s">
        <v>26</v>
      </c>
      <c r="K16" s="16">
        <f>SUM(K9:K11)</f>
        <v>5050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5.0</v>
      </c>
      <c r="C17" s="7" t="s">
        <v>27</v>
      </c>
      <c r="D17" s="6">
        <v>130.0</v>
      </c>
      <c r="E17" s="8">
        <v>46179.40333423611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65.0</v>
      </c>
      <c r="E18" s="8">
        <v>46179.433768414354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10.0</v>
      </c>
      <c r="E19" s="8">
        <v>46179.43397774306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314.0</v>
      </c>
      <c r="E20" s="8">
        <v>46179.434121412036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31</v>
      </c>
      <c r="C21" s="7" t="s">
        <v>32</v>
      </c>
      <c r="D21" s="6">
        <v>30.0</v>
      </c>
      <c r="E21" s="8">
        <v>46179.441335358795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18.0</v>
      </c>
      <c r="E22" s="8">
        <v>46179.447234085645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12.0</v>
      </c>
      <c r="E23" s="8">
        <v>46179.463025115736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7.0</v>
      </c>
      <c r="E24" s="8">
        <v>46179.47135072917</v>
      </c>
      <c r="F24" s="2"/>
      <c r="G24" s="22">
        <v>103.0</v>
      </c>
      <c r="H24" s="23"/>
      <c r="I24" s="2"/>
      <c r="J24" s="24" t="s">
        <v>39</v>
      </c>
      <c r="K24" s="25">
        <f>SUM(INGRESOS_YAPE[])</f>
        <v>1162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6.0</v>
      </c>
      <c r="E25" s="8">
        <v>46179.471408391204</v>
      </c>
      <c r="F25" s="2"/>
      <c r="G25" s="22">
        <v>104.0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29.0</v>
      </c>
      <c r="E26" s="8">
        <v>46179.481314247685</v>
      </c>
      <c r="F26" s="2"/>
      <c r="G26" s="26">
        <v>130.0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20.0</v>
      </c>
      <c r="E27" s="8">
        <v>46179.48141521991</v>
      </c>
      <c r="F27" s="2"/>
      <c r="G27" s="22">
        <v>56.0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7.0</v>
      </c>
      <c r="E28" s="8">
        <v>46179.48147496527</v>
      </c>
      <c r="F28" s="2"/>
      <c r="G28" s="22">
        <v>40.0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45</v>
      </c>
      <c r="C29" s="7" t="s">
        <v>46</v>
      </c>
      <c r="D29" s="6">
        <v>10.0</v>
      </c>
      <c r="E29" s="8">
        <v>46179.48166394676</v>
      </c>
      <c r="F29" s="2"/>
      <c r="G29" s="22">
        <v>19.0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1162,00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9.0</v>
      </c>
      <c r="E30" s="8">
        <v>46179.48187106481</v>
      </c>
      <c r="F30" s="2"/>
      <c r="G30" s="22">
        <v>59.0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8.0</v>
      </c>
      <c r="C31" s="7" t="s">
        <v>48</v>
      </c>
      <c r="D31" s="6">
        <v>120.0</v>
      </c>
      <c r="E31" s="8">
        <v>46179.48394928241</v>
      </c>
      <c r="F31" s="2"/>
      <c r="G31" s="22">
        <v>101.0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40.0</v>
      </c>
      <c r="E32" s="8">
        <v>46179.484036712965</v>
      </c>
      <c r="F32" s="2"/>
      <c r="G32" s="22">
        <v>5.0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59.0</v>
      </c>
      <c r="E33" s="8">
        <v>46179.498414236106</v>
      </c>
      <c r="F33" s="2"/>
      <c r="G33" s="22">
        <v>45.0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36.0</v>
      </c>
      <c r="E34" s="8">
        <v>46179.49878202546</v>
      </c>
      <c r="F34" s="2"/>
      <c r="G34" s="22">
        <v>66.0</v>
      </c>
      <c r="H34" s="23"/>
      <c r="I34" s="2"/>
      <c r="J34" s="30" t="s">
        <v>52</v>
      </c>
      <c r="K34" s="30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54</v>
      </c>
      <c r="D35" s="6">
        <v>24.0</v>
      </c>
      <c r="E35" s="8">
        <v>46179.50081283565</v>
      </c>
      <c r="F35" s="2"/>
      <c r="G35" s="22">
        <v>22.5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16.0</v>
      </c>
      <c r="E36" s="8">
        <v>46179.5008846875</v>
      </c>
      <c r="F36" s="2"/>
      <c r="G36" s="22">
        <v>234.0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15.0</v>
      </c>
      <c r="E37" s="8">
        <v>46179.500980983794</v>
      </c>
      <c r="F37" s="2"/>
      <c r="G37" s="22">
        <v>177.5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57</v>
      </c>
      <c r="D38" s="6">
        <v>7.0</v>
      </c>
      <c r="E38" s="8">
        <v>46179.50669892361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3.5</v>
      </c>
      <c r="E39" s="8">
        <v>46179.50678152777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10.0</v>
      </c>
      <c r="E40" s="8">
        <v>46179.50841913195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4.0</v>
      </c>
      <c r="E41" s="8">
        <v>46179.50848107639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7.5</v>
      </c>
      <c r="E42" s="8">
        <v>46179.53682346064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40.0</v>
      </c>
      <c r="E43" s="8">
        <v>46179.53691988426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3.0</v>
      </c>
      <c r="E44" s="8">
        <v>46179.53696738426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45</v>
      </c>
      <c r="C45" s="7" t="s">
        <v>64</v>
      </c>
      <c r="D45" s="6">
        <v>13.0</v>
      </c>
      <c r="E45" s="8">
        <v>46179.53714114583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79.0</v>
      </c>
      <c r="E46" s="8">
        <v>46179.53872802084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2200.0</v>
      </c>
      <c r="E47" s="8">
        <v>46179.53984716436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18.0</v>
      </c>
      <c r="C48" s="7" t="s">
        <v>67</v>
      </c>
      <c r="D48" s="6">
        <v>11.5</v>
      </c>
      <c r="E48" s="8">
        <v>46179.57402493055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21.0</v>
      </c>
      <c r="E49" s="8">
        <v>46179.57714148148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16.0</v>
      </c>
      <c r="E50" s="8">
        <v>46179.577246493056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4.0</v>
      </c>
      <c r="C51" s="7" t="s">
        <v>70</v>
      </c>
      <c r="D51" s="6">
        <v>5.0</v>
      </c>
      <c r="E51" s="8">
        <v>46179.57734341435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66.0</v>
      </c>
      <c r="E52" s="8">
        <v>46179.58688715278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74.0</v>
      </c>
      <c r="E53" s="8">
        <v>46179.587449189814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73</v>
      </c>
      <c r="D54" s="6">
        <v>130.0</v>
      </c>
      <c r="E54" s="8">
        <v>46179.58763034722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66.0</v>
      </c>
      <c r="E55" s="8">
        <v>46179.58830091435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8.0</v>
      </c>
      <c r="E56" s="8">
        <v>46179.58872284723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36.0</v>
      </c>
      <c r="C57" s="7" t="s">
        <v>76</v>
      </c>
      <c r="D57" s="6">
        <v>22.5</v>
      </c>
      <c r="E57" s="8">
        <v>46179.600656932875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3.0</v>
      </c>
      <c r="C58" s="7" t="s">
        <v>77</v>
      </c>
      <c r="D58" s="6">
        <v>234.0</v>
      </c>
      <c r="E58" s="8">
        <v>46179.602490833335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78</v>
      </c>
      <c r="D59" s="6">
        <v>7.0</v>
      </c>
      <c r="E59" s="8">
        <v>46179.6089619213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22.0</v>
      </c>
      <c r="E60" s="8">
        <v>46179.629519166665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80</v>
      </c>
      <c r="D61" s="6">
        <v>16.0</v>
      </c>
      <c r="E61" s="8">
        <v>46179.629593715275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26.0</v>
      </c>
      <c r="E62" s="8">
        <v>46179.63338993056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4.0</v>
      </c>
      <c r="C63" s="7" t="s">
        <v>82</v>
      </c>
      <c r="D63" s="6">
        <v>24.0</v>
      </c>
      <c r="E63" s="8">
        <v>46179.63747336806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83</v>
      </c>
      <c r="D64" s="6">
        <v>24.0</v>
      </c>
      <c r="E64" s="8">
        <v>46179.637533518515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3.0</v>
      </c>
      <c r="C65" s="7" t="s">
        <v>84</v>
      </c>
      <c r="D65" s="6">
        <v>49.5</v>
      </c>
      <c r="E65" s="8">
        <v>46179.63884597222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8.0</v>
      </c>
      <c r="C66" s="7" t="s">
        <v>85</v>
      </c>
      <c r="D66" s="6">
        <v>128.0</v>
      </c>
      <c r="E66" s="8">
        <v>46179.63892773148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86</v>
      </c>
      <c r="D67" s="6">
        <v>40.0</v>
      </c>
      <c r="E67" s="8">
        <v>46179.671817442126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3"/>
      <c r="D68" s="34"/>
      <c r="E68" s="35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3"/>
      <c r="D69" s="34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3"/>
      <c r="D70" s="34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3"/>
      <c r="D71" s="34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