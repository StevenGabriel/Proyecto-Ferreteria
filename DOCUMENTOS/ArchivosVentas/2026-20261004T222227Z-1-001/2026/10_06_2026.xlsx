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<sst xmlns="http://schemas.openxmlformats.org/spreadsheetml/2006/main" count="108" uniqueCount="102">
  <si>
    <t>HOJA DE CALCULO FERRETERIA</t>
  </si>
  <si>
    <t>CODIGO</t>
  </si>
  <si>
    <t>CANTIDAD</t>
  </si>
  <si>
    <t>DESCRIPCION</t>
  </si>
  <si>
    <t>TOTAL</t>
  </si>
  <si>
    <t>HORA</t>
  </si>
  <si>
    <t>CUADRAR</t>
  </si>
  <si>
    <t>bolsas de kprecinto uyustools</t>
  </si>
  <si>
    <t>pigmento marron</t>
  </si>
  <si>
    <t>MONEDAS</t>
  </si>
  <si>
    <t>CAJA CHICA</t>
  </si>
  <si>
    <t>guante tr</t>
  </si>
  <si>
    <t>BILLETES 10-20</t>
  </si>
  <si>
    <t>TOTAL VENTAS DIA</t>
  </si>
  <si>
    <t>repuesto estilte</t>
  </si>
  <si>
    <t>BILLETES 50-100-200</t>
  </si>
  <si>
    <t>AUMENTO DE DINERO</t>
  </si>
  <si>
    <t>conduit 5/8</t>
  </si>
  <si>
    <t>INGRESOS YAPE</t>
  </si>
  <si>
    <t>ducha fv</t>
  </si>
  <si>
    <t>INGRESOS TARJETA</t>
  </si>
  <si>
    <t>grifo fv</t>
  </si>
  <si>
    <t>GASTOS VARIOS</t>
  </si>
  <si>
    <t>codo conduit 5/8</t>
  </si>
  <si>
    <t xml:space="preserve">desrmador </t>
  </si>
  <si>
    <t>DINERO GANADO HOY:</t>
  </si>
  <si>
    <t>CANTIDAD DINERO CAJA:</t>
  </si>
  <si>
    <t>a40</t>
  </si>
  <si>
    <t>1m</t>
  </si>
  <si>
    <t>malla soldada 1/4</t>
  </si>
  <si>
    <t>rueda hr</t>
  </si>
  <si>
    <t>juego dados punta pr</t>
  </si>
  <si>
    <t>lija de agua</t>
  </si>
  <si>
    <t>flotadr electrico 2m</t>
  </si>
  <si>
    <t>teflo</t>
  </si>
  <si>
    <t>YAPE MAMÁ</t>
  </si>
  <si>
    <t>YAPE PAPÁ</t>
  </si>
  <si>
    <t>YAPE</t>
  </si>
  <si>
    <t>cinta silante</t>
  </si>
  <si>
    <t>Monto Total YAPE (No tocar):</t>
  </si>
  <si>
    <t>clavija ultra</t>
  </si>
  <si>
    <t xml:space="preserve">reglet 4 </t>
  </si>
  <si>
    <t>Monto Total Registrado en aplicacion</t>
  </si>
  <si>
    <t>juego de cepillos taldro</t>
  </si>
  <si>
    <t>wd40</t>
  </si>
  <si>
    <t>cubre able 10x15</t>
  </si>
  <si>
    <t>clavija 20a</t>
  </si>
  <si>
    <t>regleta 3</t>
  </si>
  <si>
    <t>6m</t>
  </si>
  <si>
    <t>alambre 12 7h</t>
  </si>
  <si>
    <t>adaptador pvc 1</t>
  </si>
  <si>
    <t>adaptador 1/2</t>
  </si>
  <si>
    <t>PAGOS YAPE</t>
  </si>
  <si>
    <t>DESCRIPCION PAGO</t>
  </si>
  <si>
    <t>pico3/4</t>
  </si>
  <si>
    <t>cinta asilante</t>
  </si>
  <si>
    <t>teflon</t>
  </si>
  <si>
    <t>escamocita 1/2kl</t>
  </si>
  <si>
    <t>broca 4,5</t>
  </si>
  <si>
    <t>panandino</t>
  </si>
  <si>
    <t>ramplu 8</t>
  </si>
  <si>
    <t>arandela 3/8</t>
  </si>
  <si>
    <t>grampa</t>
  </si>
  <si>
    <t>tapa iodoro acolchado</t>
  </si>
  <si>
    <t>clefa</t>
  </si>
  <si>
    <t>mt lija tela</t>
  </si>
  <si>
    <t>abrazaderas</t>
  </si>
  <si>
    <t>cinaasilane</t>
  </si>
  <si>
    <t>espuma expanciv</t>
  </si>
  <si>
    <t>paliyto truper</t>
  </si>
  <si>
    <t>corta tubo</t>
  </si>
  <si>
    <t>remachadora profecial</t>
  </si>
  <si>
    <t>tijera de podar totl</t>
  </si>
  <si>
    <t xml:space="preserve">alicate pelacable </t>
  </si>
  <si>
    <t>alicate ponchador</t>
  </si>
  <si>
    <t>remchadora</t>
  </si>
  <si>
    <t>machete rambo</t>
  </si>
  <si>
    <t>cubre cable 25x16</t>
  </si>
  <si>
    <t>chip 5x50+ramplu 7</t>
  </si>
  <si>
    <t>escuadras plana hr</t>
  </si>
  <si>
    <t>silicona barra delgada</t>
  </si>
  <si>
    <t>regaton</t>
  </si>
  <si>
    <t>broca irwin concreto 8</t>
  </si>
  <si>
    <t>extencio</t>
  </si>
  <si>
    <t>cemnto cola inox porcelanato</t>
  </si>
  <si>
    <t>pasdtina</t>
  </si>
  <si>
    <t>m soga peros</t>
  </si>
  <si>
    <t>clefa 220</t>
  </si>
  <si>
    <t>cuchillas</t>
  </si>
  <si>
    <t>codo 11/2</t>
  </si>
  <si>
    <t>copla 3/4</t>
  </si>
  <si>
    <t>rampus ladrillo hueco8</t>
  </si>
  <si>
    <t>chip 6*70</t>
  </si>
  <si>
    <t>broca concreto truepr</t>
  </si>
  <si>
    <t>riel</t>
  </si>
  <si>
    <t>repisa</t>
  </si>
  <si>
    <t xml:space="preserve">clavija </t>
  </si>
  <si>
    <t>alicate de core</t>
  </si>
  <si>
    <t>alicte de guera</t>
  </si>
  <si>
    <t>grampas trper</t>
  </si>
  <si>
    <t>pie de amigo</t>
  </si>
  <si>
    <t>torillo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</si>
</sst>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165.0</v>
      </c>
      <c r="E8" s="8">
        <v>46183.3569485301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10.0</v>
      </c>
      <c r="E9" s="8">
        <v>46183.36240175926</v>
      </c>
      <c r="F9" s="2"/>
      <c r="G9" s="9" t="s">
        <v>9</v>
      </c>
      <c r="H9" s="10">
        <v>451.5</v>
      </c>
      <c r="I9" s="2"/>
      <c r="J9" s="9" t="s">
        <v>10</v>
      </c>
      <c r="K9" s="10">
        <v>587.0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16.0</v>
      </c>
      <c r="E10" s="8">
        <v>46183.36496435185</v>
      </c>
      <c r="F10" s="2"/>
      <c r="G10" s="9" t="s">
        <v>12</v>
      </c>
      <c r="H10" s="10">
        <v>330.0</v>
      </c>
      <c r="I10" s="2"/>
      <c r="J10" s="9" t="s">
        <v>13</v>
      </c>
      <c r="K10" s="11">
        <f>SUM(PRINCIPAL[TOTAL])</f>
        <v>6090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16.0</v>
      </c>
      <c r="E11" s="8">
        <v>46183.37318850694</v>
      </c>
      <c r="F11" s="2"/>
      <c r="G11" s="9" t="s">
        <v>15</v>
      </c>
      <c r="H11" s="10">
        <v>1350.0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7.0</v>
      </c>
      <c r="C12" s="7" t="s">
        <v>17</v>
      </c>
      <c r="D12" s="6">
        <v>45.5</v>
      </c>
      <c r="E12" s="8">
        <v>46183.3918219676</v>
      </c>
      <c r="F12" s="2"/>
      <c r="G12" s="9" t="s">
        <v>18</v>
      </c>
      <c r="H12" s="12">
        <f>SUM(G24:H361)</f>
        <v>4452.5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135.0</v>
      </c>
      <c r="E13" s="8">
        <v>46183.394169756946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125.0</v>
      </c>
      <c r="E14" s="8">
        <v>46183.39425079861</v>
      </c>
      <c r="F14" s="2"/>
      <c r="G14" s="9" t="s">
        <v>22</v>
      </c>
      <c r="H14" s="10">
        <v>10.0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5.0</v>
      </c>
      <c r="C15" s="7" t="s">
        <v>23</v>
      </c>
      <c r="D15" s="6">
        <v>5.0</v>
      </c>
      <c r="E15" s="8">
        <v>46183.3963287963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7.0</v>
      </c>
      <c r="E16" s="8">
        <v>46183.40314768518</v>
      </c>
      <c r="F16" s="2"/>
      <c r="G16" s="15" t="s">
        <v>25</v>
      </c>
      <c r="H16" s="16">
        <f>SUM(H9:H14)</f>
        <v>6594</v>
      </c>
      <c r="I16" s="3"/>
      <c r="J16" s="15" t="s">
        <v>26</v>
      </c>
      <c r="K16" s="16">
        <f>SUM(K9:K11)</f>
        <v>6677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30.0</v>
      </c>
      <c r="E17" s="8">
        <v>46183.41647952546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45.0</v>
      </c>
      <c r="E18" s="8">
        <v>46183.416585949075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83,00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30</v>
      </c>
      <c r="D19" s="6">
        <v>92.0</v>
      </c>
      <c r="E19" s="8">
        <v>46183.41675716435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65.0</v>
      </c>
      <c r="E20" s="8">
        <v>46183.416907280094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10.0</v>
      </c>
      <c r="E21" s="8">
        <v>46183.4187265162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156.0</v>
      </c>
      <c r="E22" s="8">
        <v>46183.4254949537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34</v>
      </c>
      <c r="D23" s="6">
        <v>7.5</v>
      </c>
      <c r="E23" s="8">
        <v>46183.42555542824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12.0</v>
      </c>
      <c r="E24" s="8">
        <v>46183.425613495376</v>
      </c>
      <c r="F24" s="2"/>
      <c r="G24" s="22">
        <v>16.0</v>
      </c>
      <c r="H24" s="23"/>
      <c r="I24" s="2"/>
      <c r="J24" s="24" t="s">
        <v>39</v>
      </c>
      <c r="K24" s="25">
        <f>SUM(INGRESOS_YAPE[])</f>
        <v>4452.5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40</v>
      </c>
      <c r="D25" s="6">
        <v>10.0</v>
      </c>
      <c r="E25" s="8">
        <v>46183.42661491898</v>
      </c>
      <c r="F25" s="2"/>
      <c r="G25" s="22">
        <v>45.5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20.0</v>
      </c>
      <c r="E26" s="8">
        <v>46183.42669050926</v>
      </c>
      <c r="F26" s="2"/>
      <c r="G26" s="26">
        <v>181.0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25.0</v>
      </c>
      <c r="E27" s="8">
        <v>46183.43391905093</v>
      </c>
      <c r="F27" s="2"/>
      <c r="G27" s="22">
        <v>30.0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95.0</v>
      </c>
      <c r="E28" s="8">
        <v>46183.43398210648</v>
      </c>
      <c r="F28" s="2"/>
      <c r="G28" s="22">
        <v>25.0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45</v>
      </c>
      <c r="D29" s="6">
        <v>14.0</v>
      </c>
      <c r="E29" s="8">
        <v>46183.44836672454</v>
      </c>
      <c r="F29" s="2"/>
      <c r="G29" s="22">
        <v>102.0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4452,50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46</v>
      </c>
      <c r="D30" s="6">
        <v>45.0</v>
      </c>
      <c r="E30" s="8">
        <v>46183.452927604165</v>
      </c>
      <c r="F30" s="2"/>
      <c r="G30" s="22">
        <v>18.0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47</v>
      </c>
      <c r="D31" s="6">
        <v>24.0</v>
      </c>
      <c r="E31" s="8">
        <v>46183.452997175926</v>
      </c>
      <c r="F31" s="2"/>
      <c r="G31" s="22">
        <v>2050.0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48</v>
      </c>
      <c r="C32" s="7" t="s">
        <v>49</v>
      </c>
      <c r="D32" s="6">
        <v>69.0</v>
      </c>
      <c r="E32" s="30"/>
      <c r="F32" s="2"/>
      <c r="G32" s="22">
        <v>62.0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4.5</v>
      </c>
      <c r="E33" s="8">
        <v>46183.463989675925</v>
      </c>
      <c r="F33" s="2"/>
      <c r="G33" s="22">
        <v>1040.0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7.0</v>
      </c>
      <c r="E34" s="8">
        <v>46183.47043516204</v>
      </c>
      <c r="F34" s="2"/>
      <c r="G34" s="22">
        <v>275.0</v>
      </c>
      <c r="H34" s="23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9.0</v>
      </c>
      <c r="E35" s="8">
        <v>46183.47047597222</v>
      </c>
      <c r="F35" s="2"/>
      <c r="G35" s="22">
        <v>15.0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13.0</v>
      </c>
      <c r="E36" s="8">
        <v>46183.47059868056</v>
      </c>
      <c r="F36" s="2"/>
      <c r="G36" s="22">
        <v>8.0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2.5</v>
      </c>
      <c r="E37" s="8">
        <v>46183.47063924768</v>
      </c>
      <c r="F37" s="2"/>
      <c r="G37" s="22">
        <v>25.0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22.0</v>
      </c>
      <c r="E38" s="8">
        <v>46183.471065289355</v>
      </c>
      <c r="F38" s="2"/>
      <c r="G38" s="22">
        <v>560.0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13.0</v>
      </c>
      <c r="E39" s="8">
        <v>46183.47705940972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12.0</v>
      </c>
      <c r="E40" s="8">
        <v>46183.47719019676</v>
      </c>
      <c r="F40" s="2"/>
      <c r="G40" s="23"/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12.0</v>
      </c>
      <c r="C41" s="7" t="s">
        <v>60</v>
      </c>
      <c r="D41" s="6">
        <v>2.0</v>
      </c>
      <c r="E41" s="8">
        <v>46183.49047527778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61</v>
      </c>
      <c r="D42" s="6">
        <v>3.0</v>
      </c>
      <c r="E42" s="8">
        <v>46183.49065315972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11.0</v>
      </c>
      <c r="E43" s="8">
        <v>46183.517329027774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102.0</v>
      </c>
      <c r="E44" s="8">
        <v>46183.530604479165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28.0</v>
      </c>
      <c r="E45" s="8">
        <v>46183.54053293982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3.0</v>
      </c>
      <c r="C46" s="7" t="s">
        <v>65</v>
      </c>
      <c r="D46" s="6">
        <v>51.0</v>
      </c>
      <c r="E46" s="8">
        <v>46183.540709803245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12.0</v>
      </c>
      <c r="C47" s="7" t="s">
        <v>66</v>
      </c>
      <c r="D47" s="6">
        <v>18.0</v>
      </c>
      <c r="E47" s="8">
        <v>46183.54990421297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13.0</v>
      </c>
      <c r="E48" s="8">
        <v>46183.55586832176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68</v>
      </c>
      <c r="D49" s="6">
        <v>164.0</v>
      </c>
      <c r="E49" s="8">
        <v>46183.57064020833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144.0</v>
      </c>
      <c r="E50" s="8">
        <v>46183.57589354167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91.0</v>
      </c>
      <c r="E51" s="8">
        <v>46183.5785702662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154.0</v>
      </c>
      <c r="E52" s="8">
        <v>46183.5788712963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100.0</v>
      </c>
      <c r="E53" s="8">
        <v>46183.57913633102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190.0</v>
      </c>
      <c r="E54" s="8">
        <v>46183.57931053241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521.0</v>
      </c>
      <c r="E55" s="8">
        <v>46183.579524664354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532.0</v>
      </c>
      <c r="E56" s="8">
        <v>46183.579691886574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268.0</v>
      </c>
      <c r="E57" s="8">
        <v>46183.58182236111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50.0</v>
      </c>
      <c r="E58" s="8">
        <v>46183.58196491898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4.0</v>
      </c>
      <c r="C59" s="7" t="s">
        <v>77</v>
      </c>
      <c r="D59" s="6">
        <v>56.0</v>
      </c>
      <c r="E59" s="8">
        <v>46183.59035247685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12.0</v>
      </c>
      <c r="C60" s="7" t="s">
        <v>78</v>
      </c>
      <c r="D60" s="6">
        <v>6.0</v>
      </c>
      <c r="E60" s="8">
        <v>46183.590551898145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12.0</v>
      </c>
      <c r="C61" s="7" t="s">
        <v>79</v>
      </c>
      <c r="D61" s="6">
        <v>24.0</v>
      </c>
      <c r="E61" s="8">
        <v>46183.59071771991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4.0</v>
      </c>
      <c r="C62" s="7" t="s">
        <v>80</v>
      </c>
      <c r="D62" s="6">
        <v>10.0</v>
      </c>
      <c r="E62" s="8">
        <v>46183.59088042824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81</v>
      </c>
      <c r="D63" s="6">
        <v>6.0</v>
      </c>
      <c r="E63" s="8">
        <v>46183.59513165509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18.0</v>
      </c>
      <c r="E64" s="8">
        <v>46183.61446546296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62.0</v>
      </c>
      <c r="E65" s="8">
        <v>46183.65014349537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84</v>
      </c>
      <c r="D66" s="6">
        <v>160.0</v>
      </c>
      <c r="E66" s="8">
        <v>46183.666039375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23.0</v>
      </c>
      <c r="E67" s="8">
        <v>46183.66608070602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70.0</v>
      </c>
      <c r="C68" s="7" t="s">
        <v>86</v>
      </c>
      <c r="D68" s="6">
        <v>560.0</v>
      </c>
      <c r="E68" s="8">
        <v>46183.680537974535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28.0</v>
      </c>
      <c r="E69" s="8">
        <v>46183.68486042824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16.0</v>
      </c>
      <c r="E70" s="8">
        <v>46183.68499275463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4.0</v>
      </c>
      <c r="E71" s="8">
        <v>46183.69109703704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4.0</v>
      </c>
      <c r="E72" s="8">
        <v>46183.69117586805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60.0</v>
      </c>
      <c r="C73" s="7" t="s">
        <v>91</v>
      </c>
      <c r="D73" s="6">
        <v>30.0</v>
      </c>
      <c r="E73" s="8">
        <v>46183.70389116898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60.0</v>
      </c>
      <c r="C74" s="7" t="s">
        <v>92</v>
      </c>
      <c r="D74" s="6">
        <v>25.0</v>
      </c>
      <c r="E74" s="8">
        <v>46183.70395498842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18.0</v>
      </c>
      <c r="E75" s="8">
        <v>46183.70400909722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6">
        <v>6.0</v>
      </c>
      <c r="B76" s="6">
        <v>6.0</v>
      </c>
      <c r="C76" s="7" t="s">
        <v>94</v>
      </c>
      <c r="D76" s="6">
        <v>324.0</v>
      </c>
      <c r="E76" s="8">
        <v>46183.704266863424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12.0</v>
      </c>
      <c r="C77" s="7" t="s">
        <v>95</v>
      </c>
      <c r="D77" s="6">
        <v>492.0</v>
      </c>
      <c r="E77" s="8">
        <v>46183.70433050926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94</v>
      </c>
      <c r="D78" s="6">
        <v>152.0</v>
      </c>
      <c r="E78" s="8">
        <v>46183.70438369213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5.0</v>
      </c>
      <c r="E79" s="8">
        <v>46183.73820670139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85.0</v>
      </c>
      <c r="E80" s="8">
        <v>46183.74995244213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110.0</v>
      </c>
      <c r="E81" s="8">
        <v>46183.750017314815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10.0</v>
      </c>
      <c r="C82" s="7" t="s">
        <v>99</v>
      </c>
      <c r="D82" s="6">
        <v>80.0</v>
      </c>
      <c r="E82" s="8">
        <v>46183.75009541667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4.0</v>
      </c>
      <c r="E83" s="8">
        <v>46183.77143944445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3.5</v>
      </c>
      <c r="E84" s="8">
        <v>46183.77159908565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100</v>
      </c>
      <c r="D85" s="6">
        <v>3.0</v>
      </c>
      <c r="E85" s="8">
        <v>46183.77175856481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100</v>
      </c>
      <c r="D86" s="6">
        <v>2.5</v>
      </c>
      <c r="E86" s="8">
        <v>46183.77187673611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101</v>
      </c>
      <c r="D87" s="6">
        <v>2.0</v>
      </c>
      <c r="E87" s="8">
        <v>46183.772458761574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11</v>
      </c>
      <c r="D88" s="6">
        <v>8.0</v>
      </c>
      <c r="E88" s="8">
        <v>46183.773531666666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0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0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0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0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0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0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0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0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0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0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0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0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0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0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0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0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0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0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0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0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0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0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0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0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0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0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0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0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0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0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0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0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0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0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0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0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0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0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0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0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0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0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0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0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0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0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0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0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0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0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0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0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0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0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0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0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0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0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0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0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0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0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0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0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0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0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0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0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0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0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0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0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0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0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0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0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0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0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0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0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0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0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0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0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0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0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0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0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0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0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0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0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0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0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0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0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0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0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0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0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0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0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0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0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0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0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0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0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0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0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0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0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0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0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0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0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0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0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0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0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0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0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0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0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0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0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0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0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0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0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0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0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0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0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0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0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0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0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0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0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0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0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0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0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0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0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0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0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0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0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0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0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0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0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0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0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0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0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0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0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0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0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0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0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0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0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0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0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0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0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0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0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0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0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0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0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0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0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0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0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0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0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0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0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0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0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0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0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0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0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0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0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0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0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0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0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0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0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0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0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0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0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0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0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0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0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0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0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0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0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0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0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0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