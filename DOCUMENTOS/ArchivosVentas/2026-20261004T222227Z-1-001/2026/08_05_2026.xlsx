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<sst xmlns="http://schemas.openxmlformats.org/spreadsheetml/2006/main" count="81" uniqueCount="80">
  <si>
    <t>HOJA DE CALCULO FERRETERIA</t>
  </si>
  <si>
    <t>CODIGO</t>
  </si>
  <si>
    <t>CANTIDAD</t>
  </si>
  <si>
    <t>DESCRIPCION</t>
  </si>
  <si>
    <t>TOTAL</t>
  </si>
  <si>
    <t>HORA</t>
  </si>
  <si>
    <t>CUADRAR</t>
  </si>
  <si>
    <t>guante dobe goma</t>
  </si>
  <si>
    <t>esquinero plateado mate</t>
  </si>
  <si>
    <t>MONEDAS</t>
  </si>
  <si>
    <t>CAJA CHICA</t>
  </si>
  <si>
    <t>broca fierro irwin 2,5</t>
  </si>
  <si>
    <t>BILLETES 10-20</t>
  </si>
  <si>
    <t>TOTAL VENTAS DIA</t>
  </si>
  <si>
    <t>desarmador rever</t>
  </si>
  <si>
    <t>BILLETES 50-100-200</t>
  </si>
  <si>
    <t>AUMENTO DE DINERO</t>
  </si>
  <si>
    <t>1,5m</t>
  </si>
  <si>
    <t>manguera gas</t>
  </si>
  <si>
    <t>INGRESOS YAPE</t>
  </si>
  <si>
    <t>abrazaderas redondas</t>
  </si>
  <si>
    <t>INGRESOS TARJETA</t>
  </si>
  <si>
    <t>clef 100ml</t>
  </si>
  <si>
    <t>GASTOS VARIOS</t>
  </si>
  <si>
    <t>tapon 1/2 hembra</t>
  </si>
  <si>
    <t>teflon</t>
  </si>
  <si>
    <t>DINERO GANADO HOY:</t>
  </si>
  <si>
    <t>CANTIDAD DINERO CAJA:</t>
  </si>
  <si>
    <t>pigmentos negro</t>
  </si>
  <si>
    <t>carburo</t>
  </si>
  <si>
    <t>SILICONA TRANS</t>
  </si>
  <si>
    <t>FLAPER</t>
  </si>
  <si>
    <t>PISTOLA PARA PINTAS UYUS</t>
  </si>
  <si>
    <t>ESPATULA 4</t>
  </si>
  <si>
    <t>YAPE MAMÁ</t>
  </si>
  <si>
    <t>YAPE PAPÁ</t>
  </si>
  <si>
    <t>PUNTA</t>
  </si>
  <si>
    <t>CNADA HR</t>
  </si>
  <si>
    <t>CAJA GRAMPAS TR</t>
  </si>
  <si>
    <t>3M</t>
  </si>
  <si>
    <t>MALLA HEXAGONAL</t>
  </si>
  <si>
    <t>ABRAZADERA 3/4</t>
  </si>
  <si>
    <t>10M</t>
  </si>
  <si>
    <t>ALAMBRE 14</t>
  </si>
  <si>
    <t>SILCIONA NEGRA</t>
  </si>
  <si>
    <t>SILICONA ESTRUCTURAL</t>
  </si>
  <si>
    <t>1/2M</t>
  </si>
  <si>
    <t xml:space="preserve">ALUBAN </t>
  </si>
  <si>
    <t>CLAVIJA HEMBRA</t>
  </si>
  <si>
    <t>TIRAFONDOS</t>
  </si>
  <si>
    <t>CHIP+RAMPLU</t>
  </si>
  <si>
    <t>AEROSOL NEGRO MATE</t>
  </si>
  <si>
    <t>PLACA SIMPLE MARICIO</t>
  </si>
  <si>
    <t>CHIP + RAMPLU 8</t>
  </si>
  <si>
    <t>TEE 1/2</t>
  </si>
  <si>
    <t>NIPLE 1/2</t>
  </si>
  <si>
    <t>COPLA 1/2</t>
  </si>
  <si>
    <t>ABRAZXADERA 1/2</t>
  </si>
  <si>
    <t>ABRAZAADERA 3/4</t>
  </si>
  <si>
    <t>CIERRA MECANICA</t>
  </si>
  <si>
    <t>MARTILLO</t>
  </si>
  <si>
    <t>AMOLADORA TR</t>
  </si>
  <si>
    <t>DISCO CONCRETO</t>
  </si>
  <si>
    <t>A4,</t>
  </si>
  <si>
    <t>EMBUDO</t>
  </si>
  <si>
    <t>CINTA TELA</t>
  </si>
  <si>
    <t>CARBON</t>
  </si>
  <si>
    <t>CHIP 4 X 50</t>
  </si>
  <si>
    <t>AEROSOL BLANCO MATE</t>
  </si>
  <si>
    <t>A40</t>
  </si>
  <si>
    <t>BANDOLA</t>
  </si>
  <si>
    <t>ARANDELA 1 1/8</t>
  </si>
  <si>
    <t>MEDIDOR DE DISTANCIA</t>
  </si>
  <si>
    <t xml:space="preserve">TIJERA DE AVICION </t>
  </si>
  <si>
    <t>PEGATANKE</t>
  </si>
  <si>
    <t>RAMPLU 8</t>
  </si>
  <si>
    <t>CLAVIJA TRAMONA</t>
  </si>
  <si>
    <t>M PERLO 1/4</t>
  </si>
  <si>
    <t>CAJA TERMICO</t>
  </si>
  <si>
    <t>FOCO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</si>
</sst>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17.0</v>
      </c>
      <c r="E8" s="8">
        <v>46150.370599710644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35.0</v>
      </c>
      <c r="E9" s="8">
        <v>46150.388208136574</v>
      </c>
      <c r="F9" s="2"/>
      <c r="G9" s="9" t="s">
        <v>9</v>
      </c>
      <c r="H9" s="10">
        <v>247.0</v>
      </c>
      <c r="I9" s="2"/>
      <c r="J9" s="9" t="s">
        <v>10</v>
      </c>
      <c r="K9" s="10">
        <v>798.0</v>
      </c>
      <c r="L9" s="2"/>
      <c r="M9" s="2"/>
      <c r="N9" s="2"/>
      <c r="O9" s="2"/>
      <c r="P9" s="2"/>
      <c r="Q9" s="2"/>
    </row>
    <row r="10" ht="22.5" customHeight="1">
      <c r="A10" s="6"/>
      <c r="B10" s="6">
        <v>5.0</v>
      </c>
      <c r="C10" s="7" t="s">
        <v>11</v>
      </c>
      <c r="D10" s="6">
        <v>60.0</v>
      </c>
      <c r="E10" s="8">
        <v>46150.40105826389</v>
      </c>
      <c r="F10" s="2"/>
      <c r="G10" s="9" t="s">
        <v>12</v>
      </c>
      <c r="H10" s="10">
        <v>320.0</v>
      </c>
      <c r="I10" s="2"/>
      <c r="J10" s="9" t="s">
        <v>13</v>
      </c>
      <c r="K10" s="11">
        <f>SUM(PRINCIPAL[TOTAL])</f>
        <v>3343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12.0</v>
      </c>
      <c r="E11" s="8">
        <v>46150.41180212963</v>
      </c>
      <c r="F11" s="2"/>
      <c r="G11" s="9" t="s">
        <v>15</v>
      </c>
      <c r="H11" s="10">
        <v>2700.0</v>
      </c>
      <c r="I11" s="2"/>
      <c r="J11" s="9" t="s">
        <v>16</v>
      </c>
      <c r="K11" s="10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6">
        <v>18.0</v>
      </c>
      <c r="E12" s="8">
        <v>46150.41186876157</v>
      </c>
      <c r="F12" s="2"/>
      <c r="G12" s="9" t="s">
        <v>19</v>
      </c>
      <c r="H12" s="12">
        <f>SUM(G24:H361)</f>
        <v>905.5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20</v>
      </c>
      <c r="D13" s="6">
        <v>9.0</v>
      </c>
      <c r="E13" s="8">
        <v>46150.41202516203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15.0</v>
      </c>
      <c r="E14" s="8">
        <v>46150.4150190625</v>
      </c>
      <c r="F14" s="2"/>
      <c r="G14" s="9" t="s">
        <v>23</v>
      </c>
      <c r="H14" s="10">
        <v>435.6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2.5</v>
      </c>
      <c r="E15" s="8">
        <v>46150.42624310185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2.5</v>
      </c>
      <c r="E16" s="8">
        <v>46150.42632083333</v>
      </c>
      <c r="F16" s="2"/>
      <c r="G16" s="15" t="s">
        <v>26</v>
      </c>
      <c r="H16" s="16">
        <f>SUM(H9:H14)</f>
        <v>4608.1</v>
      </c>
      <c r="I16" s="3"/>
      <c r="J16" s="15" t="s">
        <v>27</v>
      </c>
      <c r="K16" s="16">
        <f>SUM(K9:K11)</f>
        <v>4441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20.0</v>
      </c>
      <c r="E17" s="8">
        <v>46150.435093078704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25.0</v>
      </c>
      <c r="E18" s="8">
        <v>46150.462317673606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167,10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39.0</v>
      </c>
      <c r="E19" s="8">
        <v>46150.48710002315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25</v>
      </c>
      <c r="D20" s="6">
        <v>2.5</v>
      </c>
      <c r="E20" s="8">
        <v>46150.48716210648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8.0</v>
      </c>
      <c r="E21" s="8">
        <v>46150.490392418986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170.0</v>
      </c>
      <c r="E22" s="8">
        <v>46150.49108357639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21.0</v>
      </c>
      <c r="E23" s="8">
        <v>46150.50930431713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6.0</v>
      </c>
      <c r="E24" s="8">
        <v>46150.528929872686</v>
      </c>
      <c r="F24" s="2"/>
      <c r="G24" s="20">
        <v>20.0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37</v>
      </c>
      <c r="D25" s="6">
        <v>219.0</v>
      </c>
      <c r="E25" s="8">
        <v>46150.68901086805</v>
      </c>
      <c r="F25" s="2"/>
      <c r="G25" s="20">
        <v>53.0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11.0</v>
      </c>
      <c r="E26" s="8">
        <v>46150.693581458334</v>
      </c>
      <c r="F26" s="2"/>
      <c r="G26" s="22">
        <v>38.5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39</v>
      </c>
      <c r="C27" s="7" t="s">
        <v>40</v>
      </c>
      <c r="D27" s="6">
        <v>18.0</v>
      </c>
      <c r="E27" s="8">
        <v>46150.69374516203</v>
      </c>
      <c r="F27" s="2"/>
      <c r="G27" s="20">
        <v>21.0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24.0</v>
      </c>
      <c r="C28" s="7" t="s">
        <v>41</v>
      </c>
      <c r="D28" s="6">
        <v>48.0</v>
      </c>
      <c r="E28" s="8">
        <v>46150.69396082176</v>
      </c>
      <c r="F28" s="2"/>
      <c r="G28" s="20">
        <v>11.0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42</v>
      </c>
      <c r="C29" s="7" t="s">
        <v>43</v>
      </c>
      <c r="D29" s="6">
        <v>65.0</v>
      </c>
      <c r="E29" s="8">
        <v>46150.69637711806</v>
      </c>
      <c r="F29" s="2"/>
      <c r="G29" s="20">
        <v>126.0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44</v>
      </c>
      <c r="D30" s="6">
        <v>78.0</v>
      </c>
      <c r="E30" s="8">
        <v>46150.69648155093</v>
      </c>
      <c r="F30" s="2"/>
      <c r="G30" s="20">
        <v>55.0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66.0</v>
      </c>
      <c r="E31" s="8">
        <v>46150.69659158565</v>
      </c>
      <c r="F31" s="2"/>
      <c r="G31" s="20">
        <v>18.0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46</v>
      </c>
      <c r="C32" s="7" t="s">
        <v>47</v>
      </c>
      <c r="D32" s="6">
        <v>6.5</v>
      </c>
      <c r="E32" s="8">
        <v>46150.6967482176</v>
      </c>
      <c r="F32" s="2"/>
      <c r="G32" s="20">
        <v>29.0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11.0</v>
      </c>
      <c r="E33" s="8">
        <v>46150.69684925926</v>
      </c>
      <c r="F33" s="2"/>
      <c r="G33" s="20">
        <v>151.0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12.0</v>
      </c>
      <c r="C34" s="7" t="s">
        <v>49</v>
      </c>
      <c r="D34" s="6">
        <v>6.0</v>
      </c>
      <c r="E34" s="8">
        <v>46150.697186562495</v>
      </c>
      <c r="F34" s="2"/>
      <c r="G34" s="20">
        <v>219.0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5.0</v>
      </c>
      <c r="C35" s="7" t="s">
        <v>50</v>
      </c>
      <c r="D35" s="6">
        <v>5.0</v>
      </c>
      <c r="E35" s="8">
        <v>46150.69731957176</v>
      </c>
      <c r="F35" s="2"/>
      <c r="G35" s="20">
        <v>120.0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20.0</v>
      </c>
      <c r="E36" s="8">
        <v>46150.697498009264</v>
      </c>
      <c r="F36" s="2"/>
      <c r="G36" s="20">
        <v>9.0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23.0</v>
      </c>
      <c r="E37" s="8">
        <v>46150.697641018516</v>
      </c>
      <c r="F37" s="2"/>
      <c r="G37" s="20">
        <v>35.0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6.0</v>
      </c>
      <c r="C38" s="7" t="s">
        <v>53</v>
      </c>
      <c r="D38" s="6">
        <v>5.5</v>
      </c>
      <c r="E38" s="8">
        <v>46150.697784097225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5.0</v>
      </c>
      <c r="E39" s="8">
        <v>46150.69824293982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55</v>
      </c>
      <c r="D40" s="6">
        <v>4.0</v>
      </c>
      <c r="E40" s="8">
        <v>46150.698355370376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56</v>
      </c>
      <c r="D41" s="6">
        <v>7.0</v>
      </c>
      <c r="E41" s="8">
        <v>46150.698447523144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2.0</v>
      </c>
      <c r="E42" s="8">
        <v>46150.69861358796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2.5</v>
      </c>
      <c r="E43" s="8">
        <v>46150.69868435185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55.0</v>
      </c>
      <c r="E44" s="8">
        <v>46150.69879337963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70.0</v>
      </c>
      <c r="E45" s="8">
        <v>46150.698879814816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1050.0</v>
      </c>
      <c r="E46" s="8">
        <v>46150.69892408565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154.0</v>
      </c>
      <c r="E47" s="8">
        <v>46150.69900565972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31.0</v>
      </c>
      <c r="E48" s="8">
        <v>46150.69915695602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31.0</v>
      </c>
      <c r="E49" s="8">
        <v>46150.699247384255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3.0</v>
      </c>
      <c r="C50" s="7" t="s">
        <v>65</v>
      </c>
      <c r="D50" s="6">
        <v>57.0</v>
      </c>
      <c r="E50" s="8">
        <v>46150.699428865744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29.0</v>
      </c>
      <c r="E51" s="8">
        <v>46150.699544664356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6.0</v>
      </c>
      <c r="C52" s="7" t="s">
        <v>67</v>
      </c>
      <c r="D52" s="6">
        <v>2.0</v>
      </c>
      <c r="E52" s="8">
        <v>46150.699686203705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20.0</v>
      </c>
      <c r="E53" s="8">
        <v>46150.699781550924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31.0</v>
      </c>
      <c r="E54" s="8">
        <v>46150.699824270836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8.0</v>
      </c>
      <c r="C55" s="7" t="s">
        <v>70</v>
      </c>
      <c r="D55" s="6">
        <v>145.0</v>
      </c>
      <c r="E55" s="8">
        <v>46150.69996104167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71</v>
      </c>
      <c r="D56" s="6">
        <v>6.0</v>
      </c>
      <c r="E56" s="8">
        <v>46150.70204425926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325.0</v>
      </c>
      <c r="E57" s="8">
        <v>46150.7011927662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120.0</v>
      </c>
      <c r="E58" s="8">
        <v>46150.721413506944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85.0</v>
      </c>
      <c r="E59" s="8">
        <v>46150.7230427662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48.0</v>
      </c>
      <c r="C60" s="7" t="s">
        <v>75</v>
      </c>
      <c r="D60" s="6">
        <v>8.0</v>
      </c>
      <c r="E60" s="8">
        <v>46150.742921516205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15.0</v>
      </c>
      <c r="E61" s="8">
        <v>46150.744138124996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77</v>
      </c>
      <c r="D62" s="6">
        <v>9.0</v>
      </c>
      <c r="E62" s="8">
        <v>46150.75500640046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16.0</v>
      </c>
      <c r="E63" s="8">
        <v>46150.767994016205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19.0</v>
      </c>
      <c r="E64" s="8">
        <v>46150.769826655094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