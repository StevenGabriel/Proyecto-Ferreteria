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<sst xmlns="http://schemas.openxmlformats.org/spreadsheetml/2006/main" count="85" uniqueCount="85">
  <si>
    <t>HOJA DE CALCULO FERRETERIA</t>
  </si>
  <si>
    <t>CODIGO</t>
  </si>
  <si>
    <t>CANTIDAD</t>
  </si>
  <si>
    <t>DESCRIPCION</t>
  </si>
  <si>
    <t>TOTAL</t>
  </si>
  <si>
    <t>HORA</t>
  </si>
  <si>
    <t>CUADRAR</t>
  </si>
  <si>
    <t>REMACHADORA UYUSTOOL</t>
  </si>
  <si>
    <t>PIGMENTOS</t>
  </si>
  <si>
    <t>MONEDAS</t>
  </si>
  <si>
    <t>CAJA CHICA</t>
  </si>
  <si>
    <t>BORCA ENCASTRE 1/2</t>
  </si>
  <si>
    <t>BILLETES 10-20</t>
  </si>
  <si>
    <t>TOTAL VENTAS DIA</t>
  </si>
  <si>
    <t>SINTETICA CAFE OSCURO 100</t>
  </si>
  <si>
    <t>BILLETES 50-100-200</t>
  </si>
  <si>
    <t>AUMENTO DE DINERO</t>
  </si>
  <si>
    <t>CI TA AISANTE TR</t>
  </si>
  <si>
    <t>INGRESOS YAPE</t>
  </si>
  <si>
    <t>TAPON 1/2</t>
  </si>
  <si>
    <t>INGRESOS TARJETA</t>
  </si>
  <si>
    <t>CANDADO HR</t>
  </si>
  <si>
    <t>GASTOS VARIOS</t>
  </si>
  <si>
    <t>CLAVO 1</t>
  </si>
  <si>
    <t>10DOC</t>
  </si>
  <si>
    <t>CHIP3X25</t>
  </si>
  <si>
    <t>DINERO GANADO HOY:</t>
  </si>
  <si>
    <t>CANTIDAD DINERO CAJA:</t>
  </si>
  <si>
    <t>JALADOR</t>
  </si>
  <si>
    <t>SILICONA TRNAS</t>
  </si>
  <si>
    <t>PASTINA GRIS</t>
  </si>
  <si>
    <t>FILTRO DE HIDRILAVADORA</t>
  </si>
  <si>
    <t xml:space="preserve">JUEGO DE SAASRAMRO </t>
  </si>
  <si>
    <t>ADAPTADOR  11/4</t>
  </si>
  <si>
    <t>TUBO 2</t>
  </si>
  <si>
    <t>YAPE MAMÁ</t>
  </si>
  <si>
    <t>YAPE PAPÁ</t>
  </si>
  <si>
    <t>YAPE</t>
  </si>
  <si>
    <t>CODO</t>
  </si>
  <si>
    <t>Monto Total YAPE (No tocar):</t>
  </si>
  <si>
    <t>SEMICODO</t>
  </si>
  <si>
    <t>SERRUCHOD E PPODASR</t>
  </si>
  <si>
    <t>Monto Total Registrado en aplicacion</t>
  </si>
  <si>
    <t>TIJERA DE POIDASD</t>
  </si>
  <si>
    <t>AZADOM</t>
  </si>
  <si>
    <t>PALA</t>
  </si>
  <si>
    <t>PARABON</t>
  </si>
  <si>
    <t xml:space="preserve">CAÑERIA </t>
  </si>
  <si>
    <t>TUBOD 11/2</t>
  </si>
  <si>
    <t>FLEXO 8M</t>
  </si>
  <si>
    <t>SELLADOR DE PARED</t>
  </si>
  <si>
    <t>PAGOS YAPE</t>
  </si>
  <si>
    <t>DESCRIPCION PAGO</t>
  </si>
  <si>
    <t>BROCHA 3 ATLAS 2</t>
  </si>
  <si>
    <t>guante tr</t>
  </si>
  <si>
    <t>LENTE TR</t>
  </si>
  <si>
    <t>18 MT</t>
  </si>
  <si>
    <t>MANGUERA 1/2</t>
  </si>
  <si>
    <t>precinto 30cm</t>
  </si>
  <si>
    <t>pernos</t>
  </si>
  <si>
    <t>aerosol  rosa</t>
  </si>
  <si>
    <t>10M</t>
  </si>
  <si>
    <t>PLASRICO 1M</t>
  </si>
  <si>
    <t>5 MT</t>
  </si>
  <si>
    <t>PERLON 8</t>
  </si>
  <si>
    <t>CAJA GRAMPAS</t>
  </si>
  <si>
    <t>1 KG</t>
  </si>
  <si>
    <t>GALVANIZA</t>
  </si>
  <si>
    <t>CAJA OCTOGONAL</t>
  </si>
  <si>
    <t>TAPA CIEGO</t>
  </si>
  <si>
    <t>CAJA DISTRIBUCION 10X10</t>
  </si>
  <si>
    <t>ESTILETE</t>
  </si>
  <si>
    <t>KL CLAVO 4</t>
  </si>
  <si>
    <t>MERCLADOR DE MORTERO</t>
  </si>
  <si>
    <t>TALADRO TOTAL 900</t>
  </si>
  <si>
    <t>AUTOPERFORANTE 12X21/2</t>
  </si>
  <si>
    <t xml:space="preserve">PERNOS </t>
  </si>
  <si>
    <t>AUTOPERFORAT</t>
  </si>
  <si>
    <t>LIJA</t>
  </si>
  <si>
    <t>CARPICOLA 75ML</t>
  </si>
  <si>
    <t>DISCO NORTON 4</t>
  </si>
  <si>
    <t>BROCA CERMICA 1/4</t>
  </si>
  <si>
    <t>CODO PVC 1/2</t>
  </si>
  <si>
    <t>DOBLE CONTACTO 1/2</t>
  </si>
  <si>
    <t>broca flecha 1/4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</si>
</sst>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5" numFmtId="0" xfId="0" applyAlignment="1" applyBorder="1" applyFill="1" applyFont="1">
      <alignment horizontal="center" readingOrder="0" shrinkToFit="0" vertical="center" wrapText="0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40.0</v>
      </c>
      <c r="E8" s="8">
        <v>46233.35860688657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20.0</v>
      </c>
      <c r="E9" s="8">
        <v>46233.35868229167</v>
      </c>
      <c r="F9" s="2"/>
      <c r="G9" s="9" t="s">
        <v>9</v>
      </c>
      <c r="H9" s="10">
        <v>60.0</v>
      </c>
      <c r="I9" s="2"/>
      <c r="J9" s="9" t="s">
        <v>10</v>
      </c>
      <c r="K9" s="10">
        <v>747.5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72.0</v>
      </c>
      <c r="E10" s="8">
        <v>46233.37860840278</v>
      </c>
      <c r="F10" s="2"/>
      <c r="G10" s="9" t="s">
        <v>12</v>
      </c>
      <c r="H10" s="10">
        <v>280.0</v>
      </c>
      <c r="I10" s="2"/>
      <c r="J10" s="9" t="s">
        <v>13</v>
      </c>
      <c r="K10" s="11">
        <f>SUM(PRINCIPAL[TOTAL])</f>
        <v>2246.5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11.0</v>
      </c>
      <c r="E11" s="8">
        <v>46233.386925439816</v>
      </c>
      <c r="F11" s="2"/>
      <c r="G11" s="9" t="s">
        <v>15</v>
      </c>
      <c r="H11" s="10">
        <v>1900.0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9.0</v>
      </c>
      <c r="E12" s="8">
        <v>46233.38954334491</v>
      </c>
      <c r="F12" s="2"/>
      <c r="G12" s="9" t="s">
        <v>18</v>
      </c>
      <c r="H12" s="12">
        <f>SUM(G24:H361)</f>
        <v>750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2.0</v>
      </c>
      <c r="C13" s="7" t="s">
        <v>19</v>
      </c>
      <c r="D13" s="6">
        <v>2.0</v>
      </c>
      <c r="E13" s="8">
        <v>46233.39237390047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60.0</v>
      </c>
      <c r="E14" s="8">
        <v>46233.39738106482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4.0</v>
      </c>
      <c r="C15" s="7" t="s">
        <v>23</v>
      </c>
      <c r="D15" s="15">
        <v>12.0</v>
      </c>
      <c r="E15" s="8">
        <v>46233.40405832176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 t="s">
        <v>24</v>
      </c>
      <c r="C16" s="7" t="s">
        <v>25</v>
      </c>
      <c r="D16" s="6">
        <v>15.0</v>
      </c>
      <c r="E16" s="8">
        <v>46233.40516876157</v>
      </c>
      <c r="F16" s="2"/>
      <c r="G16" s="16" t="s">
        <v>26</v>
      </c>
      <c r="H16" s="17">
        <f>SUM(H9:H14)</f>
        <v>2990</v>
      </c>
      <c r="I16" s="3"/>
      <c r="J16" s="16" t="s">
        <v>27</v>
      </c>
      <c r="K16" s="17">
        <f>SUM(K9:K11)</f>
        <v>2994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4.0</v>
      </c>
      <c r="C17" s="7" t="s">
        <v>28</v>
      </c>
      <c r="D17" s="6">
        <v>32.0</v>
      </c>
      <c r="E17" s="8">
        <v>46233.40533178241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31.0</v>
      </c>
      <c r="E18" s="8">
        <v>46233.41026767361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4,00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23.0</v>
      </c>
      <c r="E19" s="8">
        <v>46233.410347303245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25.0</v>
      </c>
      <c r="E20" s="8">
        <v>46233.42398482639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2.0</v>
      </c>
      <c r="C21" s="7" t="s">
        <v>32</v>
      </c>
      <c r="D21" s="6">
        <v>110.0</v>
      </c>
      <c r="E21" s="8">
        <v>46233.42466662037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10.0</v>
      </c>
      <c r="E22" s="8">
        <v>46233.44267942129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3.0</v>
      </c>
      <c r="C23" s="7" t="s">
        <v>34</v>
      </c>
      <c r="D23" s="6">
        <v>141.0</v>
      </c>
      <c r="E23" s="8">
        <v>46233.443892337964</v>
      </c>
      <c r="F23" s="2"/>
      <c r="G23" s="20" t="s">
        <v>35</v>
      </c>
      <c r="H23" s="20" t="s">
        <v>36</v>
      </c>
      <c r="I23" s="2"/>
      <c r="J23" s="21" t="s">
        <v>37</v>
      </c>
      <c r="L23" s="22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38</v>
      </c>
      <c r="D24" s="6">
        <v>9.0</v>
      </c>
      <c r="E24" s="8">
        <v>46233.443922604165</v>
      </c>
      <c r="F24" s="2"/>
      <c r="G24" s="23"/>
      <c r="H24" s="24"/>
      <c r="I24" s="2"/>
      <c r="J24" s="25" t="s">
        <v>39</v>
      </c>
      <c r="K24" s="26">
        <f>SUM(INGRESOS_YAPE[])</f>
        <v>750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2.0</v>
      </c>
      <c r="C25" s="7" t="s">
        <v>40</v>
      </c>
      <c r="D25" s="6">
        <v>8.0</v>
      </c>
      <c r="E25" s="8">
        <v>46233.44396040509</v>
      </c>
      <c r="F25" s="2"/>
      <c r="G25" s="23">
        <v>72.0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128.0</v>
      </c>
      <c r="E26" s="8">
        <v>46233.4441129051</v>
      </c>
      <c r="F26" s="2"/>
      <c r="G26" s="27">
        <v>2.0</v>
      </c>
      <c r="H26" s="24"/>
      <c r="I26" s="2"/>
      <c r="J26" s="28" t="s">
        <v>42</v>
      </c>
      <c r="K26" s="29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80.0</v>
      </c>
      <c r="E27" s="8">
        <v>46233.44416082176</v>
      </c>
      <c r="F27" s="2"/>
      <c r="G27" s="23">
        <v>60.0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85.0</v>
      </c>
      <c r="E28" s="8">
        <v>46233.44429565972</v>
      </c>
      <c r="F28" s="2"/>
      <c r="G28" s="23">
        <v>49.0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80.0</v>
      </c>
      <c r="E29" s="8">
        <v>46233.44432445602</v>
      </c>
      <c r="F29" s="2"/>
      <c r="G29" s="23">
        <v>25.0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750,00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46</v>
      </c>
      <c r="D30" s="6">
        <v>72.0</v>
      </c>
      <c r="E30" s="8">
        <v>46233.44434865741</v>
      </c>
      <c r="F30" s="2"/>
      <c r="G30" s="23">
        <v>42.0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47</v>
      </c>
      <c r="D31" s="6">
        <v>49.0</v>
      </c>
      <c r="E31" s="8">
        <v>46233.44446722222</v>
      </c>
      <c r="F31" s="2"/>
      <c r="G31" s="23">
        <v>10.0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48</v>
      </c>
      <c r="D32" s="6">
        <v>37.0</v>
      </c>
      <c r="E32" s="8">
        <v>46233.44455377315</v>
      </c>
      <c r="F32" s="2"/>
      <c r="G32" s="23">
        <v>411.0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49</v>
      </c>
      <c r="D33" s="6">
        <v>80.0</v>
      </c>
      <c r="E33" s="8">
        <v>46233.44955489584</v>
      </c>
      <c r="F33" s="2"/>
      <c r="G33" s="23">
        <v>9.0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50</v>
      </c>
      <c r="D34" s="6">
        <v>29.0</v>
      </c>
      <c r="E34" s="8">
        <v>46233.45132467593</v>
      </c>
      <c r="F34" s="2"/>
      <c r="G34" s="23">
        <v>31.0</v>
      </c>
      <c r="H34" s="24"/>
      <c r="I34" s="2"/>
      <c r="J34" s="31" t="s">
        <v>51</v>
      </c>
      <c r="K34" s="31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53</v>
      </c>
      <c r="D35" s="6">
        <v>13.0</v>
      </c>
      <c r="E35" s="8">
        <v>46233.451450312496</v>
      </c>
      <c r="F35" s="2"/>
      <c r="G35" s="23">
        <v>39.0</v>
      </c>
      <c r="H35" s="24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54</v>
      </c>
      <c r="D36" s="15">
        <v>18.0</v>
      </c>
      <c r="E36" s="8">
        <v>46233.46014053241</v>
      </c>
      <c r="F36" s="2"/>
      <c r="G36" s="24"/>
      <c r="H36" s="24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55</v>
      </c>
      <c r="D37" s="6">
        <v>15.0</v>
      </c>
      <c r="E37" s="8">
        <v>46233.45465465278</v>
      </c>
      <c r="F37" s="2"/>
      <c r="G37" s="24"/>
      <c r="H37" s="24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 t="s">
        <v>56</v>
      </c>
      <c r="C38" s="7" t="s">
        <v>57</v>
      </c>
      <c r="D38" s="6">
        <v>144.0</v>
      </c>
      <c r="E38" s="8">
        <v>46233.456042465274</v>
      </c>
      <c r="F38" s="2"/>
      <c r="G38" s="24"/>
      <c r="H38" s="24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58</v>
      </c>
      <c r="D39" s="6">
        <v>36.0</v>
      </c>
      <c r="E39" s="8">
        <v>46233.47394090278</v>
      </c>
      <c r="F39" s="2"/>
      <c r="G39" s="24"/>
      <c r="H39" s="24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59</v>
      </c>
      <c r="D40" s="15">
        <v>3.0</v>
      </c>
      <c r="E40" s="8">
        <v>46233.49621326389</v>
      </c>
      <c r="F40" s="2"/>
      <c r="G40" s="24"/>
      <c r="H40" s="24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60</v>
      </c>
      <c r="D41" s="6">
        <v>20.0</v>
      </c>
      <c r="E41" s="8">
        <v>46233.510412511576</v>
      </c>
      <c r="F41" s="2"/>
      <c r="G41" s="24"/>
      <c r="H41" s="24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 t="s">
        <v>61</v>
      </c>
      <c r="C42" s="7" t="s">
        <v>62</v>
      </c>
      <c r="D42" s="6">
        <v>50.0</v>
      </c>
      <c r="E42" s="8">
        <v>46233.53480775463</v>
      </c>
      <c r="F42" s="2"/>
      <c r="G42" s="24"/>
      <c r="H42" s="24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 t="s">
        <v>63</v>
      </c>
      <c r="C43" s="7" t="s">
        <v>64</v>
      </c>
      <c r="D43" s="6">
        <v>27.5</v>
      </c>
      <c r="E43" s="8">
        <v>46233.537029074076</v>
      </c>
      <c r="F43" s="2"/>
      <c r="G43" s="24"/>
      <c r="H43" s="24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65</v>
      </c>
      <c r="D44" s="6">
        <v>10.0</v>
      </c>
      <c r="E44" s="8">
        <v>46233.53886335648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 t="s">
        <v>66</v>
      </c>
      <c r="C45" s="7" t="s">
        <v>67</v>
      </c>
      <c r="D45" s="6">
        <v>15.0</v>
      </c>
      <c r="E45" s="8">
        <v>46233.54253061343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68</v>
      </c>
      <c r="D46" s="6">
        <v>4.0</v>
      </c>
      <c r="E46" s="8">
        <v>46233.543188958334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69</v>
      </c>
      <c r="D47" s="6">
        <v>2.0</v>
      </c>
      <c r="E47" s="8">
        <v>46233.54326741898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70</v>
      </c>
      <c r="D48" s="6">
        <v>12.0</v>
      </c>
      <c r="E48" s="8">
        <v>46233.54341439815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71</v>
      </c>
      <c r="D49" s="6">
        <v>10.0</v>
      </c>
      <c r="E49" s="8">
        <v>46233.54885204861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72</v>
      </c>
      <c r="D50" s="6">
        <v>28.0</v>
      </c>
      <c r="E50" s="8">
        <v>46233.54917943287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73</v>
      </c>
      <c r="D51" s="6">
        <v>91.0</v>
      </c>
      <c r="E51" s="8">
        <v>46233.57904748843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74</v>
      </c>
      <c r="D52" s="6">
        <v>320.0</v>
      </c>
      <c r="E52" s="8">
        <v>46233.579181134264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12.0</v>
      </c>
      <c r="C53" s="7" t="s">
        <v>75</v>
      </c>
      <c r="D53" s="6">
        <v>11.0</v>
      </c>
      <c r="E53" s="8">
        <v>46233.61811858796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4.0</v>
      </c>
      <c r="C54" s="7" t="s">
        <v>76</v>
      </c>
      <c r="D54" s="6">
        <v>12.0</v>
      </c>
      <c r="E54" s="8">
        <v>46233.61290435185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12.0</v>
      </c>
      <c r="C55" s="7" t="s">
        <v>77</v>
      </c>
      <c r="D55" s="6">
        <v>11.0</v>
      </c>
      <c r="E55" s="8">
        <v>46233.61934116898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78</v>
      </c>
      <c r="D56" s="6">
        <v>8.0</v>
      </c>
      <c r="E56" s="8">
        <v>46233.61945716436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79</v>
      </c>
      <c r="D57" s="6">
        <v>9.0</v>
      </c>
      <c r="E57" s="8">
        <v>46233.64437054398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80</v>
      </c>
      <c r="D58" s="6">
        <v>9.0</v>
      </c>
      <c r="E58" s="8">
        <v>46233.66801331018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81</v>
      </c>
      <c r="D59" s="6">
        <v>31.0</v>
      </c>
      <c r="E59" s="8">
        <v>46233.67682069444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2.0</v>
      </c>
      <c r="C60" s="7" t="s">
        <v>82</v>
      </c>
      <c r="D60" s="6">
        <v>8.0</v>
      </c>
      <c r="E60" s="8">
        <v>46233.688393703706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2.0</v>
      </c>
      <c r="C61" s="7" t="s">
        <v>83</v>
      </c>
      <c r="D61" s="6">
        <v>20.0</v>
      </c>
      <c r="E61" s="8">
        <v>46233.695332407406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84</v>
      </c>
      <c r="D62" s="6">
        <v>39.0</v>
      </c>
      <c r="E62" s="8">
        <v>46233.71669141203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13"/>
      <c r="C63" s="34"/>
      <c r="D63" s="35"/>
      <c r="E63" s="36"/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13"/>
      <c r="C64" s="34"/>
      <c r="D64" s="35"/>
      <c r="E64" s="36"/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13"/>
      <c r="C65" s="34"/>
      <c r="D65" s="35"/>
      <c r="E65" s="36"/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13"/>
      <c r="C66" s="34"/>
      <c r="D66" s="35"/>
      <c r="E66" s="36"/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13"/>
      <c r="C67" s="34"/>
      <c r="D67" s="35"/>
      <c r="E67" s="36"/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34"/>
      <c r="D68" s="35"/>
      <c r="E68" s="36"/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34"/>
      <c r="D69" s="35"/>
      <c r="E69" s="36"/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34"/>
      <c r="D70" s="35"/>
      <c r="E70" s="36"/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34"/>
      <c r="D71" s="35"/>
      <c r="E71" s="36"/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4"/>
      <c r="D72" s="35"/>
      <c r="E72" s="36"/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4"/>
      <c r="D73" s="35"/>
      <c r="E73" s="36"/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4"/>
      <c r="D74" s="35"/>
      <c r="E74" s="36"/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4"/>
      <c r="D75" s="35"/>
      <c r="E75" s="36"/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4"/>
      <c r="D76" s="35"/>
      <c r="E76" s="36"/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4"/>
      <c r="D77" s="35"/>
      <c r="E77" s="36"/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4"/>
      <c r="D78" s="35"/>
      <c r="E78" s="36"/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4"/>
      <c r="D79" s="35"/>
      <c r="E79" s="36"/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4"/>
      <c r="D80" s="35"/>
      <c r="E80" s="36"/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4"/>
      <c r="D81" s="35"/>
      <c r="E81" s="36"/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4"/>
      <c r="D82" s="35"/>
      <c r="E82" s="36"/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4"/>
      <c r="D83" s="35"/>
      <c r="E83" s="36"/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4"/>
      <c r="D84" s="35"/>
      <c r="E84" s="36"/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4"/>
      <c r="D85" s="35"/>
      <c r="E85" s="36"/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4"/>
      <c r="D86" s="35"/>
      <c r="E86" s="36"/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4"/>
      <c r="D87" s="35"/>
      <c r="E87" s="36"/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4"/>
      <c r="D88" s="35"/>
      <c r="E88" s="36"/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4"/>
      <c r="D89" s="35"/>
      <c r="E89" s="36"/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4"/>
      <c r="D90" s="35"/>
      <c r="E90" s="36"/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4"/>
      <c r="D91" s="35"/>
      <c r="E91" s="36"/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4"/>
      <c r="D92" s="35"/>
      <c r="E92" s="36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6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6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6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