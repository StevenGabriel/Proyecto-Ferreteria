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<sst xmlns="http://schemas.openxmlformats.org/spreadsheetml/2006/main" count="128" uniqueCount="125">
  <si>
    <t>HOJA DE CALCULO FERRETERIA</t>
  </si>
  <si>
    <t>CODIGO</t>
  </si>
  <si>
    <t>CANTIDAD</t>
  </si>
  <si>
    <t>DESCRIPCION</t>
  </si>
  <si>
    <t>TOTAL</t>
  </si>
  <si>
    <t>HORA</t>
  </si>
  <si>
    <t>CUADRAR</t>
  </si>
  <si>
    <t>cinta embalaje</t>
  </si>
  <si>
    <t>repuesto estilete</t>
  </si>
  <si>
    <t>MONEDAS</t>
  </si>
  <si>
    <t>CAJA CHICA</t>
  </si>
  <si>
    <t>disco norton 9</t>
  </si>
  <si>
    <t>BILLETES 10-20</t>
  </si>
  <si>
    <t>TOTAL VENTAS DIA</t>
  </si>
  <si>
    <t>disco fierro 9 orton</t>
  </si>
  <si>
    <t>BILLETES 50-100-200</t>
  </si>
  <si>
    <t>AUMENTO DE DINERO</t>
  </si>
  <si>
    <t>llave combinada 14</t>
  </si>
  <si>
    <t>INGRESOS YAPE</t>
  </si>
  <si>
    <t>llave combinada 13</t>
  </si>
  <si>
    <t>INGRESOS TARJETA</t>
  </si>
  <si>
    <t>llave combinada 10</t>
  </si>
  <si>
    <t>GASTOS VARIOS</t>
  </si>
  <si>
    <t>m soga 12</t>
  </si>
  <si>
    <t>cautin 40w</t>
  </si>
  <si>
    <t>DINERO GANADO HOY:</t>
  </si>
  <si>
    <t>CANTIDAD DINERO CAJA:</t>
  </si>
  <si>
    <t>roldana</t>
  </si>
  <si>
    <t>bolsa de preciotos</t>
  </si>
  <si>
    <t>bolsa de precinto</t>
  </si>
  <si>
    <t>lentes</t>
  </si>
  <si>
    <t>tapon auditivo</t>
  </si>
  <si>
    <t>kl alambre de amarre</t>
  </si>
  <si>
    <t>dado t40</t>
  </si>
  <si>
    <t>YAPE MAMÁ</t>
  </si>
  <si>
    <t>YAPE PAPÁ</t>
  </si>
  <si>
    <t>YAPE</t>
  </si>
  <si>
    <t>flexo 5m</t>
  </si>
  <si>
    <t>Monto Total YAPE (No tocar):</t>
  </si>
  <si>
    <t>escobacarrteri</t>
  </si>
  <si>
    <t>perlon</t>
  </si>
  <si>
    <t>Monto Total Registrado en aplicacion</t>
  </si>
  <si>
    <t>clavo</t>
  </si>
  <si>
    <t>guante cuero</t>
  </si>
  <si>
    <t>trabasil</t>
  </si>
  <si>
    <t>dado trok t4</t>
  </si>
  <si>
    <t>flotadro electrido</t>
  </si>
  <si>
    <t>sopapa</t>
  </si>
  <si>
    <t>m soga perlom 8</t>
  </si>
  <si>
    <t>disco corte uyustool 7</t>
  </si>
  <si>
    <t>PAGOS YAPE</t>
  </si>
  <si>
    <t>DESCRIPCION PAGO</t>
  </si>
  <si>
    <t>7m</t>
  </si>
  <si>
    <t>bipolas 20</t>
  </si>
  <si>
    <t>mega grey</t>
  </si>
  <si>
    <t>ramplu 8</t>
  </si>
  <si>
    <t>tornillos 10x11/2</t>
  </si>
  <si>
    <t>broca 3.5 fierro</t>
  </si>
  <si>
    <t>broca fiero 6</t>
  </si>
  <si>
    <t>estilete</t>
  </si>
  <si>
    <t>alicate</t>
  </si>
  <si>
    <t>llave combinada 10 tramontina</t>
  </si>
  <si>
    <t>desarmador tr</t>
  </si>
  <si>
    <t>serrucho</t>
  </si>
  <si>
    <t>hacha</t>
  </si>
  <si>
    <t>5kl</t>
  </si>
  <si>
    <t>alambre de amarre</t>
  </si>
  <si>
    <t>3kl</t>
  </si>
  <si>
    <t>clavo 2 1/2</t>
  </si>
  <si>
    <t>gomitas</t>
  </si>
  <si>
    <t>silicona delgada</t>
  </si>
  <si>
    <t>busca polo</t>
  </si>
  <si>
    <t>unpn patente 11/4</t>
  </si>
  <si>
    <t>gas butano</t>
  </si>
  <si>
    <t>aaerosol negro billo</t>
  </si>
  <si>
    <t>dado 12</t>
  </si>
  <si>
    <t>dado 13</t>
  </si>
  <si>
    <t>flexom</t>
  </si>
  <si>
    <t>rodapie de 3</t>
  </si>
  <si>
    <t>rodapie c freno</t>
  </si>
  <si>
    <t>clavija</t>
  </si>
  <si>
    <t>cubrecabl</t>
  </si>
  <si>
    <t>BROCA FRESA</t>
  </si>
  <si>
    <t>COPLE RAP</t>
  </si>
  <si>
    <t>probador decable red</t>
  </si>
  <si>
    <t>alicate de fuerza tolse</t>
  </si>
  <si>
    <t>sopapap goma</t>
  </si>
  <si>
    <t>TIRAFONDO 516*2</t>
  </si>
  <si>
    <t>RAMPUS 10</t>
  </si>
  <si>
    <t>LIJA FE</t>
  </si>
  <si>
    <t>CLEFA</t>
  </si>
  <si>
    <t>ADPTADOR PEGASUS</t>
  </si>
  <si>
    <t>RAMPLU 10</t>
  </si>
  <si>
    <t>TIRAFONDO 1/4</t>
  </si>
  <si>
    <t>ARANDELA 5/16</t>
  </si>
  <si>
    <t>BROCA TRUPER</t>
  </si>
  <si>
    <t>CHIOP</t>
  </si>
  <si>
    <t>RAMPLUS</t>
  </si>
  <si>
    <t>SINTETICA</t>
  </si>
  <si>
    <t>BROCHA 1</t>
  </si>
  <si>
    <t>BRIDA IGRE 3/4</t>
  </si>
  <si>
    <t>REDUCCION BUJE 3/4*1/2</t>
  </si>
  <si>
    <t>CPLA 1/2 PVC</t>
  </si>
  <si>
    <t xml:space="preserve">SOPLADORA UYUSTO </t>
  </si>
  <si>
    <t>KIT TAADRO TOTAL</t>
  </si>
  <si>
    <t>SELLADOR 3,5</t>
  </si>
  <si>
    <t>PILA DURACEL</t>
  </si>
  <si>
    <t>JUEGO DE LLAVEZ</t>
  </si>
  <si>
    <t>kilo de carburo</t>
  </si>
  <si>
    <t>bandolas</t>
  </si>
  <si>
    <t>broc fierro</t>
  </si>
  <si>
    <t>ecole</t>
  </si>
  <si>
    <t>engrampador</t>
  </si>
  <si>
    <t>cja de grapas</t>
  </si>
  <si>
    <t>chicotillo</t>
  </si>
  <si>
    <t>m malla</t>
  </si>
  <si>
    <t>caja de grampa</t>
  </si>
  <si>
    <t>m manguera tramonta</t>
  </si>
  <si>
    <t xml:space="preserve">termico sica </t>
  </si>
  <si>
    <t>soda caustica</t>
  </si>
  <si>
    <t>pie de amigo</t>
  </si>
  <si>
    <t>chip</t>
  </si>
  <si>
    <t>ramplu</t>
  </si>
  <si>
    <t>flaper coflex</t>
  </si>
  <si>
    <t>ddo tramkonia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</si>
</sst>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12" fontId="6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10.0</v>
      </c>
      <c r="C8" s="7" t="s">
        <v>7</v>
      </c>
      <c r="D8" s="6">
        <v>100.0</v>
      </c>
      <c r="E8" s="8">
        <v>46214.367601018515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34.0</v>
      </c>
      <c r="E9" s="8">
        <v>46214.36774371528</v>
      </c>
      <c r="F9" s="2"/>
      <c r="G9" s="9" t="s">
        <v>9</v>
      </c>
      <c r="H9" s="10">
        <v>601.5</v>
      </c>
      <c r="I9" s="2"/>
      <c r="J9" s="9" t="s">
        <v>10</v>
      </c>
      <c r="K9" s="10">
        <v>748.5</v>
      </c>
      <c r="L9" s="2"/>
      <c r="M9" s="2"/>
      <c r="N9" s="2"/>
      <c r="O9" s="2"/>
      <c r="P9" s="2"/>
      <c r="Q9" s="2"/>
    </row>
    <row r="10" ht="22.5" customHeight="1">
      <c r="A10" s="6"/>
      <c r="B10" s="6">
        <v>10.0</v>
      </c>
      <c r="C10" s="7" t="s">
        <v>11</v>
      </c>
      <c r="D10" s="6">
        <v>90.0</v>
      </c>
      <c r="E10" s="8">
        <v>46214.36783178241</v>
      </c>
      <c r="F10" s="2"/>
      <c r="G10" s="9" t="s">
        <v>12</v>
      </c>
      <c r="H10" s="10">
        <v>40.0</v>
      </c>
      <c r="I10" s="2"/>
      <c r="J10" s="9" t="s">
        <v>13</v>
      </c>
      <c r="K10" s="11">
        <f>SUM(PRINCIPAL[TOTAL])</f>
        <v>4602.5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24.0</v>
      </c>
      <c r="E11" s="8">
        <v>46214.36802475694</v>
      </c>
      <c r="F11" s="2"/>
      <c r="G11" s="9" t="s">
        <v>15</v>
      </c>
      <c r="H11" s="10">
        <v>3950.0</v>
      </c>
      <c r="I11" s="2"/>
      <c r="J11" s="9" t="s">
        <v>16</v>
      </c>
      <c r="K11" s="10">
        <v>10.0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12.0</v>
      </c>
      <c r="E12" s="8">
        <v>46214.38106324074</v>
      </c>
      <c r="F12" s="2"/>
      <c r="G12" s="9" t="s">
        <v>18</v>
      </c>
      <c r="H12" s="12">
        <f>SUM(G24:H361)</f>
        <v>969.5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10.0</v>
      </c>
      <c r="E13" s="8">
        <v>46214.38114560185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8.0</v>
      </c>
      <c r="E14" s="8">
        <v>46214.38124224537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12.0</v>
      </c>
      <c r="C15" s="7" t="s">
        <v>23</v>
      </c>
      <c r="D15" s="6">
        <v>96.0</v>
      </c>
      <c r="E15" s="8">
        <v>46214.3866245949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20.0</v>
      </c>
      <c r="E16" s="8">
        <v>46214.38973927083</v>
      </c>
      <c r="F16" s="2"/>
      <c r="G16" s="15" t="s">
        <v>25</v>
      </c>
      <c r="H16" s="16">
        <f>SUM(H9:H14)</f>
        <v>5561</v>
      </c>
      <c r="I16" s="3"/>
      <c r="J16" s="15" t="s">
        <v>26</v>
      </c>
      <c r="K16" s="16">
        <f>SUM(K9:K11)</f>
        <v>5361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45.0</v>
      </c>
      <c r="E17" s="8">
        <v>46214.38981719907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12.0</v>
      </c>
      <c r="E18" s="8">
        <v>46214.38991060185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200,00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28.0</v>
      </c>
      <c r="E19" s="8">
        <v>46214.40339770833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20.0</v>
      </c>
      <c r="E20" s="8">
        <v>46214.40922056713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5.0</v>
      </c>
      <c r="E21" s="8">
        <v>46214.40928641203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3.0</v>
      </c>
      <c r="C22" s="7" t="s">
        <v>32</v>
      </c>
      <c r="D22" s="6">
        <v>57.0</v>
      </c>
      <c r="E22" s="8">
        <v>46214.41262472222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34.0</v>
      </c>
      <c r="E23" s="8">
        <v>46214.43013811343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20.0</v>
      </c>
      <c r="E24" s="8">
        <v>46214.432784375</v>
      </c>
      <c r="F24" s="2"/>
      <c r="G24" s="22">
        <v>248.0</v>
      </c>
      <c r="H24" s="23"/>
      <c r="I24" s="2"/>
      <c r="J24" s="24" t="s">
        <v>38</v>
      </c>
      <c r="K24" s="25">
        <f>SUM(INGRESOS_YAPE[])</f>
        <v>969.5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105.0</v>
      </c>
      <c r="E25" s="8">
        <v>46214.434587372685</v>
      </c>
      <c r="F25" s="2"/>
      <c r="G25" s="22">
        <v>30.0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20.0</v>
      </c>
      <c r="C26" s="7" t="s">
        <v>40</v>
      </c>
      <c r="D26" s="6">
        <v>30.0</v>
      </c>
      <c r="E26" s="8">
        <v>46214.4346227662</v>
      </c>
      <c r="F26" s="2"/>
      <c r="G26" s="26">
        <v>28.0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42</v>
      </c>
      <c r="D27" s="6">
        <v>1.0</v>
      </c>
      <c r="E27" s="8">
        <v>46214.435408969905</v>
      </c>
      <c r="F27" s="2"/>
      <c r="G27" s="22">
        <v>20.0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24.0</v>
      </c>
      <c r="E28" s="8">
        <v>46214.436619189815</v>
      </c>
      <c r="F28" s="2"/>
      <c r="G28" s="22">
        <v>135.0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45.0</v>
      </c>
      <c r="E29" s="8">
        <v>46214.44000084491</v>
      </c>
      <c r="F29" s="2"/>
      <c r="G29" s="22">
        <v>1.0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969,50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30.0</v>
      </c>
      <c r="E30" s="8">
        <v>46214.45730729167</v>
      </c>
      <c r="F30" s="2"/>
      <c r="G30" s="22">
        <v>38.5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120.0</v>
      </c>
      <c r="E31" s="8">
        <v>46214.460746944445</v>
      </c>
      <c r="F31" s="2"/>
      <c r="G31" s="22">
        <v>10.0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30.0</v>
      </c>
      <c r="E32" s="8">
        <v>46214.464409594904</v>
      </c>
      <c r="F32" s="2"/>
      <c r="G32" s="22">
        <v>40.0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10.0</v>
      </c>
      <c r="C33" s="7" t="s">
        <v>48</v>
      </c>
      <c r="D33" s="6">
        <v>50.0</v>
      </c>
      <c r="E33" s="8">
        <v>46214.48350275463</v>
      </c>
      <c r="F33" s="2"/>
      <c r="G33" s="22">
        <v>48.0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49.0</v>
      </c>
      <c r="E34" s="8">
        <v>46214.48360181713</v>
      </c>
      <c r="F34" s="2"/>
      <c r="G34" s="22">
        <v>13.0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 t="s">
        <v>52</v>
      </c>
      <c r="C35" s="7" t="s">
        <v>53</v>
      </c>
      <c r="D35" s="6">
        <v>38.5</v>
      </c>
      <c r="E35" s="8">
        <v>46214.48520744213</v>
      </c>
      <c r="F35" s="2"/>
      <c r="G35" s="22">
        <v>75.0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40.0</v>
      </c>
      <c r="E36" s="8">
        <v>46214.485734664355</v>
      </c>
      <c r="F36" s="2"/>
      <c r="G36" s="22">
        <v>30.0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11.0</v>
      </c>
      <c r="C37" s="7" t="s">
        <v>55</v>
      </c>
      <c r="D37" s="6">
        <v>2.0</v>
      </c>
      <c r="E37" s="8">
        <v>46214.49731210648</v>
      </c>
      <c r="F37" s="2"/>
      <c r="G37" s="22">
        <v>25.0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11.0</v>
      </c>
      <c r="C38" s="7" t="s">
        <v>56</v>
      </c>
      <c r="D38" s="33">
        <v>7.0</v>
      </c>
      <c r="E38" s="8">
        <v>46214.4974678125</v>
      </c>
      <c r="F38" s="2"/>
      <c r="G38" s="22">
        <v>165.0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57</v>
      </c>
      <c r="D39" s="6">
        <v>26.0</v>
      </c>
      <c r="E39" s="8">
        <v>46214.497941458336</v>
      </c>
      <c r="F39" s="2"/>
      <c r="G39" s="22">
        <v>23.0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58</v>
      </c>
      <c r="D40" s="6">
        <v>34.0</v>
      </c>
      <c r="E40" s="8">
        <v>46214.498052905095</v>
      </c>
      <c r="F40" s="2"/>
      <c r="G40" s="22">
        <v>40.0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33.0</v>
      </c>
      <c r="E41" s="8">
        <v>46214.49817118056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45.0</v>
      </c>
      <c r="E42" s="8">
        <v>46214.49827243056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30.0</v>
      </c>
      <c r="E43" s="8">
        <v>46214.49861516204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21</v>
      </c>
      <c r="D44" s="6">
        <v>10.0</v>
      </c>
      <c r="E44" s="8">
        <v>46214.49877313657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26.0</v>
      </c>
      <c r="E45" s="8">
        <v>46214.498846331015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40.0</v>
      </c>
      <c r="E46" s="8">
        <v>46214.49971474537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107.0</v>
      </c>
      <c r="E47" s="8">
        <v>46214.49977069444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65</v>
      </c>
      <c r="C48" s="7" t="s">
        <v>66</v>
      </c>
      <c r="D48" s="6">
        <v>95.0</v>
      </c>
      <c r="E48" s="8">
        <v>46214.499860185184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67</v>
      </c>
      <c r="C49" s="7" t="s">
        <v>68</v>
      </c>
      <c r="D49" s="6">
        <v>60.0</v>
      </c>
      <c r="E49" s="8">
        <v>46214.499978078704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69</v>
      </c>
      <c r="D50" s="33">
        <v>4.0</v>
      </c>
      <c r="E50" s="8">
        <v>46214.502468819446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4.0</v>
      </c>
      <c r="C51" s="7" t="s">
        <v>70</v>
      </c>
      <c r="D51" s="6">
        <v>10.0</v>
      </c>
      <c r="E51" s="8">
        <v>46214.50446976852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12.0</v>
      </c>
      <c r="E52" s="8">
        <v>46214.50499053241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</v>
      </c>
      <c r="D53" s="6">
        <v>10.0</v>
      </c>
      <c r="E53" s="8">
        <v>46214.522646550926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105.0</v>
      </c>
      <c r="E54" s="8">
        <v>46214.528663495366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49.0</v>
      </c>
      <c r="E55" s="8">
        <v>46214.529689745366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74</v>
      </c>
      <c r="D56" s="6">
        <v>40.0</v>
      </c>
      <c r="E56" s="8">
        <v>46214.534430590276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25.0</v>
      </c>
      <c r="E57" s="8">
        <v>46214.53710935185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25.0</v>
      </c>
      <c r="E58" s="8">
        <v>46214.53714688658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77</v>
      </c>
      <c r="D59" s="6">
        <v>48.0</v>
      </c>
      <c r="E59" s="8">
        <v>46214.54751015046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78</v>
      </c>
      <c r="D60" s="6">
        <v>88.0</v>
      </c>
      <c r="E60" s="8">
        <v>46214.5527956713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79</v>
      </c>
      <c r="D61" s="6">
        <v>98.0</v>
      </c>
      <c r="E61" s="8">
        <v>46214.55308092592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5.0</v>
      </c>
      <c r="E62" s="8">
        <v>46214.559571238424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3.0</v>
      </c>
      <c r="C63" s="7" t="s">
        <v>81</v>
      </c>
      <c r="D63" s="6">
        <v>24.0</v>
      </c>
      <c r="E63" s="8">
        <v>46214.5596821875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34">
        <v>1.0</v>
      </c>
      <c r="C64" s="35" t="s">
        <v>82</v>
      </c>
      <c r="D64" s="34">
        <v>44.0</v>
      </c>
      <c r="E64" s="8">
        <v>46214.56737556713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7.0</v>
      </c>
      <c r="E65" s="8">
        <v>46214.57425232639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136.0</v>
      </c>
      <c r="E66" s="8">
        <v>46215.3836241088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50.0</v>
      </c>
      <c r="E67" s="8">
        <v>46215.39828980324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6.0</v>
      </c>
      <c r="E68" s="8">
        <v>46215.40203832176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6.0</v>
      </c>
      <c r="C69" s="7" t="s">
        <v>87</v>
      </c>
      <c r="D69" s="6">
        <v>11.0</v>
      </c>
      <c r="E69" s="8">
        <v>46215.41643236111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6.0</v>
      </c>
      <c r="C70" s="7" t="s">
        <v>88</v>
      </c>
      <c r="D70" s="6">
        <v>2.0</v>
      </c>
      <c r="E70" s="8">
        <v>46215.41648034722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10.0</v>
      </c>
      <c r="E71" s="8">
        <v>46215.43298817129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15.0</v>
      </c>
      <c r="E72" s="8">
        <v>46215.43307074074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8.0</v>
      </c>
      <c r="E73" s="8">
        <v>46215.44189212963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6.0</v>
      </c>
      <c r="C74" s="7" t="s">
        <v>92</v>
      </c>
      <c r="D74" s="6">
        <v>2.0</v>
      </c>
      <c r="E74" s="8">
        <v>46215.44199944445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6.0</v>
      </c>
      <c r="C75" s="7" t="s">
        <v>93</v>
      </c>
      <c r="D75" s="6">
        <v>5.0</v>
      </c>
      <c r="E75" s="8">
        <v>46215.44221576389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6.0</v>
      </c>
      <c r="C76" s="7" t="s">
        <v>94</v>
      </c>
      <c r="D76" s="6">
        <v>2.5</v>
      </c>
      <c r="E76" s="8">
        <v>46215.442370081015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95</v>
      </c>
      <c r="D77" s="6">
        <v>13.0</v>
      </c>
      <c r="E77" s="8">
        <v>46215.44520336806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12.0</v>
      </c>
      <c r="C78" s="7" t="s">
        <v>96</v>
      </c>
      <c r="D78" s="6">
        <v>5.0</v>
      </c>
      <c r="E78" s="8">
        <v>46215.445248171294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12.0</v>
      </c>
      <c r="C79" s="7" t="s">
        <v>97</v>
      </c>
      <c r="D79" s="6">
        <v>1.0</v>
      </c>
      <c r="E79" s="8">
        <v>46215.445283043984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89</v>
      </c>
      <c r="D80" s="6">
        <v>5.0</v>
      </c>
      <c r="E80" s="8">
        <v>46215.44534148148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11.0</v>
      </c>
      <c r="E81" s="8">
        <v>46215.445380474535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99</v>
      </c>
      <c r="D82" s="6">
        <v>5.0</v>
      </c>
      <c r="E82" s="8">
        <v>46215.44605133102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25.0</v>
      </c>
      <c r="E83" s="8">
        <v>46215.44813800926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2.0</v>
      </c>
      <c r="E84" s="8">
        <v>46215.44821940972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102</v>
      </c>
      <c r="D85" s="6">
        <v>3.5</v>
      </c>
      <c r="E85" s="8">
        <v>46215.44851984954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103</v>
      </c>
      <c r="D86" s="6">
        <v>238.0</v>
      </c>
      <c r="E86" s="8">
        <v>46215.44988659723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750.0</v>
      </c>
      <c r="E87" s="8">
        <v>46215.45042877315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110.0</v>
      </c>
      <c r="E88" s="8">
        <v>46215.4507212037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106</v>
      </c>
      <c r="D89" s="6">
        <v>75.0</v>
      </c>
      <c r="E89" s="8">
        <v>46215.45099616898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107</v>
      </c>
      <c r="D90" s="6">
        <v>238.0</v>
      </c>
      <c r="E90" s="8">
        <v>46215.45220990741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108</v>
      </c>
      <c r="D91" s="6">
        <v>25.0</v>
      </c>
      <c r="E91" s="8">
        <v>46215.45775858796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4.0</v>
      </c>
      <c r="C92" s="7" t="s">
        <v>109</v>
      </c>
      <c r="D92" s="6">
        <v>40.0</v>
      </c>
      <c r="E92" s="8">
        <v>46215.464767604164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110</v>
      </c>
      <c r="D93" s="6">
        <v>26.0</v>
      </c>
      <c r="E93" s="8">
        <v>46215.475488067124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111</v>
      </c>
      <c r="D94" s="6">
        <v>24.0</v>
      </c>
      <c r="E94" s="8">
        <v>46215.49339836805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112</v>
      </c>
      <c r="D95" s="6">
        <v>155.0</v>
      </c>
      <c r="E95" s="8">
        <v>46215.493461446764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113</v>
      </c>
      <c r="D96" s="6">
        <v>10.0</v>
      </c>
      <c r="E96" s="8">
        <v>46215.49352083333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114</v>
      </c>
      <c r="D97" s="6">
        <v>15.0</v>
      </c>
      <c r="E97" s="8">
        <v>46215.49391738426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115</v>
      </c>
      <c r="D98" s="6">
        <v>26.0</v>
      </c>
      <c r="E98" s="8">
        <v>46215.51115736111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116</v>
      </c>
      <c r="D99" s="6">
        <v>14.0</v>
      </c>
      <c r="E99" s="8">
        <v>46215.51120631944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6.0</v>
      </c>
      <c r="C100" s="7" t="s">
        <v>117</v>
      </c>
      <c r="D100" s="6">
        <v>48.0</v>
      </c>
      <c r="E100" s="8">
        <v>46215.51136197917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118</v>
      </c>
      <c r="D101" s="6">
        <v>50.0</v>
      </c>
      <c r="E101" s="8">
        <v>46215.5250537963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3.0</v>
      </c>
      <c r="C102" s="7" t="s">
        <v>119</v>
      </c>
      <c r="D102" s="6">
        <v>66.0</v>
      </c>
      <c r="E102" s="8">
        <v>46215.52714908565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4.0</v>
      </c>
      <c r="C103" s="7" t="s">
        <v>120</v>
      </c>
      <c r="D103" s="6">
        <v>14.0</v>
      </c>
      <c r="E103" s="8">
        <v>46215.535172696764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8.0</v>
      </c>
      <c r="C104" s="7" t="s">
        <v>121</v>
      </c>
      <c r="D104" s="6">
        <v>7.0</v>
      </c>
      <c r="E104" s="8">
        <v>46215.53522642361</v>
      </c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8.0</v>
      </c>
      <c r="C105" s="7" t="s">
        <v>122</v>
      </c>
      <c r="D105" s="6">
        <v>2.0</v>
      </c>
      <c r="E105" s="8">
        <v>46215.5353392824</v>
      </c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123</v>
      </c>
      <c r="D106" s="6">
        <v>25.0</v>
      </c>
      <c r="E106" s="8">
        <v>46215.53540674769</v>
      </c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124</v>
      </c>
      <c r="D107" s="6">
        <v>40.0</v>
      </c>
      <c r="E107" s="8">
        <v>46215.54566459491</v>
      </c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6"/>
      <c r="D108" s="37"/>
      <c r="E108" s="38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6"/>
      <c r="D109" s="37"/>
      <c r="E109" s="38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6"/>
      <c r="D110" s="37"/>
      <c r="E110" s="38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6"/>
      <c r="D111" s="37"/>
      <c r="E111" s="38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6"/>
      <c r="D112" s="37"/>
      <c r="E112" s="38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6"/>
      <c r="D113" s="37"/>
      <c r="E113" s="38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6"/>
      <c r="D114" s="37"/>
      <c r="E114" s="38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6"/>
      <c r="D115" s="37"/>
      <c r="E115" s="38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6"/>
      <c r="D116" s="37"/>
      <c r="E116" s="38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6"/>
      <c r="D117" s="37"/>
      <c r="E117" s="38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6"/>
      <c r="D118" s="37"/>
      <c r="E118" s="38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6"/>
      <c r="D119" s="37"/>
      <c r="E119" s="38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6"/>
      <c r="D120" s="37"/>
      <c r="E120" s="38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6"/>
      <c r="D121" s="37"/>
      <c r="E121" s="38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6"/>
      <c r="D122" s="37"/>
      <c r="E122" s="38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6"/>
      <c r="D123" s="37"/>
      <c r="E123" s="38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6"/>
      <c r="D124" s="37"/>
      <c r="E124" s="38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6"/>
      <c r="D125" s="37"/>
      <c r="E125" s="38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6"/>
      <c r="D126" s="37"/>
      <c r="E126" s="38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6"/>
      <c r="D127" s="37"/>
      <c r="E127" s="38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6"/>
      <c r="D128" s="37"/>
      <c r="E128" s="38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6"/>
      <c r="D129" s="37"/>
      <c r="E129" s="38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6"/>
      <c r="D130" s="37"/>
      <c r="E130" s="38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7"/>
      <c r="E131" s="38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7"/>
      <c r="E132" s="38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7"/>
      <c r="E133" s="38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38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38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38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38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38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38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38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38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38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38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38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38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38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38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38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38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38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38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38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38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38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38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38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38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38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38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38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38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38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38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38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38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38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38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38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38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38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38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38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38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38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38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38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38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38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38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38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38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38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38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38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38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38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38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38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38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38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38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38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38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38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38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38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38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38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38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38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38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38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38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38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38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38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38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38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38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38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38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38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38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38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38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38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38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38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38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38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38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38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38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38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38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38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38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38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38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38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38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38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38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38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38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38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38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38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38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38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38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38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38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38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38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38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38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38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38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38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38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38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38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38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38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38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38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38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38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38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38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38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38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38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38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38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38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38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38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38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38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38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38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38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38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38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38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38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38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38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38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38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38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38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38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38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38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38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38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38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38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38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38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38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38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38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38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38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38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38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38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