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<sst xmlns="http://schemas.openxmlformats.org/spreadsheetml/2006/main" count="127" uniqueCount="120">
  <si>
    <t>HOJA DE CALCULO FERRETERIA</t>
  </si>
  <si>
    <t>CODIGO</t>
  </si>
  <si>
    <t>CANTIDAD</t>
  </si>
  <si>
    <t>DESCRIPCION</t>
  </si>
  <si>
    <t>TOTAL</t>
  </si>
  <si>
    <t>HORA</t>
  </si>
  <si>
    <t>CUADRAR</t>
  </si>
  <si>
    <t>sierra mecanica nichelson</t>
  </si>
  <si>
    <t>anticorrosivo caova 3.5l</t>
  </si>
  <si>
    <t>MONEDAS</t>
  </si>
  <si>
    <t>CAJA CHICA</t>
  </si>
  <si>
    <t>brocha 11/2</t>
  </si>
  <si>
    <t>BILLETES 10-20</t>
  </si>
  <si>
    <t>TOTAL VENTAS DIA</t>
  </si>
  <si>
    <t>brocha 2</t>
  </si>
  <si>
    <t>BILLETES 50-100-200</t>
  </si>
  <si>
    <t>AUMENTO DE DINERO</t>
  </si>
  <si>
    <t>brocha 4</t>
  </si>
  <si>
    <t>INGRESOS YAPE</t>
  </si>
  <si>
    <t>lijas 120</t>
  </si>
  <si>
    <t>INGRESOS TARJETA</t>
  </si>
  <si>
    <t>aluban 10cmx10m</t>
  </si>
  <si>
    <t>GASTOS VARIOS</t>
  </si>
  <si>
    <t>infaldor</t>
  </si>
  <si>
    <t xml:space="preserve">GOTITA </t>
  </si>
  <si>
    <t>DINERO GANADO HOY:</t>
  </si>
  <si>
    <t>CANTIDAD DINERO CAJA:</t>
  </si>
  <si>
    <t>ESPATULA TOLSE</t>
  </si>
  <si>
    <t>30M</t>
  </si>
  <si>
    <t>ALAMBRE 7H 14</t>
  </si>
  <si>
    <t>CINTA ASINATE</t>
  </si>
  <si>
    <t>LLAVE DE DUCHA FV</t>
  </si>
  <si>
    <t>JUEGO LLAVES ALLEM</t>
  </si>
  <si>
    <t>FOCO TRAMONTIA  20</t>
  </si>
  <si>
    <t>FOCO TRAMONTA 15</t>
  </si>
  <si>
    <t>YAPE MAMÁ</t>
  </si>
  <si>
    <t>YAPE PAPÁ</t>
  </si>
  <si>
    <t>SOQUET PLATO</t>
  </si>
  <si>
    <t xml:space="preserve">PICAPORTE </t>
  </si>
  <si>
    <t xml:space="preserve">CARPICOLA </t>
  </si>
  <si>
    <t>CEPILLO TALADRO</t>
  </si>
  <si>
    <t>JUEGO DE CEPILLOS</t>
  </si>
  <si>
    <t>CEPILL ACERO</t>
  </si>
  <si>
    <t>ABRAZADERA 2</t>
  </si>
  <si>
    <t>2M</t>
  </si>
  <si>
    <t>MANGUERA NIVEL 1</t>
  </si>
  <si>
    <t>CARBURO</t>
  </si>
  <si>
    <t>CLEFA 500ML</t>
  </si>
  <si>
    <t>PIE DE AMIGO</t>
  </si>
  <si>
    <t>RODAPIE</t>
  </si>
  <si>
    <t>CEPILLLO ACERO</t>
  </si>
  <si>
    <t>WD40</t>
  </si>
  <si>
    <t>ALICATE PUNTA</t>
  </si>
  <si>
    <t>LLAVE CRESEN</t>
  </si>
  <si>
    <t>CAÑERIA 3/4</t>
  </si>
  <si>
    <t>TARRA3/4</t>
  </si>
  <si>
    <t>TEFLON</t>
  </si>
  <si>
    <t>DISCO GALLETA UYUS</t>
  </si>
  <si>
    <t>BATERIA PALANCA</t>
  </si>
  <si>
    <t>HILO DE PESCAR 1MM</t>
  </si>
  <si>
    <t>10M</t>
  </si>
  <si>
    <t>MANGUERA NIVEL 3/8</t>
  </si>
  <si>
    <t>DISCO GALLETA</t>
  </si>
  <si>
    <t>DISCO LISO KAMASA</t>
  </si>
  <si>
    <t>BADLEJO</t>
  </si>
  <si>
    <t>PICO TOLSEN</t>
  </si>
  <si>
    <t xml:space="preserve">ADAPYADOR </t>
  </si>
  <si>
    <t>TAPA CIEGA RECTANGULAR</t>
  </si>
  <si>
    <t>TAPA CIEGA RDONDA</t>
  </si>
  <si>
    <t>CHIP 3.5 X 35</t>
  </si>
  <si>
    <t>PULVERIZADOR</t>
  </si>
  <si>
    <t>CARPCOLA 75ML</t>
  </si>
  <si>
    <t>FORMON 11/2</t>
  </si>
  <si>
    <t>LLAVE COMBIJADA 8</t>
  </si>
  <si>
    <t>LIJA 360</t>
  </si>
  <si>
    <t>MARCADORES</t>
  </si>
  <si>
    <t>PLANCHA LISA33</t>
  </si>
  <si>
    <t>BADIKEJO</t>
  </si>
  <si>
    <t>JUEGO LLAVE DE LLAVES ALLEM</t>
  </si>
  <si>
    <t>GRIDO 1/2 ITAP</t>
  </si>
  <si>
    <t>3M</t>
  </si>
  <si>
    <t>ALAMBRE 16</t>
  </si>
  <si>
    <t>MANGUERA ENTRADA</t>
  </si>
  <si>
    <t>AEROOL VERDE JADE</t>
  </si>
  <si>
    <t>CINTAS ASILANTE BLANCA</t>
  </si>
  <si>
    <t>FOCO 9</t>
  </si>
  <si>
    <t>BROCA 2</t>
  </si>
  <si>
    <t xml:space="preserve">ESTRUCTURAL </t>
  </si>
  <si>
    <t>MARIPOSA GAS</t>
  </si>
  <si>
    <t>BROCA MADERA 1/2</t>
  </si>
  <si>
    <t>FLEXO 3M</t>
  </si>
  <si>
    <t>PISTOLA DE CAOR</t>
  </si>
  <si>
    <t>LITERNA DE CABEZA</t>
  </si>
  <si>
    <t>PILAS AAA</t>
  </si>
  <si>
    <t>LIJASUYUS</t>
  </si>
  <si>
    <t>DISCO UYUS LIJA</t>
  </si>
  <si>
    <t>M ALAMBRER TIGRE</t>
  </si>
  <si>
    <t>M ALAMBRE TIGRE</t>
  </si>
  <si>
    <t>FCOO 20 EVERLE</t>
  </si>
  <si>
    <t>CASQQUETE SIMLE TRAMON</t>
  </si>
  <si>
    <t>CASQUETE DKOBLE TRAMONA</t>
  </si>
  <si>
    <t>TAPON 1/2 M</t>
  </si>
  <si>
    <t>TAPON 3/4 H</t>
  </si>
  <si>
    <t>ORRINES</t>
  </si>
  <si>
    <t>tijera de aviacion truper</t>
  </si>
  <si>
    <t>flcos uyustol 5 m</t>
  </si>
  <si>
    <t>kl carburo</t>
  </si>
  <si>
    <t>juego de piedras uysu</t>
  </si>
  <si>
    <t>cina asialnte</t>
  </si>
  <si>
    <t>botn lattera</t>
  </si>
  <si>
    <t>maalmbre tirgre</t>
  </si>
  <si>
    <t>busc polo turper</t>
  </si>
  <si>
    <t>grmapa turper</t>
  </si>
  <si>
    <t xml:space="preserve">presostato </t>
  </si>
  <si>
    <t>teflon</t>
  </si>
  <si>
    <t>broca 1/4</t>
  </si>
  <si>
    <t>broca 3/8</t>
  </si>
  <si>
    <t>ramplu 6</t>
  </si>
  <si>
    <t>chip 4 x 35</t>
  </si>
  <si>
    <t>ventas pires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</si>
</sst>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46135.35685974537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223.0</v>
      </c>
      <c r="E9" s="8">
        <v>46135.373813576385</v>
      </c>
      <c r="F9" s="2"/>
      <c r="G9" s="9" t="s">
        <v>9</v>
      </c>
      <c r="H9" s="10">
        <v>200.0</v>
      </c>
      <c r="I9" s="2"/>
      <c r="J9" s="9" t="s">
        <v>10</v>
      </c>
      <c r="K9" s="10">
        <v>764.0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8.0</v>
      </c>
      <c r="E10" s="8">
        <v>46135.373891435185</v>
      </c>
      <c r="F10" s="2"/>
      <c r="G10" s="9" t="s">
        <v>12</v>
      </c>
      <c r="H10" s="10">
        <v>380.0</v>
      </c>
      <c r="I10" s="2"/>
      <c r="J10" s="9" t="s">
        <v>13</v>
      </c>
      <c r="K10" s="11">
        <f>SUM(PRINCIPAL[TOTAL])</f>
        <v>13881.5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11.0</v>
      </c>
      <c r="E11" s="8">
        <v>46135.37407222222</v>
      </c>
      <c r="F11" s="2"/>
      <c r="G11" s="9" t="s">
        <v>15</v>
      </c>
      <c r="H11" s="10">
        <v>2900.0</v>
      </c>
      <c r="I11" s="2"/>
      <c r="J11" s="9" t="s">
        <v>16</v>
      </c>
      <c r="K11" s="10">
        <v>157.0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22.0</v>
      </c>
      <c r="E12" s="8">
        <v>46135.37413162037</v>
      </c>
      <c r="F12" s="2"/>
      <c r="G12" s="9" t="s">
        <v>18</v>
      </c>
      <c r="H12" s="12">
        <f>SUM(G24:H361)</f>
        <v>11317.5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4.0</v>
      </c>
      <c r="C13" s="7" t="s">
        <v>19</v>
      </c>
      <c r="D13" s="6">
        <v>20.0</v>
      </c>
      <c r="E13" s="8">
        <v>46135.3742141088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109.0</v>
      </c>
      <c r="E14" s="8">
        <v>46135.37449482639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33.0</v>
      </c>
      <c r="E15" s="8">
        <v>46135.37525701389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11.0</v>
      </c>
      <c r="E16" s="8">
        <v>46135.39080443287</v>
      </c>
      <c r="F16" s="2"/>
      <c r="G16" s="15" t="s">
        <v>25</v>
      </c>
      <c r="H16" s="16">
        <f>SUM(H9:H14)</f>
        <v>14797.5</v>
      </c>
      <c r="I16" s="3"/>
      <c r="J16" s="15" t="s">
        <v>26</v>
      </c>
      <c r="K16" s="16">
        <f>SUM(K9:K11)</f>
        <v>14802.5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25.0</v>
      </c>
      <c r="E17" s="8">
        <v>46135.3908815162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 t="s">
        <v>28</v>
      </c>
      <c r="C18" s="7" t="s">
        <v>29</v>
      </c>
      <c r="D18" s="6">
        <v>225.0</v>
      </c>
      <c r="E18" s="8">
        <v>46135.39121125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5,00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13.0</v>
      </c>
      <c r="E19" s="8">
        <v>46135.39129645833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123.0</v>
      </c>
      <c r="E20" s="8">
        <v>46135.39936060185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95.0</v>
      </c>
      <c r="E21" s="8">
        <v>46135.40059675926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22.0</v>
      </c>
      <c r="E22" s="8">
        <v>46135.41273296296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19.0</v>
      </c>
      <c r="E23" s="8">
        <v>46135.41284133102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10.0</v>
      </c>
      <c r="E24" s="8">
        <v>46135.41290618056</v>
      </c>
      <c r="F24" s="2"/>
      <c r="G24" s="20">
        <v>15.0</v>
      </c>
      <c r="H24" s="20">
        <v>9904.0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5.0</v>
      </c>
      <c r="E25" s="8">
        <v>46135.41295996528</v>
      </c>
      <c r="F25" s="2"/>
      <c r="G25" s="20">
        <v>238.0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10.0</v>
      </c>
      <c r="E26" s="8">
        <v>46135.417493229164</v>
      </c>
      <c r="F26" s="2"/>
      <c r="G26" s="22">
        <v>112.0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26.0</v>
      </c>
      <c r="E27" s="8">
        <v>46135.41759211806</v>
      </c>
      <c r="F27" s="2"/>
      <c r="G27" s="20">
        <v>26.0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25.0</v>
      </c>
      <c r="E28" s="8">
        <v>46135.41781789352</v>
      </c>
      <c r="F28" s="2"/>
      <c r="G28" s="20">
        <v>61.0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36.0</v>
      </c>
      <c r="E29" s="8">
        <v>46135.4179452199</v>
      </c>
      <c r="F29" s="2"/>
      <c r="G29" s="20">
        <v>83.0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15.0</v>
      </c>
      <c r="E30" s="8">
        <v>46135.41802813657</v>
      </c>
      <c r="F30" s="2"/>
      <c r="G30" s="20">
        <v>22.0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39</v>
      </c>
      <c r="D31" s="6">
        <v>26.0</v>
      </c>
      <c r="E31" s="8">
        <v>46135.41809127315</v>
      </c>
      <c r="F31" s="2"/>
      <c r="G31" s="20">
        <v>48.0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43</v>
      </c>
      <c r="D32" s="6">
        <v>7.0</v>
      </c>
      <c r="E32" s="8">
        <v>46135.43389944444</v>
      </c>
      <c r="F32" s="2"/>
      <c r="G32" s="20">
        <v>89.0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 t="s">
        <v>44</v>
      </c>
      <c r="C33" s="7" t="s">
        <v>45</v>
      </c>
      <c r="D33" s="6">
        <v>40.0</v>
      </c>
      <c r="E33" s="8">
        <v>46135.43423155093</v>
      </c>
      <c r="F33" s="2"/>
      <c r="G33" s="20">
        <v>11.0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23">
        <v>46054.0</v>
      </c>
      <c r="C34" s="7" t="s">
        <v>46</v>
      </c>
      <c r="D34" s="6">
        <v>12.5</v>
      </c>
      <c r="E34" s="8">
        <v>46135.45061032407</v>
      </c>
      <c r="F34" s="2"/>
      <c r="G34" s="20">
        <v>261.0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46.0</v>
      </c>
      <c r="E35" s="8">
        <v>46135.456154803236</v>
      </c>
      <c r="F35" s="2"/>
      <c r="G35" s="20">
        <v>178.5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6.0</v>
      </c>
      <c r="C36" s="7" t="s">
        <v>48</v>
      </c>
      <c r="D36" s="6">
        <v>12.0</v>
      </c>
      <c r="E36" s="8">
        <v>46135.46026811343</v>
      </c>
      <c r="F36" s="2"/>
      <c r="G36" s="20">
        <v>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4.0</v>
      </c>
      <c r="C37" s="7" t="s">
        <v>49</v>
      </c>
      <c r="D37" s="6">
        <v>154.0</v>
      </c>
      <c r="E37" s="8">
        <v>46135.460622824074</v>
      </c>
      <c r="F37" s="2"/>
      <c r="G37" s="20">
        <v>140.0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16.0</v>
      </c>
      <c r="E38" s="24"/>
      <c r="F38" s="2"/>
      <c r="G38" s="20">
        <v>13.0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157.0</v>
      </c>
      <c r="E39" s="8">
        <v>46135.4642940162</v>
      </c>
      <c r="F39" s="2"/>
      <c r="G39" s="20">
        <v>43.5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34.0</v>
      </c>
      <c r="E40" s="8">
        <v>46135.471254351854</v>
      </c>
      <c r="F40" s="2"/>
      <c r="G40" s="20">
        <v>10.0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49.0</v>
      </c>
      <c r="E41" s="8">
        <v>46135.47135570602</v>
      </c>
      <c r="F41" s="2"/>
      <c r="G41" s="20">
        <v>57.5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70.0</v>
      </c>
      <c r="E42" s="8">
        <v>46135.47141115741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46.0</v>
      </c>
      <c r="E43" s="8">
        <v>46135.47154341435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2.0</v>
      </c>
      <c r="E44" s="8">
        <v>46135.471603391205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10.0</v>
      </c>
      <c r="C45" s="7" t="s">
        <v>57</v>
      </c>
      <c r="D45" s="6">
        <v>45.0</v>
      </c>
      <c r="E45" s="8">
        <v>46135.47171961806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99.0</v>
      </c>
      <c r="E46" s="8">
        <v>46135.48234929398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56</v>
      </c>
      <c r="D47" s="6">
        <v>2.0</v>
      </c>
      <c r="E47" s="8">
        <v>46135.48240743055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59</v>
      </c>
      <c r="D48" s="6">
        <v>35.0</v>
      </c>
      <c r="E48" s="8">
        <v>46135.4909987963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60</v>
      </c>
      <c r="C49" s="7" t="s">
        <v>61</v>
      </c>
      <c r="D49" s="6">
        <v>65.0</v>
      </c>
      <c r="E49" s="8">
        <v>46135.4910934838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62</v>
      </c>
      <c r="D50" s="6">
        <v>18.0</v>
      </c>
      <c r="E50" s="8">
        <v>46135.49407512731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77.0</v>
      </c>
      <c r="E51" s="8">
        <v>46135.49581096065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16.0</v>
      </c>
      <c r="E52" s="8">
        <v>46135.49719098379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9.0</v>
      </c>
      <c r="E53" s="8">
        <v>46135.50062552083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13.0</v>
      </c>
      <c r="E54" s="8">
        <v>46135.5006734375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67</v>
      </c>
      <c r="D55" s="6">
        <v>3.0</v>
      </c>
      <c r="E55" s="8">
        <v>46135.50622601852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1.5</v>
      </c>
      <c r="E56" s="8">
        <v>46135.50630599537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6.0</v>
      </c>
      <c r="C57" s="7" t="s">
        <v>69</v>
      </c>
      <c r="D57" s="6">
        <v>1.0</v>
      </c>
      <c r="E57" s="8">
        <v>46135.50639947917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70</v>
      </c>
      <c r="D58" s="6">
        <v>48.0</v>
      </c>
      <c r="E58" s="8">
        <v>46135.508300381945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71</v>
      </c>
      <c r="D59" s="6">
        <v>8.0</v>
      </c>
      <c r="E59" s="8">
        <v>46135.51126590278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72</v>
      </c>
      <c r="D60" s="6">
        <v>142.0</v>
      </c>
      <c r="E60" s="8">
        <v>46135.51422390046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17.0</v>
      </c>
      <c r="E61" s="8">
        <v>46135.51614501157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10.0</v>
      </c>
      <c r="C62" s="7" t="s">
        <v>74</v>
      </c>
      <c r="D62" s="6">
        <v>50.0</v>
      </c>
      <c r="E62" s="8">
        <v>46135.51626283565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75</v>
      </c>
      <c r="D63" s="6">
        <v>78.0</v>
      </c>
      <c r="E63" s="8">
        <v>46135.51634495371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76</v>
      </c>
      <c r="D64" s="6">
        <v>33.0</v>
      </c>
      <c r="E64" s="8">
        <v>46135.52112653935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77</v>
      </c>
      <c r="D65" s="6">
        <v>16.0</v>
      </c>
      <c r="E65" s="8">
        <v>46135.52126945602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78</v>
      </c>
      <c r="D66" s="6">
        <v>48.0</v>
      </c>
      <c r="E66" s="8">
        <v>46135.52306664352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79</v>
      </c>
      <c r="D67" s="6">
        <v>86.0</v>
      </c>
      <c r="E67" s="8">
        <v>46135.552860185184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56</v>
      </c>
      <c r="D68" s="6">
        <v>3.0</v>
      </c>
      <c r="E68" s="8">
        <v>46135.549311932875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 t="s">
        <v>80</v>
      </c>
      <c r="C69" s="7" t="s">
        <v>81</v>
      </c>
      <c r="D69" s="6">
        <v>13.5</v>
      </c>
      <c r="E69" s="8">
        <v>46135.56101978009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82</v>
      </c>
      <c r="D70" s="6">
        <v>90.0</v>
      </c>
      <c r="E70" s="8">
        <v>46135.56190269676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83</v>
      </c>
      <c r="D71" s="6">
        <v>40.0</v>
      </c>
      <c r="E71" s="8">
        <v>46135.56602673611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84</v>
      </c>
      <c r="D72" s="6">
        <v>18.0</v>
      </c>
      <c r="E72" s="8">
        <v>46135.574665011576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3.0</v>
      </c>
      <c r="C73" s="7" t="s">
        <v>85</v>
      </c>
      <c r="D73" s="6">
        <v>39.0</v>
      </c>
      <c r="E73" s="8">
        <v>46135.5747225463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86</v>
      </c>
      <c r="D74" s="6">
        <v>11.0</v>
      </c>
      <c r="E74" s="8">
        <v>46135.57611533564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87</v>
      </c>
      <c r="D75" s="6">
        <v>66.0</v>
      </c>
      <c r="E75" s="8">
        <v>46135.589795162035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62</v>
      </c>
      <c r="D76" s="6">
        <v>10.0</v>
      </c>
      <c r="E76" s="8">
        <v>46135.5898825926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88</v>
      </c>
      <c r="D77" s="6">
        <v>10.0</v>
      </c>
      <c r="E77" s="8">
        <v>46135.6004675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89</v>
      </c>
      <c r="D78" s="6">
        <v>40.0</v>
      </c>
      <c r="E78" s="8">
        <v>46135.60168571759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90</v>
      </c>
      <c r="D79" s="6">
        <v>29.0</v>
      </c>
      <c r="E79" s="8">
        <v>46135.61189666667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91</v>
      </c>
      <c r="D80" s="6">
        <v>196.0</v>
      </c>
      <c r="E80" s="8">
        <v>46135.618497627314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92</v>
      </c>
      <c r="D81" s="6">
        <v>49.0</v>
      </c>
      <c r="E81" s="8">
        <v>46135.61860960648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93</v>
      </c>
      <c r="D82" s="6">
        <v>16.0</v>
      </c>
      <c r="E82" s="8">
        <v>46135.61893748843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94</v>
      </c>
      <c r="D83" s="6">
        <v>20.0</v>
      </c>
      <c r="E83" s="8">
        <v>46135.619028402776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95</v>
      </c>
      <c r="D84" s="6">
        <v>22.0</v>
      </c>
      <c r="E84" s="8">
        <v>46135.61915252315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7.0</v>
      </c>
      <c r="C85" s="7" t="s">
        <v>96</v>
      </c>
      <c r="D85" s="6">
        <v>45.5</v>
      </c>
      <c r="E85" s="8">
        <v>46135.64235226852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5.0</v>
      </c>
      <c r="C86" s="7" t="s">
        <v>97</v>
      </c>
      <c r="D86" s="6">
        <v>52.5</v>
      </c>
      <c r="E86" s="8">
        <v>46135.642416250004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98</v>
      </c>
      <c r="D87" s="6">
        <v>26.0</v>
      </c>
      <c r="E87" s="8">
        <v>46135.64257604167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99</v>
      </c>
      <c r="D88" s="6">
        <v>21.5</v>
      </c>
      <c r="E88" s="8">
        <v>46135.64265430556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100</v>
      </c>
      <c r="D89" s="6">
        <v>31.0</v>
      </c>
      <c r="E89" s="8">
        <v>46135.64269659722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37</v>
      </c>
      <c r="D90" s="6">
        <v>5.0</v>
      </c>
      <c r="E90" s="8">
        <v>46135.64280912037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101</v>
      </c>
      <c r="D91" s="6">
        <v>1.0</v>
      </c>
      <c r="E91" s="8">
        <v>46135.64765359953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102</v>
      </c>
      <c r="D92" s="6">
        <v>3.0</v>
      </c>
      <c r="E92" s="8">
        <v>46135.647744270835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3.0</v>
      </c>
      <c r="C93" s="7" t="s">
        <v>103</v>
      </c>
      <c r="D93" s="6">
        <v>9.0</v>
      </c>
      <c r="E93" s="8">
        <v>46135.65359278936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104</v>
      </c>
      <c r="D94" s="6">
        <v>110.0</v>
      </c>
      <c r="E94" s="8">
        <v>46135.65883241898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105</v>
      </c>
      <c r="D95" s="6">
        <v>30.0</v>
      </c>
      <c r="E95" s="8">
        <v>46135.658901689814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106</v>
      </c>
      <c r="D96" s="6">
        <v>25.0</v>
      </c>
      <c r="E96" s="8">
        <v>46135.67356502315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107</v>
      </c>
      <c r="D97" s="6">
        <v>18.0</v>
      </c>
      <c r="E97" s="8">
        <v>46135.68097652778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108</v>
      </c>
      <c r="D98" s="6">
        <v>13.0</v>
      </c>
      <c r="E98" s="8">
        <v>46135.7038197338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109</v>
      </c>
      <c r="D99" s="6">
        <v>35.0</v>
      </c>
      <c r="E99" s="8">
        <v>46135.71390803241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7.0</v>
      </c>
      <c r="C100" s="7" t="s">
        <v>110</v>
      </c>
      <c r="D100" s="6">
        <v>31.5</v>
      </c>
      <c r="E100" s="8">
        <v>46135.7139796875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111</v>
      </c>
      <c r="D101" s="6">
        <v>13.0</v>
      </c>
      <c r="E101" s="8">
        <v>46135.715218125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112</v>
      </c>
      <c r="D102" s="6">
        <v>10.0</v>
      </c>
      <c r="E102" s="8">
        <v>46135.715333472224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37</v>
      </c>
      <c r="D103" s="6">
        <v>10.0</v>
      </c>
      <c r="E103" s="8">
        <v>46135.71665128472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113</v>
      </c>
      <c r="D104" s="6">
        <v>72.0</v>
      </c>
      <c r="E104" s="8">
        <v>46135.71878866898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114</v>
      </c>
      <c r="D105" s="6">
        <v>2.5</v>
      </c>
      <c r="E105" s="8">
        <v>46135.71885685185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115</v>
      </c>
      <c r="D106" s="6">
        <v>20.0</v>
      </c>
      <c r="E106" s="8">
        <v>46135.73401193287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116</v>
      </c>
      <c r="D107" s="6">
        <v>33.0</v>
      </c>
      <c r="E107" s="8">
        <v>46135.73413092592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12.0</v>
      </c>
      <c r="C108" s="7" t="s">
        <v>117</v>
      </c>
      <c r="D108" s="6">
        <v>1.5</v>
      </c>
      <c r="E108" s="8">
        <v>46135.73432528935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12.0</v>
      </c>
      <c r="C109" s="7" t="s">
        <v>118</v>
      </c>
      <c r="D109" s="6">
        <v>3.0</v>
      </c>
      <c r="E109" s="8">
        <v>46135.73460582176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7" t="s">
        <v>119</v>
      </c>
      <c r="D110" s="6">
        <v>9904.0</v>
      </c>
      <c r="E110" s="8">
        <v>46135.77380085648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5"/>
      <c r="D111" s="26"/>
      <c r="E111" s="24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5"/>
      <c r="D112" s="26"/>
      <c r="E112" s="24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5"/>
      <c r="D113" s="26"/>
      <c r="E113" s="24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5"/>
      <c r="D114" s="26"/>
      <c r="E114" s="24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5"/>
      <c r="D115" s="26"/>
      <c r="E115" s="24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5"/>
      <c r="D116" s="26"/>
      <c r="E116" s="24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5"/>
      <c r="D117" s="26"/>
      <c r="E117" s="24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5"/>
      <c r="D118" s="26"/>
      <c r="E118" s="24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5"/>
      <c r="D119" s="26"/>
      <c r="E119" s="24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5"/>
      <c r="D120" s="26"/>
      <c r="E120" s="24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5"/>
      <c r="D121" s="26"/>
      <c r="E121" s="24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5"/>
      <c r="D122" s="26"/>
      <c r="E122" s="24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5"/>
      <c r="D123" s="26"/>
      <c r="E123" s="24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5"/>
      <c r="D124" s="26"/>
      <c r="E124" s="24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5"/>
      <c r="D125" s="26"/>
      <c r="E125" s="24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5"/>
      <c r="D126" s="26"/>
      <c r="E126" s="24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5"/>
      <c r="D127" s="26"/>
      <c r="E127" s="24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5"/>
      <c r="D128" s="26"/>
      <c r="E128" s="24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5"/>
      <c r="D129" s="26"/>
      <c r="E129" s="24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5"/>
      <c r="D130" s="26"/>
      <c r="E130" s="24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5"/>
      <c r="D131" s="26"/>
      <c r="E131" s="24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5"/>
      <c r="D132" s="26"/>
      <c r="E132" s="24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5"/>
      <c r="D133" s="26"/>
      <c r="E133" s="24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5"/>
      <c r="D134" s="26"/>
      <c r="E134" s="24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5"/>
      <c r="D135" s="26"/>
      <c r="E135" s="24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5"/>
      <c r="D136" s="26"/>
      <c r="E136" s="24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5"/>
      <c r="D137" s="26"/>
      <c r="E137" s="24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5"/>
      <c r="D138" s="26"/>
      <c r="E138" s="24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5"/>
      <c r="D139" s="26"/>
      <c r="E139" s="24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5"/>
      <c r="D140" s="26"/>
      <c r="E140" s="24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5"/>
      <c r="D141" s="26"/>
      <c r="E141" s="24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5"/>
      <c r="D142" s="26"/>
      <c r="E142" s="24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5"/>
      <c r="D143" s="26"/>
      <c r="E143" s="24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5"/>
      <c r="D144" s="26"/>
      <c r="E144" s="24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5"/>
      <c r="D145" s="26"/>
      <c r="E145" s="24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5"/>
      <c r="D146" s="26"/>
      <c r="E146" s="24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5"/>
      <c r="D147" s="26"/>
      <c r="E147" s="24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5"/>
      <c r="D148" s="26"/>
      <c r="E148" s="24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5"/>
      <c r="D149" s="26"/>
      <c r="E149" s="24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5"/>
      <c r="D150" s="26"/>
      <c r="E150" s="24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5"/>
      <c r="D151" s="26"/>
      <c r="E151" s="24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5"/>
      <c r="D152" s="26"/>
      <c r="E152" s="24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5"/>
      <c r="D153" s="26"/>
      <c r="E153" s="24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5"/>
      <c r="D154" s="26"/>
      <c r="E154" s="24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5"/>
      <c r="D155" s="26"/>
      <c r="E155" s="24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5"/>
      <c r="D156" s="26"/>
      <c r="E156" s="24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5"/>
      <c r="D157" s="26"/>
      <c r="E157" s="24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5"/>
      <c r="D158" s="26"/>
      <c r="E158" s="24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5"/>
      <c r="D159" s="26"/>
      <c r="E159" s="24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5"/>
      <c r="D160" s="26"/>
      <c r="E160" s="24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5"/>
      <c r="D161" s="26"/>
      <c r="E161" s="24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5"/>
      <c r="D162" s="26"/>
      <c r="E162" s="24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5"/>
      <c r="D163" s="26"/>
      <c r="E163" s="24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5"/>
      <c r="D164" s="26"/>
      <c r="E164" s="24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5"/>
      <c r="D165" s="26"/>
      <c r="E165" s="24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5"/>
      <c r="D166" s="26"/>
      <c r="E166" s="24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5"/>
      <c r="D167" s="26"/>
      <c r="E167" s="24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5"/>
      <c r="D168" s="26"/>
      <c r="E168" s="24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5"/>
      <c r="D169" s="26"/>
      <c r="E169" s="24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5"/>
      <c r="D170" s="26"/>
      <c r="E170" s="24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5"/>
      <c r="D171" s="26"/>
      <c r="E171" s="24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5"/>
      <c r="D172" s="26"/>
      <c r="E172" s="24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5"/>
      <c r="D173" s="26"/>
      <c r="E173" s="24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5"/>
      <c r="D174" s="26"/>
      <c r="E174" s="24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5"/>
      <c r="D175" s="26"/>
      <c r="E175" s="24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5"/>
      <c r="D176" s="26"/>
      <c r="E176" s="24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5"/>
      <c r="D177" s="26"/>
      <c r="E177" s="24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5"/>
      <c r="D178" s="26"/>
      <c r="E178" s="24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5"/>
      <c r="D179" s="26"/>
      <c r="E179" s="24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5"/>
      <c r="D180" s="26"/>
      <c r="E180" s="24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5"/>
      <c r="D181" s="26"/>
      <c r="E181" s="24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5"/>
      <c r="D182" s="26"/>
      <c r="E182" s="24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5"/>
      <c r="D183" s="26"/>
      <c r="E183" s="24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5"/>
      <c r="D184" s="26"/>
      <c r="E184" s="24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5"/>
      <c r="D185" s="26"/>
      <c r="E185" s="24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5"/>
      <c r="D186" s="26"/>
      <c r="E186" s="24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5"/>
      <c r="D187" s="26"/>
      <c r="E187" s="24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5"/>
      <c r="D188" s="26"/>
      <c r="E188" s="24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5"/>
      <c r="D189" s="26"/>
      <c r="E189" s="24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5"/>
      <c r="D190" s="26"/>
      <c r="E190" s="24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5"/>
      <c r="D191" s="26"/>
      <c r="E191" s="24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5"/>
      <c r="D192" s="26"/>
      <c r="E192" s="24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5"/>
      <c r="D193" s="26"/>
      <c r="E193" s="24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5"/>
      <c r="D194" s="26"/>
      <c r="E194" s="24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5"/>
      <c r="D195" s="26"/>
      <c r="E195" s="24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5"/>
      <c r="D196" s="26"/>
      <c r="E196" s="24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5"/>
      <c r="D197" s="26"/>
      <c r="E197" s="24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5"/>
      <c r="D198" s="26"/>
      <c r="E198" s="24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5"/>
      <c r="D199" s="26"/>
      <c r="E199" s="24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5"/>
      <c r="D200" s="26"/>
      <c r="E200" s="24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5"/>
      <c r="D201" s="26"/>
      <c r="E201" s="24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5"/>
      <c r="D202" s="26"/>
      <c r="E202" s="24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5"/>
      <c r="D203" s="26"/>
      <c r="E203" s="24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5"/>
      <c r="D204" s="26"/>
      <c r="E204" s="24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5"/>
      <c r="D205" s="26"/>
      <c r="E205" s="24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5"/>
      <c r="D206" s="26"/>
      <c r="E206" s="24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5"/>
      <c r="D207" s="26"/>
      <c r="E207" s="24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5"/>
      <c r="D208" s="26"/>
      <c r="E208" s="24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5"/>
      <c r="D209" s="26"/>
      <c r="E209" s="24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5"/>
      <c r="D210" s="26"/>
      <c r="E210" s="24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5"/>
      <c r="D211" s="26"/>
      <c r="E211" s="24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5"/>
      <c r="D212" s="26"/>
      <c r="E212" s="24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5"/>
      <c r="D213" s="26"/>
      <c r="E213" s="24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5"/>
      <c r="D214" s="26"/>
      <c r="E214" s="24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5"/>
      <c r="D215" s="26"/>
      <c r="E215" s="24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5"/>
      <c r="D216" s="26"/>
      <c r="E216" s="24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5"/>
      <c r="D217" s="26"/>
      <c r="E217" s="24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5"/>
      <c r="D218" s="26"/>
      <c r="E218" s="24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5"/>
      <c r="D219" s="26"/>
      <c r="E219" s="24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5"/>
      <c r="D220" s="26"/>
      <c r="E220" s="24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5"/>
      <c r="D221" s="26"/>
      <c r="E221" s="24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5"/>
      <c r="D222" s="26"/>
      <c r="E222" s="24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5"/>
      <c r="D223" s="26"/>
      <c r="E223" s="24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5"/>
      <c r="D224" s="26"/>
      <c r="E224" s="24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5"/>
      <c r="D225" s="26"/>
      <c r="E225" s="24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5"/>
      <c r="D226" s="26"/>
      <c r="E226" s="24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5"/>
      <c r="D227" s="26"/>
      <c r="E227" s="24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5"/>
      <c r="D228" s="26"/>
      <c r="E228" s="24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5"/>
      <c r="D229" s="26"/>
      <c r="E229" s="24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5"/>
      <c r="D230" s="26"/>
      <c r="E230" s="24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5"/>
      <c r="D231" s="26"/>
      <c r="E231" s="24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5"/>
      <c r="D232" s="26"/>
      <c r="E232" s="24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5"/>
      <c r="D233" s="26"/>
      <c r="E233" s="24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5"/>
      <c r="D234" s="26"/>
      <c r="E234" s="24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5"/>
      <c r="D235" s="26"/>
      <c r="E235" s="24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5"/>
      <c r="D236" s="26"/>
      <c r="E236" s="24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5"/>
      <c r="D237" s="26"/>
      <c r="E237" s="24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5"/>
      <c r="D238" s="26"/>
      <c r="E238" s="24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5"/>
      <c r="D239" s="26"/>
      <c r="E239" s="24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5"/>
      <c r="D240" s="26"/>
      <c r="E240" s="24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5"/>
      <c r="D241" s="26"/>
      <c r="E241" s="24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5"/>
      <c r="D242" s="26"/>
      <c r="E242" s="24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5"/>
      <c r="D243" s="26"/>
      <c r="E243" s="24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5"/>
      <c r="D244" s="26"/>
      <c r="E244" s="24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5"/>
      <c r="D245" s="26"/>
      <c r="E245" s="24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5"/>
      <c r="D246" s="26"/>
      <c r="E246" s="24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5"/>
      <c r="D247" s="26"/>
      <c r="E247" s="24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5"/>
      <c r="D248" s="26"/>
      <c r="E248" s="24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5"/>
      <c r="D249" s="26"/>
      <c r="E249" s="24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5"/>
      <c r="D250" s="26"/>
      <c r="E250" s="24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5"/>
      <c r="D251" s="26"/>
      <c r="E251" s="24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5"/>
      <c r="D252" s="26"/>
      <c r="E252" s="24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5"/>
      <c r="D253" s="26"/>
      <c r="E253" s="24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5"/>
      <c r="D254" s="26"/>
      <c r="E254" s="24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5"/>
      <c r="D255" s="26"/>
      <c r="E255" s="24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5"/>
      <c r="D256" s="26"/>
      <c r="E256" s="24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5"/>
      <c r="D257" s="26"/>
      <c r="E257" s="24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5"/>
      <c r="D258" s="26"/>
      <c r="E258" s="24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5"/>
      <c r="D259" s="26"/>
      <c r="E259" s="24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5"/>
      <c r="D260" s="26"/>
      <c r="E260" s="24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5"/>
      <c r="D261" s="26"/>
      <c r="E261" s="24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5"/>
      <c r="D262" s="26"/>
      <c r="E262" s="24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5"/>
      <c r="D263" s="26"/>
      <c r="E263" s="24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5"/>
      <c r="D264" s="26"/>
      <c r="E264" s="24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5"/>
      <c r="D265" s="26"/>
      <c r="E265" s="24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5"/>
      <c r="D266" s="26"/>
      <c r="E266" s="24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5"/>
      <c r="D267" s="26"/>
      <c r="E267" s="24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5"/>
      <c r="D268" s="26"/>
      <c r="E268" s="24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5"/>
      <c r="D269" s="26"/>
      <c r="E269" s="24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5"/>
      <c r="D270" s="26"/>
      <c r="E270" s="24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5"/>
      <c r="D271" s="26"/>
      <c r="E271" s="24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5"/>
      <c r="D272" s="26"/>
      <c r="E272" s="24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5"/>
      <c r="D273" s="26"/>
      <c r="E273" s="24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5"/>
      <c r="D274" s="26"/>
      <c r="E274" s="24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5"/>
      <c r="D275" s="26"/>
      <c r="E275" s="24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5"/>
      <c r="D276" s="26"/>
      <c r="E276" s="24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5"/>
      <c r="D277" s="26"/>
      <c r="E277" s="24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5"/>
      <c r="D278" s="26"/>
      <c r="E278" s="24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5"/>
      <c r="D279" s="26"/>
      <c r="E279" s="24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5"/>
      <c r="D280" s="26"/>
      <c r="E280" s="24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5"/>
      <c r="D281" s="26"/>
      <c r="E281" s="24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5"/>
      <c r="D282" s="26"/>
      <c r="E282" s="24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5"/>
      <c r="D283" s="26"/>
      <c r="E283" s="24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5"/>
      <c r="D284" s="26"/>
      <c r="E284" s="24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5"/>
      <c r="D285" s="26"/>
      <c r="E285" s="24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5"/>
      <c r="D286" s="26"/>
      <c r="E286" s="24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5"/>
      <c r="D287" s="26"/>
      <c r="E287" s="24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5"/>
      <c r="D288" s="26"/>
      <c r="E288" s="24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5"/>
      <c r="D289" s="26"/>
      <c r="E289" s="24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5"/>
      <c r="D290" s="26"/>
      <c r="E290" s="24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5"/>
      <c r="D291" s="26"/>
      <c r="E291" s="24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5"/>
      <c r="D292" s="26"/>
      <c r="E292" s="24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5"/>
      <c r="D293" s="26"/>
      <c r="E293" s="24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5"/>
      <c r="D294" s="26"/>
      <c r="E294" s="24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5"/>
      <c r="D295" s="26"/>
      <c r="E295" s="24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5"/>
      <c r="D296" s="26"/>
      <c r="E296" s="24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5"/>
      <c r="D297" s="26"/>
      <c r="E297" s="24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5"/>
      <c r="D298" s="26"/>
      <c r="E298" s="24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5"/>
      <c r="D299" s="26"/>
      <c r="E299" s="24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5"/>
      <c r="D300" s="26"/>
      <c r="E300" s="24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5"/>
      <c r="D301" s="26"/>
      <c r="E301" s="24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