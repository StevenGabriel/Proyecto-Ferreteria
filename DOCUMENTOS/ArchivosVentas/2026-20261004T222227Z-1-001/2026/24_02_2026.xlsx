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<sst xmlns="http://schemas.openxmlformats.org/spreadsheetml/2006/main" count="125" uniqueCount="119">
  <si>
    <t>HOJA DE CALCULO FERRETERIA</t>
  </si>
  <si>
    <t>CODIGO</t>
  </si>
  <si>
    <t>CANTIDAD</t>
  </si>
  <si>
    <t>DESCRIPCION</t>
  </si>
  <si>
    <t>TOTAL</t>
  </si>
  <si>
    <t>HORA</t>
  </si>
  <si>
    <t>CUADRAR</t>
  </si>
  <si>
    <t>1kl</t>
  </si>
  <si>
    <t>clavo 31/2</t>
  </si>
  <si>
    <t>disco madera 7 uyus</t>
  </si>
  <si>
    <t>MONEDAS</t>
  </si>
  <si>
    <t>CAJA CHICA</t>
  </si>
  <si>
    <t>disco maderae 12 total</t>
  </si>
  <si>
    <t>BILLETES 10-20</t>
  </si>
  <si>
    <t>TOTAL VENTAS DIA</t>
  </si>
  <si>
    <t>1/2kl</t>
  </si>
  <si>
    <t>carburo</t>
  </si>
  <si>
    <t>BILLETES 50-100-200</t>
  </si>
  <si>
    <t>AUMENTO DE DINERO</t>
  </si>
  <si>
    <t>gafa</t>
  </si>
  <si>
    <t>INGRESOS YAPE</t>
  </si>
  <si>
    <t>12 par</t>
  </si>
  <si>
    <t>bisagra 1</t>
  </si>
  <si>
    <t>INGRESOS TARJETA</t>
  </si>
  <si>
    <t>llave stilson 24</t>
  </si>
  <si>
    <t>GASTOS VARIOS</t>
  </si>
  <si>
    <t>tiradondos</t>
  </si>
  <si>
    <t>ramplu 10</t>
  </si>
  <si>
    <t>DINERO GANADO HOY:</t>
  </si>
  <si>
    <t>CANTIDAD DINERO CAJA:</t>
  </si>
  <si>
    <t>debor oncreto 10</t>
  </si>
  <si>
    <t>gomitas</t>
  </si>
  <si>
    <t>juego desarmador uyus</t>
  </si>
  <si>
    <t>estilete</t>
  </si>
  <si>
    <t>abrazadera 3/4</t>
  </si>
  <si>
    <t>ramplu 6 + chip</t>
  </si>
  <si>
    <t xml:space="preserve">jalador </t>
  </si>
  <si>
    <t>YAPE MAMÁ</t>
  </si>
  <si>
    <t>YAPE PAPÁ</t>
  </si>
  <si>
    <t>jugao llaves allem</t>
  </si>
  <si>
    <t>orejera truper</t>
  </si>
  <si>
    <t>llave combinada 14</t>
  </si>
  <si>
    <t>guante m</t>
  </si>
  <si>
    <t>cinta asilante</t>
  </si>
  <si>
    <t>pie de amigo</t>
  </si>
  <si>
    <t>mandril</t>
  </si>
  <si>
    <t>cincel total</t>
  </si>
  <si>
    <t>sacabocado 15</t>
  </si>
  <si>
    <t>dado estriado 8</t>
  </si>
  <si>
    <t>espuma expanciva</t>
  </si>
  <si>
    <t>guante tr</t>
  </si>
  <si>
    <t>masquin 3/4</t>
  </si>
  <si>
    <t>disco galleta</t>
  </si>
  <si>
    <t>broca encastre 6</t>
  </si>
  <si>
    <t>calibrador</t>
  </si>
  <si>
    <t>espatula tr</t>
  </si>
  <si>
    <t>presostato</t>
  </si>
  <si>
    <t>grifo 1/2</t>
  </si>
  <si>
    <t xml:space="preserve">adaptador 1 </t>
  </si>
  <si>
    <t>copla 1</t>
  </si>
  <si>
    <t>codo 1/2</t>
  </si>
  <si>
    <t>codo 3/4</t>
  </si>
  <si>
    <t>reduccopn buje 3/4 a 1/2</t>
  </si>
  <si>
    <t>adaptador 1/2</t>
  </si>
  <si>
    <t>teflon</t>
  </si>
  <si>
    <t>semicodo 1/2</t>
  </si>
  <si>
    <t>adaptador 5/8 a 1/2</t>
  </si>
  <si>
    <t>disco galleta norto</t>
  </si>
  <si>
    <t>disoc galleta uyus</t>
  </si>
  <si>
    <t>broca fierro 8</t>
  </si>
  <si>
    <t>broca para teja</t>
  </si>
  <si>
    <t>tarraja 1/2</t>
  </si>
  <si>
    <t>copla 1/2 tigre</t>
  </si>
  <si>
    <t>telflon</t>
  </si>
  <si>
    <t>ducha lorenzety</t>
  </si>
  <si>
    <t>1m</t>
  </si>
  <si>
    <t>lija 220</t>
  </si>
  <si>
    <t>pico de grifo 1/2</t>
  </si>
  <si>
    <t>aldaba</t>
  </si>
  <si>
    <t>sierra ncihoson</t>
  </si>
  <si>
    <t>hilo traontia</t>
  </si>
  <si>
    <t>mariposa</t>
  </si>
  <si>
    <t>abrazxaera 3/4</t>
  </si>
  <si>
    <t>manguera degas</t>
  </si>
  <si>
    <t>gomita gas</t>
  </si>
  <si>
    <t>disco flap</t>
  </si>
  <si>
    <t>cautin ferrawi 150w</t>
  </si>
  <si>
    <t>abrazadera 1/2 1 oreja</t>
  </si>
  <si>
    <t>foco 40w</t>
  </si>
  <si>
    <t>1,5m</t>
  </si>
  <si>
    <t>mangueragas</t>
  </si>
  <si>
    <t>masilla epoxica</t>
  </si>
  <si>
    <t>grifo de plastica 1/2</t>
  </si>
  <si>
    <t>llave allem 6</t>
  </si>
  <si>
    <t>pistola siliocna tr</t>
  </si>
  <si>
    <t>alargador uyus 7m</t>
  </si>
  <si>
    <t>alargador ultra 5m</t>
  </si>
  <si>
    <t>barras de silicona 1/2</t>
  </si>
  <si>
    <t>combo de 2 kl</t>
  </si>
  <si>
    <t xml:space="preserve">grifo atlas </t>
  </si>
  <si>
    <t>grifo lavamanos fv</t>
  </si>
  <si>
    <t>escuadra truper</t>
  </si>
  <si>
    <t>m alubanda</t>
  </si>
  <si>
    <t>poxipol</t>
  </si>
  <si>
    <t>broca teja durali</t>
  </si>
  <si>
    <t>llave combinamda 14</t>
  </si>
  <si>
    <t>dado 1/4 14mm</t>
  </si>
  <si>
    <t xml:space="preserve">m  alambre 14 </t>
  </si>
  <si>
    <t>cautin 80 w</t>
  </si>
  <si>
    <t>cina aislante</t>
  </si>
  <si>
    <t>disco fe</t>
  </si>
  <si>
    <t>borax</t>
  </si>
  <si>
    <t>sintetica 220 bl</t>
  </si>
  <si>
    <t xml:space="preserve">m perlo </t>
  </si>
  <si>
    <t>union patente</t>
  </si>
  <si>
    <t>broca fierro 1,5</t>
  </si>
  <si>
    <t>broca fierro 2</t>
  </si>
  <si>
    <t>soquet con caden</t>
  </si>
  <si>
    <t>foco philip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</si>
</sst>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 t="s">
        <v>7</v>
      </c>
      <c r="C8" s="7" t="s">
        <v>8</v>
      </c>
      <c r="D8" s="6">
        <v>20.0</v>
      </c>
      <c r="E8" s="8">
        <v>46077.35806092592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9</v>
      </c>
      <c r="D9" s="6">
        <v>50.0</v>
      </c>
      <c r="E9" s="8">
        <v>46077.36599081018</v>
      </c>
      <c r="F9" s="2"/>
      <c r="G9" s="9" t="s">
        <v>10</v>
      </c>
      <c r="H9" s="10">
        <v>95.0</v>
      </c>
      <c r="I9" s="2"/>
      <c r="J9" s="9" t="s">
        <v>11</v>
      </c>
      <c r="K9" s="10">
        <v>561.5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12</v>
      </c>
      <c r="D10" s="6">
        <v>256.0</v>
      </c>
      <c r="E10" s="8">
        <v>46077.366104305554</v>
      </c>
      <c r="F10" s="2"/>
      <c r="G10" s="9" t="s">
        <v>13</v>
      </c>
      <c r="H10" s="10">
        <v>370.0</v>
      </c>
      <c r="I10" s="2"/>
      <c r="J10" s="9" t="s">
        <v>14</v>
      </c>
      <c r="K10" s="11">
        <f>SUM(PRINCIPAL[TOTAL])</f>
        <v>4086.5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15</v>
      </c>
      <c r="C11" s="7" t="s">
        <v>16</v>
      </c>
      <c r="D11" s="6">
        <v>15.5</v>
      </c>
      <c r="E11" s="8">
        <v>46077.37029284722</v>
      </c>
      <c r="F11" s="2"/>
      <c r="G11" s="9" t="s">
        <v>17</v>
      </c>
      <c r="H11" s="10">
        <v>2250.0</v>
      </c>
      <c r="I11" s="2"/>
      <c r="J11" s="9" t="s">
        <v>18</v>
      </c>
      <c r="K11" s="10">
        <v>180.0</v>
      </c>
      <c r="L11" s="2"/>
      <c r="M11" s="2"/>
      <c r="N11" s="2"/>
      <c r="O11" s="2"/>
      <c r="P11" s="2"/>
      <c r="Q11" s="2"/>
    </row>
    <row r="12" ht="22.5" customHeight="1">
      <c r="A12" s="6">
        <v>14302.0</v>
      </c>
      <c r="B12" s="6">
        <v>1.0</v>
      </c>
      <c r="C12" s="7" t="s">
        <v>19</v>
      </c>
      <c r="D12" s="6">
        <v>28.0</v>
      </c>
      <c r="E12" s="8">
        <v>46077.375208391204</v>
      </c>
      <c r="F12" s="2"/>
      <c r="G12" s="9" t="s">
        <v>20</v>
      </c>
      <c r="H12" s="12">
        <f>SUM(G24:H361)</f>
        <v>2112.5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 t="s">
        <v>21</v>
      </c>
      <c r="C13" s="7" t="s">
        <v>22</v>
      </c>
      <c r="D13" s="6">
        <v>30.0</v>
      </c>
      <c r="E13" s="8">
        <v>46077.375360844904</v>
      </c>
      <c r="F13" s="2"/>
      <c r="G13" s="9" t="s">
        <v>23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24</v>
      </c>
      <c r="D14" s="6">
        <v>215.0</v>
      </c>
      <c r="E14" s="8">
        <v>46077.378363553245</v>
      </c>
      <c r="F14" s="2"/>
      <c r="G14" s="9" t="s">
        <v>25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4.0</v>
      </c>
      <c r="C15" s="7" t="s">
        <v>26</v>
      </c>
      <c r="D15" s="6">
        <v>3.5</v>
      </c>
      <c r="E15" s="8">
        <v>46077.37848914352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4.0</v>
      </c>
      <c r="C16" s="7" t="s">
        <v>27</v>
      </c>
      <c r="D16" s="6">
        <v>1.5</v>
      </c>
      <c r="E16" s="8">
        <v>46077.378782824075</v>
      </c>
      <c r="F16" s="2"/>
      <c r="G16" s="15" t="s">
        <v>28</v>
      </c>
      <c r="H16" s="16">
        <f>SUM(H9:H14)</f>
        <v>4827.5</v>
      </c>
      <c r="I16" s="3"/>
      <c r="J16" s="15" t="s">
        <v>29</v>
      </c>
      <c r="K16" s="16">
        <f>SUM(K9:K11)</f>
        <v>4828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30</v>
      </c>
      <c r="D17" s="6">
        <v>26.0</v>
      </c>
      <c r="E17" s="8">
        <v>46077.37894016204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4.0</v>
      </c>
      <c r="C18" s="7" t="s">
        <v>31</v>
      </c>
      <c r="D18" s="6">
        <v>2.0</v>
      </c>
      <c r="E18" s="8">
        <v>46077.37913427083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0,50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32</v>
      </c>
      <c r="D19" s="6">
        <v>68.0</v>
      </c>
      <c r="E19" s="8">
        <v>46077.37960356481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33</v>
      </c>
      <c r="D20" s="6">
        <v>35.0</v>
      </c>
      <c r="E20" s="8">
        <v>46077.392297569444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6.0</v>
      </c>
      <c r="C21" s="7" t="s">
        <v>34</v>
      </c>
      <c r="D21" s="6">
        <v>15.0</v>
      </c>
      <c r="E21" s="8">
        <v>46077.3973696412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6.0</v>
      </c>
      <c r="C22" s="7" t="s">
        <v>35</v>
      </c>
      <c r="D22" s="6">
        <v>2.0</v>
      </c>
      <c r="E22" s="8">
        <v>46077.39752478009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3.0</v>
      </c>
      <c r="C23" s="7" t="s">
        <v>36</v>
      </c>
      <c r="D23" s="6">
        <v>60.0</v>
      </c>
      <c r="E23" s="8">
        <v>46077.39954034722</v>
      </c>
      <c r="F23" s="2"/>
      <c r="G23" s="19" t="s">
        <v>37</v>
      </c>
      <c r="H23" s="19" t="s">
        <v>38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39</v>
      </c>
      <c r="D24" s="6">
        <v>102.0</v>
      </c>
      <c r="E24" s="8">
        <v>46077.40972880787</v>
      </c>
      <c r="F24" s="2"/>
      <c r="G24" s="20">
        <v>306.0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100.0</v>
      </c>
      <c r="E25" s="8">
        <v>46077.41907753472</v>
      </c>
      <c r="F25" s="2"/>
      <c r="G25" s="20">
        <v>248.0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22.0</v>
      </c>
      <c r="E26" s="8">
        <v>46077.42326675926</v>
      </c>
      <c r="F26" s="2"/>
      <c r="G26" s="22">
        <v>68.0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10.0</v>
      </c>
      <c r="E27" s="8">
        <v>46077.42963416666</v>
      </c>
      <c r="F27" s="2"/>
      <c r="G27" s="20">
        <v>10.0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9.0</v>
      </c>
      <c r="E28" s="8">
        <v>46077.430516238426</v>
      </c>
      <c r="F28" s="2"/>
      <c r="G28" s="20">
        <v>238.0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4.0</v>
      </c>
      <c r="C29" s="7" t="s">
        <v>44</v>
      </c>
      <c r="D29" s="6">
        <v>8.0</v>
      </c>
      <c r="E29" s="8">
        <v>46077.43246487269</v>
      </c>
      <c r="F29" s="2"/>
      <c r="G29" s="20">
        <v>170.0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73.0</v>
      </c>
      <c r="E30" s="8">
        <v>46077.43650600694</v>
      </c>
      <c r="F30" s="2"/>
      <c r="G30" s="20">
        <v>217.5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46</v>
      </c>
      <c r="D31" s="6">
        <v>70.0</v>
      </c>
      <c r="E31" s="8">
        <v>46077.450841412036</v>
      </c>
      <c r="F31" s="2"/>
      <c r="G31" s="20">
        <v>8.0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46</v>
      </c>
      <c r="D32" s="6">
        <v>90.0</v>
      </c>
      <c r="E32" s="8">
        <v>46077.450910416665</v>
      </c>
      <c r="F32" s="2"/>
      <c r="G32" s="20">
        <v>21.0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47</v>
      </c>
      <c r="D33" s="6">
        <v>78.0</v>
      </c>
      <c r="E33" s="8">
        <v>46077.45099331018</v>
      </c>
      <c r="F33" s="2"/>
      <c r="G33" s="20">
        <v>54.0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29.0</v>
      </c>
      <c r="E34" s="8">
        <v>46077.46375091435</v>
      </c>
      <c r="F34" s="2"/>
      <c r="G34" s="20">
        <v>59.5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49</v>
      </c>
      <c r="D35" s="6">
        <v>81.0</v>
      </c>
      <c r="E35" s="8">
        <v>46077.47094435185</v>
      </c>
      <c r="F35" s="2"/>
      <c r="G35" s="20">
        <v>99.0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4.0</v>
      </c>
      <c r="C36" s="7" t="s">
        <v>50</v>
      </c>
      <c r="D36" s="6">
        <v>80.0</v>
      </c>
      <c r="E36" s="8">
        <v>46077.470969953705</v>
      </c>
      <c r="F36" s="2"/>
      <c r="G36" s="20">
        <v>60.0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51</v>
      </c>
      <c r="D37" s="6">
        <v>9.0</v>
      </c>
      <c r="E37" s="8">
        <v>46077.47101228009</v>
      </c>
      <c r="F37" s="2"/>
      <c r="G37" s="20">
        <v>456.0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52</v>
      </c>
      <c r="D38" s="6">
        <v>5.0</v>
      </c>
      <c r="E38" s="8">
        <v>46077.477254791665</v>
      </c>
      <c r="F38" s="2"/>
      <c r="G38" s="20">
        <v>17.0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53</v>
      </c>
      <c r="D39" s="6">
        <v>16.0</v>
      </c>
      <c r="E39" s="8">
        <v>46077.48617212963</v>
      </c>
      <c r="F39" s="2"/>
      <c r="G39" s="20">
        <v>43.0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54</v>
      </c>
      <c r="D40" s="6">
        <v>47.5</v>
      </c>
      <c r="E40" s="8">
        <v>46077.50114532407</v>
      </c>
      <c r="F40" s="2"/>
      <c r="G40" s="20">
        <v>37.5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55</v>
      </c>
      <c r="D41" s="6">
        <v>47.5</v>
      </c>
      <c r="E41" s="8">
        <v>46077.501286307874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56</v>
      </c>
      <c r="D42" s="6">
        <v>72.0</v>
      </c>
      <c r="E42" s="8">
        <v>46077.53086061343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57</v>
      </c>
      <c r="D43" s="6">
        <v>60.0</v>
      </c>
      <c r="E43" s="8">
        <v>46077.53093518519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3.0</v>
      </c>
      <c r="C44" s="7" t="s">
        <v>58</v>
      </c>
      <c r="D44" s="6">
        <v>18.0</v>
      </c>
      <c r="E44" s="8">
        <v>46077.53165806713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4.0</v>
      </c>
      <c r="C45" s="7" t="s">
        <v>59</v>
      </c>
      <c r="D45" s="6">
        <v>28.0</v>
      </c>
      <c r="E45" s="8">
        <v>46077.53172216435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4.0</v>
      </c>
      <c r="C46" s="7" t="s">
        <v>60</v>
      </c>
      <c r="D46" s="6">
        <v>16.0</v>
      </c>
      <c r="E46" s="8">
        <v>46077.533471435185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61</v>
      </c>
      <c r="D47" s="6">
        <v>6.0</v>
      </c>
      <c r="E47" s="8">
        <v>46077.533507534725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62</v>
      </c>
      <c r="D48" s="6">
        <v>2.5</v>
      </c>
      <c r="E48" s="8">
        <v>46077.53372614583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2.5</v>
      </c>
      <c r="E49" s="8">
        <v>46077.53379678241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3.0</v>
      </c>
      <c r="C50" s="7" t="s">
        <v>64</v>
      </c>
      <c r="D50" s="6">
        <v>9.0</v>
      </c>
      <c r="E50" s="8">
        <v>46077.53387509259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65</v>
      </c>
      <c r="D51" s="6">
        <v>3.5</v>
      </c>
      <c r="E51" s="8">
        <v>46077.53395946759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8.0</v>
      </c>
      <c r="E52" s="8">
        <v>46077.53779321759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67</v>
      </c>
      <c r="D53" s="6">
        <v>16.0</v>
      </c>
      <c r="E53" s="8">
        <v>46077.5428355787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68</v>
      </c>
      <c r="D54" s="6">
        <v>5.0</v>
      </c>
      <c r="E54" s="8">
        <v>46077.543319398144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69</v>
      </c>
      <c r="D55" s="6">
        <v>54.0</v>
      </c>
      <c r="E55" s="8">
        <v>46077.54356255787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70</v>
      </c>
      <c r="D56" s="6">
        <v>36.0</v>
      </c>
      <c r="E56" s="8">
        <v>46077.54782373842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71</v>
      </c>
      <c r="D57" s="6">
        <v>40.0</v>
      </c>
      <c r="E57" s="8">
        <v>46077.54996878472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72</v>
      </c>
      <c r="D58" s="6">
        <v>6.0</v>
      </c>
      <c r="E58" s="8">
        <v>46077.55011660879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3.0</v>
      </c>
      <c r="E59" s="8">
        <v>46077.55018164351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74</v>
      </c>
      <c r="D60" s="6">
        <v>140.0</v>
      </c>
      <c r="E60" s="8">
        <v>46077.550641388894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 t="s">
        <v>75</v>
      </c>
      <c r="C61" s="7" t="s">
        <v>76</v>
      </c>
      <c r="D61" s="6">
        <v>14.0</v>
      </c>
      <c r="E61" s="8">
        <v>46077.55420267361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34</v>
      </c>
      <c r="D62" s="6">
        <v>2.5</v>
      </c>
      <c r="E62" s="8">
        <v>46077.55428224537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77</v>
      </c>
      <c r="D63" s="6">
        <v>13.0</v>
      </c>
      <c r="E63" s="8">
        <v>46077.554345868055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49</v>
      </c>
      <c r="D64" s="6">
        <v>57.0</v>
      </c>
      <c r="E64" s="8">
        <v>46077.554628541664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78</v>
      </c>
      <c r="D65" s="6">
        <v>2.5</v>
      </c>
      <c r="E65" s="8">
        <v>46077.554701030094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79</v>
      </c>
      <c r="D66" s="6">
        <v>15.0</v>
      </c>
      <c r="E66" s="8">
        <v>46077.55819084491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80</v>
      </c>
      <c r="D67" s="6">
        <v>45.0</v>
      </c>
      <c r="E67" s="8">
        <v>46077.55828755787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81</v>
      </c>
      <c r="D68" s="6">
        <v>12.0</v>
      </c>
      <c r="E68" s="8">
        <v>46077.58231452546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82</v>
      </c>
      <c r="D69" s="6">
        <v>6.0</v>
      </c>
      <c r="E69" s="8">
        <v>46077.58237152778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1.5</v>
      </c>
      <c r="C70" s="7" t="s">
        <v>83</v>
      </c>
      <c r="D70" s="6">
        <v>18.0</v>
      </c>
      <c r="E70" s="8">
        <v>46077.58254315972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84</v>
      </c>
      <c r="D71" s="6">
        <v>4.0</v>
      </c>
      <c r="E71" s="8">
        <v>46077.582486203704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85</v>
      </c>
      <c r="D72" s="6">
        <v>24.0</v>
      </c>
      <c r="E72" s="8">
        <v>46077.58479129629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86</v>
      </c>
      <c r="D73" s="6">
        <v>75.0</v>
      </c>
      <c r="E73" s="8">
        <v>46077.58664572917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64</v>
      </c>
      <c r="D74" s="6">
        <v>6.0</v>
      </c>
      <c r="E74" s="8">
        <v>46077.598242002314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2.0</v>
      </c>
      <c r="C75" s="7" t="s">
        <v>87</v>
      </c>
      <c r="D75" s="6">
        <v>5.0</v>
      </c>
      <c r="E75" s="23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35</v>
      </c>
      <c r="D76" s="6">
        <v>1.0</v>
      </c>
      <c r="E76" s="8">
        <v>46077.59824987268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88</v>
      </c>
      <c r="D77" s="6">
        <v>53.0</v>
      </c>
      <c r="E77" s="8">
        <v>46077.599729016205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 t="s">
        <v>89</v>
      </c>
      <c r="C78" s="7" t="s">
        <v>90</v>
      </c>
      <c r="D78" s="6">
        <v>15.0</v>
      </c>
      <c r="E78" s="8">
        <v>46077.601957314815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91</v>
      </c>
      <c r="D79" s="6">
        <v>48.0</v>
      </c>
      <c r="E79" s="8">
        <v>46077.60518679398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92</v>
      </c>
      <c r="D80" s="6">
        <v>60.0</v>
      </c>
      <c r="E80" s="8">
        <v>46077.608717511575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93</v>
      </c>
      <c r="D81" s="6">
        <v>10.0</v>
      </c>
      <c r="E81" s="8">
        <v>46077.61960020833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2.0</v>
      </c>
      <c r="C82" s="7" t="s">
        <v>94</v>
      </c>
      <c r="D82" s="6">
        <v>196.0</v>
      </c>
      <c r="E82" s="8">
        <v>46077.62984010417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95</v>
      </c>
      <c r="D83" s="6">
        <v>75.0</v>
      </c>
      <c r="E83" s="8">
        <v>46077.62996394676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96</v>
      </c>
      <c r="D84" s="6">
        <v>45.0</v>
      </c>
      <c r="E84" s="8">
        <v>46077.630067499995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35.0</v>
      </c>
      <c r="C85" s="7" t="s">
        <v>97</v>
      </c>
      <c r="D85" s="6">
        <v>140.0</v>
      </c>
      <c r="E85" s="8">
        <v>46077.63022878472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98</v>
      </c>
      <c r="D86" s="6">
        <v>119.0</v>
      </c>
      <c r="E86" s="8">
        <v>46077.64501471065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99</v>
      </c>
      <c r="D87" s="6">
        <v>120.0</v>
      </c>
      <c r="E87" s="8">
        <v>46077.64876438657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100</v>
      </c>
      <c r="D88" s="6">
        <v>125.0</v>
      </c>
      <c r="E88" s="8">
        <v>46077.648905636575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101</v>
      </c>
      <c r="D89" s="6">
        <v>110.0</v>
      </c>
      <c r="E89" s="8">
        <v>46077.67727850695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5.0</v>
      </c>
      <c r="C90" s="7" t="s">
        <v>102</v>
      </c>
      <c r="D90" s="6">
        <v>160.0</v>
      </c>
      <c r="E90" s="8">
        <v>46077.67766342593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2.0</v>
      </c>
      <c r="C91" s="7" t="s">
        <v>64</v>
      </c>
      <c r="D91" s="6">
        <v>6.0</v>
      </c>
      <c r="E91" s="8">
        <v>46077.677744120374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103</v>
      </c>
      <c r="D92" s="6">
        <v>38.0</v>
      </c>
      <c r="E92" s="8">
        <v>46077.677793738425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104</v>
      </c>
      <c r="D93" s="6">
        <v>13.0</v>
      </c>
      <c r="E93" s="8">
        <v>46077.67796693287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105</v>
      </c>
      <c r="D94" s="6">
        <v>25.0</v>
      </c>
      <c r="E94" s="8">
        <v>46077.67877407407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106</v>
      </c>
      <c r="D95" s="6">
        <v>18.0</v>
      </c>
      <c r="E95" s="8">
        <v>46077.678846979165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107</v>
      </c>
      <c r="D96" s="6">
        <v>7.5</v>
      </c>
      <c r="E96" s="8">
        <v>46077.69836365741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108</v>
      </c>
      <c r="D97" s="6">
        <v>30.0</v>
      </c>
      <c r="E97" s="8">
        <v>46077.69852199074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109</v>
      </c>
      <c r="D98" s="6">
        <v>9.0</v>
      </c>
      <c r="E98" s="8">
        <v>46077.70028266204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2.0</v>
      </c>
      <c r="C99" s="7" t="s">
        <v>110</v>
      </c>
      <c r="D99" s="6">
        <v>10.0</v>
      </c>
      <c r="E99" s="8">
        <v>46077.709820034725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111</v>
      </c>
      <c r="D100" s="6">
        <v>8.0</v>
      </c>
      <c r="E100" s="8">
        <v>46077.710036018514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112</v>
      </c>
      <c r="D101" s="6">
        <v>19.0</v>
      </c>
      <c r="E101" s="8">
        <v>46077.7143367824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5.0</v>
      </c>
      <c r="C102" s="7" t="s">
        <v>113</v>
      </c>
      <c r="D102" s="6">
        <v>20.0</v>
      </c>
      <c r="E102" s="8">
        <v>46077.71442418981</v>
      </c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114</v>
      </c>
      <c r="D103" s="6">
        <v>9.0</v>
      </c>
      <c r="E103" s="8">
        <v>46077.722575798616</v>
      </c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5.0</v>
      </c>
      <c r="C104" s="7" t="s">
        <v>115</v>
      </c>
      <c r="D104" s="6">
        <v>45.0</v>
      </c>
      <c r="E104" s="8">
        <v>46077.72700269676</v>
      </c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116</v>
      </c>
      <c r="D105" s="6">
        <v>9.0</v>
      </c>
      <c r="E105" s="8">
        <v>46077.727080358796</v>
      </c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117</v>
      </c>
      <c r="D106" s="6">
        <v>10.0</v>
      </c>
      <c r="E106" s="8">
        <v>46077.73853097222</v>
      </c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118</v>
      </c>
      <c r="D107" s="6">
        <v>4.0</v>
      </c>
      <c r="E107" s="8">
        <v>46077.73871990741</v>
      </c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3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3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3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3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3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3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3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3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3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3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3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3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3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3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3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3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3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3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3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3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3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3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3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3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3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3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3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3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3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3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3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3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3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3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3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3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3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3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3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3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3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3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3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3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3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3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3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3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3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3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3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3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3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3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3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3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3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3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3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3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3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3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3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3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3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3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3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3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3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3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3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3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3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3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3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3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3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3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3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3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3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3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3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3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3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3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3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3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3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3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3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3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3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3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3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3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3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3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3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3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3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3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3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3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3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3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3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3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3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3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3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3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3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3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3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3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3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3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3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3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3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3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3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3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3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3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3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3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3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3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3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3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3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3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3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3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3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3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3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3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3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3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3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3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3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3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3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3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3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3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3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3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3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3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3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3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3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3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3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3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3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3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3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3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3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3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3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3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3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3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3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3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3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3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3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3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3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3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3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3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3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3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3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3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3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3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3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3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3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3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3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3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3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3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