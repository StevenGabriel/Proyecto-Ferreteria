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<sst xmlns="http://schemas.openxmlformats.org/spreadsheetml/2006/main" count="125" uniqueCount="121">
  <si>
    <t>HOJA DE CALCULO FERRETERIA</t>
  </si>
  <si>
    <t>CODIGO</t>
  </si>
  <si>
    <t>CANTIDAD</t>
  </si>
  <si>
    <t>DESCRIPCION</t>
  </si>
  <si>
    <t>TOTAL</t>
  </si>
  <si>
    <t>HORA</t>
  </si>
  <si>
    <t>CUADRAR</t>
  </si>
  <si>
    <t>teflon</t>
  </si>
  <si>
    <t>4m</t>
  </si>
  <si>
    <t>perlon 3</t>
  </si>
  <si>
    <t>MONEDAS</t>
  </si>
  <si>
    <t>CAJA CHICA</t>
  </si>
  <si>
    <t>perlon 5</t>
  </si>
  <si>
    <t>BILLETES 10-20</t>
  </si>
  <si>
    <t>TOTAL VENTAS DIA</t>
  </si>
  <si>
    <t>3m</t>
  </si>
  <si>
    <t>manguera 1/2</t>
  </si>
  <si>
    <t>BILLETES 50-100-200</t>
  </si>
  <si>
    <t>AUMENTO DE DINERO</t>
  </si>
  <si>
    <t>union mangueras 1/2</t>
  </si>
  <si>
    <t>INGRESOS YAPE</t>
  </si>
  <si>
    <t>escamocita 1/2kl</t>
  </si>
  <si>
    <t>INGRESOS TARJETA</t>
  </si>
  <si>
    <t>escoba para escombro</t>
  </si>
  <si>
    <t>GASTOS VARIOS</t>
  </si>
  <si>
    <t>candadottr</t>
  </si>
  <si>
    <t>tarraja 1 1/4</t>
  </si>
  <si>
    <t>DINERO GANADO HOY:</t>
  </si>
  <si>
    <t>CANTIDAD DINERO CAJA:</t>
  </si>
  <si>
    <t>14par</t>
  </si>
  <si>
    <t>bisagra reforda 3</t>
  </si>
  <si>
    <t>grampas</t>
  </si>
  <si>
    <t>clavijas</t>
  </si>
  <si>
    <t>codo 1/2 tigre</t>
  </si>
  <si>
    <t>nipl 1/2 tigre</t>
  </si>
  <si>
    <t>15m</t>
  </si>
  <si>
    <t>alambre 12 7h</t>
  </si>
  <si>
    <t>alambre 14 7h</t>
  </si>
  <si>
    <t>YAPE MAMÁ</t>
  </si>
  <si>
    <t>YAPE PAPÁ</t>
  </si>
  <si>
    <t>YAPE</t>
  </si>
  <si>
    <t>cinta asiate</t>
  </si>
  <si>
    <t>Monto Total YAPE (No tocar):</t>
  </si>
  <si>
    <t>placa triple</t>
  </si>
  <si>
    <t>modulo toma</t>
  </si>
  <si>
    <t>Monto Total Registrado en aplicacion</t>
  </si>
  <si>
    <t>modulo interruptor</t>
  </si>
  <si>
    <t>casquete</t>
  </si>
  <si>
    <t>cubre cable 20x10</t>
  </si>
  <si>
    <t>chicotillo 70</t>
  </si>
  <si>
    <t>ramplu 6</t>
  </si>
  <si>
    <t>chip 4x35</t>
  </si>
  <si>
    <t>broca concreto 6</t>
  </si>
  <si>
    <t>tapa cieg</t>
  </si>
  <si>
    <t>PAGOS YAPE</t>
  </si>
  <si>
    <t>DESCRIPCION PAGO</t>
  </si>
  <si>
    <t>LENTES VELMAN</t>
  </si>
  <si>
    <t>BROCHA ROJAS 2</t>
  </si>
  <si>
    <t>GUANTE ASTEX</t>
  </si>
  <si>
    <t>BROCA FIERRO DEBOR</t>
  </si>
  <si>
    <t xml:space="preserve">ALICATE TOSEN </t>
  </si>
  <si>
    <t>MANGUERA GASOLINA</t>
  </si>
  <si>
    <t>REGULADRO DE GAS</t>
  </si>
  <si>
    <t>BOTON JALADO</t>
  </si>
  <si>
    <t>ABRAZADETAS</t>
  </si>
  <si>
    <t>CUBRE CABLE 8*15</t>
  </si>
  <si>
    <t xml:space="preserve">PORG PAPLER </t>
  </si>
  <si>
    <t>GOMA LAVANDERA</t>
  </si>
  <si>
    <t>REGILLA LAVAPLAOT</t>
  </si>
  <si>
    <t>CHAPA TRAVEX</t>
  </si>
  <si>
    <t>TEFLON</t>
  </si>
  <si>
    <t>POXILONA</t>
  </si>
  <si>
    <t>CHIP 4X20</t>
  </si>
  <si>
    <t>GUANTE LICRA</t>
  </si>
  <si>
    <t>SOPLETE PARA GAS</t>
  </si>
  <si>
    <t>CLAVIJA HEMBRA</t>
  </si>
  <si>
    <t xml:space="preserve">CANDODO HERMEX </t>
  </si>
  <si>
    <t>CODO 3/4</t>
  </si>
  <si>
    <t>ADAPTADOR 3/4</t>
  </si>
  <si>
    <t>3M</t>
  </si>
  <si>
    <t>MANGUERA 5/16</t>
  </si>
  <si>
    <t>REDUCCION 3/4X1/2</t>
  </si>
  <si>
    <t>TOKE</t>
  </si>
  <si>
    <t>SEMIODO 3/4 FG</t>
  </si>
  <si>
    <t>CANDADO TR</t>
  </si>
  <si>
    <t>A40</t>
  </si>
  <si>
    <t>YESO</t>
  </si>
  <si>
    <t>TALADRO INALAMBRICO</t>
  </si>
  <si>
    <t xml:space="preserve">CADENA </t>
  </si>
  <si>
    <t>GUANTE ASATE</t>
  </si>
  <si>
    <t>MASQIN 3/4</t>
  </si>
  <si>
    <t>GRIFO GOLDEN</t>
  </si>
  <si>
    <t>TEFN</t>
  </si>
  <si>
    <t>GRIFO 1/2 EKO</t>
  </si>
  <si>
    <t>PICAPORTE</t>
  </si>
  <si>
    <t>BROCA IRWIN 5</t>
  </si>
  <si>
    <t>SEMIC ODO</t>
  </si>
  <si>
    <t>KIT TIJERAS JADEVER</t>
  </si>
  <si>
    <t>PISTOLA SILICONA</t>
  </si>
  <si>
    <t>SILICONA TRANS</t>
  </si>
  <si>
    <t>ECOLE</t>
  </si>
  <si>
    <t>CINA AISLANE</t>
  </si>
  <si>
    <t>CBLA COAXCUAK</t>
  </si>
  <si>
    <t>SPLETER</t>
  </si>
  <si>
    <t>NIPLE TV CABLE</t>
  </si>
  <si>
    <t>RESISTENCIA</t>
  </si>
  <si>
    <t>REGLETAS</t>
  </si>
  <si>
    <t>PRESINTO 20CM</t>
  </si>
  <si>
    <t>CHIP 4-5X35</t>
  </si>
  <si>
    <t>ABRAZADERA 1</t>
  </si>
  <si>
    <t>CANDADO</t>
  </si>
  <si>
    <t>ARMELLA</t>
  </si>
  <si>
    <t>CINTA ASIANTE</t>
  </si>
  <si>
    <t>ABLE B´LAR</t>
  </si>
  <si>
    <t>TIJERA DE PODAR TRAMOTNA</t>
  </si>
  <si>
    <t>CAVADORA TRUPER</t>
  </si>
  <si>
    <t>TENASA TRUPER</t>
  </si>
  <si>
    <t>BARRENO</t>
  </si>
  <si>
    <t>KL ALMBRE DE AMARRE</t>
  </si>
  <si>
    <t xml:space="preserve">ESCALERA MOR </t>
  </si>
  <si>
    <t>PER HEX 5/16*4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</si>
</sst>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1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3.0</v>
      </c>
      <c r="C8" s="7" t="s">
        <v>7</v>
      </c>
      <c r="D8" s="6">
        <v>9.0</v>
      </c>
      <c r="E8" s="8">
        <v>46207.34797483796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 t="s">
        <v>8</v>
      </c>
      <c r="C9" s="7" t="s">
        <v>9</v>
      </c>
      <c r="D9" s="6">
        <v>6.0</v>
      </c>
      <c r="E9" s="8">
        <v>46207.38393469907</v>
      </c>
      <c r="F9" s="2"/>
      <c r="G9" s="9" t="s">
        <v>10</v>
      </c>
      <c r="H9" s="10">
        <v>660.0</v>
      </c>
      <c r="I9" s="2"/>
      <c r="J9" s="9" t="s">
        <v>11</v>
      </c>
      <c r="K9" s="10">
        <v>488.0</v>
      </c>
      <c r="L9" s="2"/>
      <c r="M9" s="2"/>
      <c r="N9" s="2"/>
      <c r="O9" s="2"/>
      <c r="P9" s="2"/>
      <c r="Q9" s="2"/>
    </row>
    <row r="10" ht="22.5" customHeight="1">
      <c r="A10" s="6"/>
      <c r="B10" s="6">
        <v>2.5</v>
      </c>
      <c r="C10" s="7" t="s">
        <v>12</v>
      </c>
      <c r="D10" s="6">
        <v>7.5</v>
      </c>
      <c r="E10" s="8">
        <v>46207.38405641203</v>
      </c>
      <c r="F10" s="2"/>
      <c r="G10" s="9" t="s">
        <v>13</v>
      </c>
      <c r="H10" s="10">
        <v>230.0</v>
      </c>
      <c r="I10" s="2"/>
      <c r="J10" s="9" t="s">
        <v>14</v>
      </c>
      <c r="K10" s="11">
        <f>SUM(PRINCIPAL[TOTAL])</f>
        <v>5717.5</v>
      </c>
      <c r="L10" s="2"/>
      <c r="M10" s="2"/>
      <c r="N10" s="2"/>
      <c r="O10" s="2"/>
      <c r="P10" s="2"/>
      <c r="Q10" s="2"/>
    </row>
    <row r="11" ht="22.5" customHeight="1">
      <c r="A11" s="6"/>
      <c r="B11" s="6" t="s">
        <v>15</v>
      </c>
      <c r="C11" s="7" t="s">
        <v>16</v>
      </c>
      <c r="D11" s="6">
        <v>21.0</v>
      </c>
      <c r="E11" s="8">
        <v>46207.384321875</v>
      </c>
      <c r="F11" s="2"/>
      <c r="G11" s="9" t="s">
        <v>17</v>
      </c>
      <c r="H11" s="10">
        <v>2850.0</v>
      </c>
      <c r="I11" s="2"/>
      <c r="J11" s="9" t="s">
        <v>18</v>
      </c>
      <c r="K11" s="10">
        <v>100.0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19</v>
      </c>
      <c r="D12" s="6">
        <v>8.0</v>
      </c>
      <c r="E12" s="8">
        <v>46207.38442642361</v>
      </c>
      <c r="F12" s="2"/>
      <c r="G12" s="9" t="s">
        <v>20</v>
      </c>
      <c r="H12" s="12">
        <f>SUM(G24:H361)</f>
        <v>2569.5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21</v>
      </c>
      <c r="D13" s="6">
        <v>22.0</v>
      </c>
      <c r="E13" s="8">
        <v>46207.391951111116</v>
      </c>
      <c r="F13" s="2"/>
      <c r="G13" s="9" t="s">
        <v>22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23</v>
      </c>
      <c r="D14" s="6">
        <v>140.0</v>
      </c>
      <c r="E14" s="8">
        <v>46207.394525497686</v>
      </c>
      <c r="F14" s="2"/>
      <c r="G14" s="9" t="s">
        <v>24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25</v>
      </c>
      <c r="D15" s="6">
        <v>138.0</v>
      </c>
      <c r="E15" s="8">
        <v>46207.394660509264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26</v>
      </c>
      <c r="D16" s="6">
        <v>175.0</v>
      </c>
      <c r="E16" s="8">
        <v>46207.398129733796</v>
      </c>
      <c r="F16" s="2"/>
      <c r="G16" s="15" t="s">
        <v>27</v>
      </c>
      <c r="H16" s="16">
        <f>SUM(H9:H14)</f>
        <v>6309.5</v>
      </c>
      <c r="I16" s="3"/>
      <c r="J16" s="15" t="s">
        <v>28</v>
      </c>
      <c r="K16" s="16">
        <f>SUM(K9:K11)</f>
        <v>6305.5</v>
      </c>
      <c r="L16" s="2"/>
      <c r="M16" s="2"/>
      <c r="N16" s="2"/>
      <c r="O16" s="2"/>
      <c r="P16" s="2"/>
      <c r="Q16" s="2"/>
    </row>
    <row r="17" ht="22.5" customHeight="1">
      <c r="A17" s="13"/>
      <c r="B17" s="6" t="s">
        <v>29</v>
      </c>
      <c r="C17" s="7" t="s">
        <v>30</v>
      </c>
      <c r="D17" s="6">
        <v>378.0</v>
      </c>
      <c r="E17" s="8">
        <v>46207.41048747685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2.0</v>
      </c>
      <c r="C18" s="7" t="s">
        <v>31</v>
      </c>
      <c r="D18" s="6">
        <v>16.0</v>
      </c>
      <c r="E18" s="8">
        <v>46207.41061575232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4,00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4.0</v>
      </c>
      <c r="C19" s="7" t="s">
        <v>32</v>
      </c>
      <c r="D19" s="6">
        <v>20.0</v>
      </c>
      <c r="E19" s="8">
        <v>46207.43718613426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33</v>
      </c>
      <c r="D20" s="6">
        <v>4.0</v>
      </c>
      <c r="E20" s="8">
        <v>46207.43724265046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34</v>
      </c>
      <c r="D21" s="6">
        <v>2.0</v>
      </c>
      <c r="E21" s="8">
        <v>46207.43734276621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 t="s">
        <v>35</v>
      </c>
      <c r="C22" s="7" t="s">
        <v>36</v>
      </c>
      <c r="D22" s="6">
        <v>172.5</v>
      </c>
      <c r="E22" s="8">
        <v>46207.437781747685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 t="s">
        <v>35</v>
      </c>
      <c r="C23" s="7" t="s">
        <v>37</v>
      </c>
      <c r="D23" s="6">
        <v>112.5</v>
      </c>
      <c r="E23" s="8">
        <v>46207.43766747685</v>
      </c>
      <c r="F23" s="2"/>
      <c r="G23" s="19" t="s">
        <v>38</v>
      </c>
      <c r="H23" s="19" t="s">
        <v>39</v>
      </c>
      <c r="I23" s="2"/>
      <c r="J23" s="20" t="s">
        <v>40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41</v>
      </c>
      <c r="D24" s="6">
        <v>9.0</v>
      </c>
      <c r="E24" s="8">
        <v>46207.438022476854</v>
      </c>
      <c r="F24" s="2"/>
      <c r="G24" s="22">
        <v>9.0</v>
      </c>
      <c r="H24" s="23"/>
      <c r="I24" s="2"/>
      <c r="J24" s="24" t="s">
        <v>42</v>
      </c>
      <c r="K24" s="25">
        <f>SUM(INGRESOS_YAPE[])</f>
        <v>2569.5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43</v>
      </c>
      <c r="D25" s="6">
        <v>9.5</v>
      </c>
      <c r="E25" s="8">
        <v>46207.437969108796</v>
      </c>
      <c r="F25" s="2"/>
      <c r="G25" s="22">
        <v>278.0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5.0</v>
      </c>
      <c r="C26" s="7" t="s">
        <v>44</v>
      </c>
      <c r="D26" s="6">
        <v>47.5</v>
      </c>
      <c r="E26" s="8">
        <v>46207.43832685185</v>
      </c>
      <c r="F26" s="2"/>
      <c r="G26" s="26">
        <v>175.0</v>
      </c>
      <c r="H26" s="23"/>
      <c r="I26" s="2"/>
      <c r="J26" s="27" t="s">
        <v>45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2.0</v>
      </c>
      <c r="C27" s="7" t="s">
        <v>46</v>
      </c>
      <c r="D27" s="6">
        <v>19.0</v>
      </c>
      <c r="E27" s="8">
        <v>46207.438244907404</v>
      </c>
      <c r="F27" s="2"/>
      <c r="G27" s="22">
        <v>218.0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2.0</v>
      </c>
      <c r="C28" s="7" t="s">
        <v>47</v>
      </c>
      <c r="D28" s="6">
        <v>28.0</v>
      </c>
      <c r="E28" s="8">
        <v>46207.43845987269</v>
      </c>
      <c r="F28" s="2"/>
      <c r="G28" s="22">
        <v>54.0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4.0</v>
      </c>
      <c r="C29" s="7" t="s">
        <v>48</v>
      </c>
      <c r="D29" s="6">
        <v>32.0</v>
      </c>
      <c r="E29" s="8">
        <v>46207.43855373842</v>
      </c>
      <c r="F29" s="2"/>
      <c r="G29" s="22">
        <v>190.0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2569,50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49</v>
      </c>
      <c r="D30" s="6">
        <v>58.0</v>
      </c>
      <c r="E30" s="8">
        <v>46207.43868716435</v>
      </c>
      <c r="F30" s="2"/>
      <c r="G30" s="22">
        <v>38.0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12.0</v>
      </c>
      <c r="C31" s="7" t="s">
        <v>50</v>
      </c>
      <c r="D31" s="6">
        <v>1.0</v>
      </c>
      <c r="E31" s="8">
        <v>46207.43875243056</v>
      </c>
      <c r="F31" s="2"/>
      <c r="G31" s="22">
        <v>160.0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12.0</v>
      </c>
      <c r="C32" s="7" t="s">
        <v>51</v>
      </c>
      <c r="D32" s="30">
        <v>3.5</v>
      </c>
      <c r="E32" s="8">
        <v>46207.438955509264</v>
      </c>
      <c r="F32" s="2"/>
      <c r="G32" s="22">
        <v>279.5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52</v>
      </c>
      <c r="D33" s="6">
        <v>16.0</v>
      </c>
      <c r="E33" s="8">
        <v>46207.43907259259</v>
      </c>
      <c r="F33" s="2"/>
      <c r="G33" s="22">
        <v>8.0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53</v>
      </c>
      <c r="D34" s="6">
        <v>2.0</v>
      </c>
      <c r="E34" s="8">
        <v>46207.43982092592</v>
      </c>
      <c r="F34" s="2"/>
      <c r="G34" s="22">
        <v>70.0</v>
      </c>
      <c r="H34" s="23"/>
      <c r="I34" s="2"/>
      <c r="J34" s="31" t="s">
        <v>54</v>
      </c>
      <c r="K34" s="31" t="s">
        <v>55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2.0</v>
      </c>
      <c r="C35" s="7" t="s">
        <v>56</v>
      </c>
      <c r="D35" s="6">
        <v>20.0</v>
      </c>
      <c r="E35" s="8">
        <v>46207.44903053241</v>
      </c>
      <c r="F35" s="2"/>
      <c r="G35" s="22">
        <v>540.0</v>
      </c>
      <c r="H35" s="23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2.0</v>
      </c>
      <c r="C36" s="7" t="s">
        <v>57</v>
      </c>
      <c r="D36" s="6">
        <v>12.0</v>
      </c>
      <c r="E36" s="8">
        <v>46207.449141516205</v>
      </c>
      <c r="F36" s="2"/>
      <c r="G36" s="22">
        <v>550.0</v>
      </c>
      <c r="H36" s="23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58</v>
      </c>
      <c r="D37" s="6">
        <v>22.0</v>
      </c>
      <c r="E37" s="8">
        <v>46207.44926966435</v>
      </c>
      <c r="F37" s="2"/>
      <c r="G37" s="23"/>
      <c r="H37" s="23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2.0</v>
      </c>
      <c r="C38" s="7" t="s">
        <v>59</v>
      </c>
      <c r="D38" s="6">
        <v>20.0</v>
      </c>
      <c r="E38" s="8">
        <v>46207.44997307871</v>
      </c>
      <c r="F38" s="2"/>
      <c r="G38" s="23"/>
      <c r="H38" s="23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60</v>
      </c>
      <c r="D39" s="6">
        <v>47.0</v>
      </c>
      <c r="E39" s="8">
        <v>46207.45007659722</v>
      </c>
      <c r="F39" s="2"/>
      <c r="G39" s="23"/>
      <c r="H39" s="23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61</v>
      </c>
      <c r="D40" s="6">
        <v>20.0</v>
      </c>
      <c r="E40" s="8">
        <v>46207.45075991898</v>
      </c>
      <c r="F40" s="2"/>
      <c r="G40" s="23"/>
      <c r="H40" s="23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62</v>
      </c>
      <c r="D41" s="6">
        <v>47.0</v>
      </c>
      <c r="E41" s="8">
        <v>46207.4554115162</v>
      </c>
      <c r="F41" s="2"/>
      <c r="G41" s="23"/>
      <c r="H41" s="23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2.0</v>
      </c>
      <c r="C42" s="7" t="s">
        <v>63</v>
      </c>
      <c r="D42" s="6">
        <v>20.0</v>
      </c>
      <c r="E42" s="8">
        <v>46207.45546538194</v>
      </c>
      <c r="F42" s="2"/>
      <c r="G42" s="23"/>
      <c r="H42" s="23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2.0</v>
      </c>
      <c r="C43" s="7" t="s">
        <v>64</v>
      </c>
      <c r="D43" s="6">
        <v>6.0</v>
      </c>
      <c r="E43" s="8">
        <v>46207.45553230324</v>
      </c>
      <c r="F43" s="2"/>
      <c r="G43" s="23"/>
      <c r="H43" s="23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>
        <v>6.0</v>
      </c>
      <c r="C44" s="7" t="s">
        <v>65</v>
      </c>
      <c r="D44" s="6">
        <v>48.0</v>
      </c>
      <c r="E44" s="8">
        <v>46207.45563979167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66</v>
      </c>
      <c r="D45" s="6">
        <v>75.0</v>
      </c>
      <c r="E45" s="8">
        <v>46207.455720185186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67</v>
      </c>
      <c r="D46" s="6">
        <v>7.0</v>
      </c>
      <c r="E46" s="8">
        <v>46207.455875115746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68</v>
      </c>
      <c r="D47" s="6">
        <v>15.0</v>
      </c>
      <c r="E47" s="8">
        <v>46207.45593200231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69</v>
      </c>
      <c r="D48" s="6">
        <v>190.0</v>
      </c>
      <c r="E48" s="8">
        <v>46207.46537012732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70</v>
      </c>
      <c r="D49" s="6">
        <v>3.0</v>
      </c>
      <c r="E49" s="8">
        <v>46207.47617140046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71</v>
      </c>
      <c r="D50" s="6">
        <v>38.0</v>
      </c>
      <c r="E50" s="8">
        <v>46207.4768590162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6.0</v>
      </c>
      <c r="C51" s="7" t="s">
        <v>72</v>
      </c>
      <c r="D51" s="6">
        <v>1.5</v>
      </c>
      <c r="E51" s="8">
        <v>46207.48273122685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73</v>
      </c>
      <c r="D52" s="6">
        <v>10.0</v>
      </c>
      <c r="E52" s="8">
        <v>46207.484823032406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74</v>
      </c>
      <c r="D53" s="6">
        <v>160.0</v>
      </c>
      <c r="E53" s="8">
        <v>46207.490111481486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32</v>
      </c>
      <c r="D54" s="6">
        <v>5.0</v>
      </c>
      <c r="E54" s="8">
        <v>46207.49021833333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75</v>
      </c>
      <c r="D55" s="6">
        <v>11.0</v>
      </c>
      <c r="E55" s="8">
        <v>46207.49027108796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76</v>
      </c>
      <c r="D56" s="6">
        <v>70.0</v>
      </c>
      <c r="E56" s="8">
        <v>46207.49388480324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77</v>
      </c>
      <c r="D57" s="6">
        <v>5.0</v>
      </c>
      <c r="E57" s="8">
        <v>46207.49924200232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78</v>
      </c>
      <c r="D58" s="6">
        <v>4.0</v>
      </c>
      <c r="E58" s="8">
        <v>46207.499296215276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 t="s">
        <v>79</v>
      </c>
      <c r="C59" s="7" t="s">
        <v>80</v>
      </c>
      <c r="D59" s="6">
        <v>15.0</v>
      </c>
      <c r="E59" s="8">
        <v>46207.49944943287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81</v>
      </c>
      <c r="D60" s="6">
        <v>5.5</v>
      </c>
      <c r="E60" s="8">
        <v>46207.499549976856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82</v>
      </c>
      <c r="D61" s="6">
        <v>10.0</v>
      </c>
      <c r="E61" s="8">
        <v>46207.49965222222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2.0</v>
      </c>
      <c r="C62" s="7" t="s">
        <v>83</v>
      </c>
      <c r="D62" s="6">
        <v>94.0</v>
      </c>
      <c r="E62" s="8">
        <v>46207.49984645833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84</v>
      </c>
      <c r="D63" s="6">
        <v>205.0</v>
      </c>
      <c r="E63" s="8">
        <v>46207.511020543985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85</v>
      </c>
      <c r="D64" s="6">
        <v>34.0</v>
      </c>
      <c r="E64" s="8">
        <v>46207.51393890046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86</v>
      </c>
      <c r="D65" s="6">
        <v>16.0</v>
      </c>
      <c r="E65" s="8">
        <v>46207.51594570602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87</v>
      </c>
      <c r="D66" s="6">
        <v>510.0</v>
      </c>
      <c r="E66" s="8">
        <v>46207.527457511576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5.0</v>
      </c>
      <c r="C67" s="7" t="s">
        <v>88</v>
      </c>
      <c r="D67" s="6">
        <v>65.0</v>
      </c>
      <c r="E67" s="8">
        <v>46207.529828321756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89</v>
      </c>
      <c r="D68" s="6">
        <v>13.0</v>
      </c>
      <c r="E68" s="8">
        <v>46207.52988584491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90</v>
      </c>
      <c r="D69" s="6">
        <v>8.0</v>
      </c>
      <c r="E69" s="8">
        <v>46207.53877237269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91</v>
      </c>
      <c r="D70" s="6">
        <v>250.0</v>
      </c>
      <c r="E70" s="8">
        <v>46207.54056152778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92</v>
      </c>
      <c r="D71" s="6">
        <v>3.0</v>
      </c>
      <c r="E71" s="8">
        <v>46207.54059186342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2.0</v>
      </c>
      <c r="C72" s="7" t="s">
        <v>93</v>
      </c>
      <c r="D72" s="6">
        <v>240.0</v>
      </c>
      <c r="E72" s="8">
        <v>46207.54350240741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2.0</v>
      </c>
      <c r="C73" s="7" t="s">
        <v>94</v>
      </c>
      <c r="D73" s="6">
        <v>56.0</v>
      </c>
      <c r="E73" s="8">
        <v>46207.553379386576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2.0</v>
      </c>
      <c r="C74" s="7" t="s">
        <v>95</v>
      </c>
      <c r="D74" s="6">
        <v>44.0</v>
      </c>
      <c r="E74" s="8">
        <v>46207.55767472222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96</v>
      </c>
      <c r="D75" s="6">
        <v>65.0</v>
      </c>
      <c r="E75" s="8">
        <v>46207.56826302083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97</v>
      </c>
      <c r="D76" s="6">
        <v>190.0</v>
      </c>
      <c r="E76" s="8">
        <v>46207.578070902775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98</v>
      </c>
      <c r="D77" s="6">
        <v>25.0</v>
      </c>
      <c r="E77" s="8">
        <v>46207.58294247685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2.0</v>
      </c>
      <c r="C78" s="7" t="s">
        <v>99</v>
      </c>
      <c r="D78" s="6">
        <v>52.0</v>
      </c>
      <c r="E78" s="8">
        <v>46207.58300349537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100</v>
      </c>
      <c r="D79" s="6">
        <v>24.0</v>
      </c>
      <c r="E79" s="8">
        <v>46207.60118586806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101</v>
      </c>
      <c r="D80" s="6">
        <v>9.0</v>
      </c>
      <c r="E80" s="8">
        <v>46207.60127583334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2.0</v>
      </c>
      <c r="C81" s="7" t="s">
        <v>102</v>
      </c>
      <c r="D81" s="6">
        <v>8.0</v>
      </c>
      <c r="E81" s="8">
        <v>46207.60144021991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103</v>
      </c>
      <c r="D82" s="6">
        <v>20.0</v>
      </c>
      <c r="E82" s="8">
        <v>46207.601517048606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104</v>
      </c>
      <c r="D83" s="6">
        <v>2.0</v>
      </c>
      <c r="E83" s="8">
        <v>46207.601673391204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105</v>
      </c>
      <c r="D84" s="6">
        <v>20.0</v>
      </c>
      <c r="E84" s="8">
        <v>46207.603794826384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2.0</v>
      </c>
      <c r="C85" s="7" t="s">
        <v>106</v>
      </c>
      <c r="D85" s="6">
        <v>14.0</v>
      </c>
      <c r="E85" s="8">
        <v>46207.60396034722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107</v>
      </c>
      <c r="D86" s="6">
        <v>24.0</v>
      </c>
      <c r="E86" s="8">
        <v>46207.60607071759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6.0</v>
      </c>
      <c r="C87" s="7" t="s">
        <v>50</v>
      </c>
      <c r="D87" s="6">
        <v>0.5</v>
      </c>
      <c r="E87" s="8">
        <v>46207.60633819444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6.0</v>
      </c>
      <c r="C88" s="7" t="s">
        <v>108</v>
      </c>
      <c r="D88" s="6">
        <v>2.5</v>
      </c>
      <c r="E88" s="8">
        <v>46207.60647121527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6.0</v>
      </c>
      <c r="C89" s="7" t="s">
        <v>109</v>
      </c>
      <c r="D89" s="6">
        <v>21.0</v>
      </c>
      <c r="E89" s="8">
        <v>46207.606574618054</v>
      </c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2.0</v>
      </c>
      <c r="C90" s="7" t="s">
        <v>110</v>
      </c>
      <c r="D90" s="34">
        <v>92.0</v>
      </c>
      <c r="E90" s="8">
        <v>46207.610542939816</v>
      </c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4.0</v>
      </c>
      <c r="C91" s="7" t="s">
        <v>111</v>
      </c>
      <c r="D91" s="6">
        <v>3.0</v>
      </c>
      <c r="E91" s="8">
        <v>46207.61063892361</v>
      </c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112</v>
      </c>
      <c r="D92" s="6">
        <v>13.0</v>
      </c>
      <c r="E92" s="8">
        <v>46207.61141931713</v>
      </c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0.5</v>
      </c>
      <c r="C93" s="7" t="s">
        <v>113</v>
      </c>
      <c r="D93" s="6">
        <v>8.5</v>
      </c>
      <c r="E93" s="8">
        <v>46207.61795971065</v>
      </c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114</v>
      </c>
      <c r="D94" s="6">
        <v>70.0</v>
      </c>
      <c r="E94" s="8">
        <v>46207.63532688658</v>
      </c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115</v>
      </c>
      <c r="D95" s="6">
        <v>345.0</v>
      </c>
      <c r="E95" s="8">
        <v>46207.63600863426</v>
      </c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116</v>
      </c>
      <c r="D96" s="6">
        <v>85.0</v>
      </c>
      <c r="E96" s="8">
        <v>46207.63610212963</v>
      </c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117</v>
      </c>
      <c r="D97" s="6">
        <v>110.0</v>
      </c>
      <c r="E97" s="8">
        <v>46207.63633646991</v>
      </c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2.0</v>
      </c>
      <c r="C98" s="7" t="s">
        <v>118</v>
      </c>
      <c r="D98" s="6">
        <v>38.0</v>
      </c>
      <c r="E98" s="8">
        <v>46207.64261385417</v>
      </c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119</v>
      </c>
      <c r="D99" s="6">
        <v>550.0</v>
      </c>
      <c r="E99" s="8">
        <v>46207.65862428241</v>
      </c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3.0</v>
      </c>
      <c r="C100" s="7" t="s">
        <v>120</v>
      </c>
      <c r="D100" s="6">
        <v>9.0</v>
      </c>
      <c r="E100" s="8">
        <v>46207.67648759259</v>
      </c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85</v>
      </c>
      <c r="D101" s="6">
        <v>35.0</v>
      </c>
      <c r="E101" s="8">
        <v>46207.683051886575</v>
      </c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5"/>
      <c r="D102" s="36"/>
      <c r="E102" s="37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5"/>
      <c r="D103" s="36"/>
      <c r="E103" s="37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5"/>
      <c r="D104" s="36"/>
      <c r="E104" s="37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5"/>
      <c r="D105" s="36"/>
      <c r="E105" s="37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5"/>
      <c r="D106" s="36"/>
      <c r="E106" s="37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5"/>
      <c r="D107" s="36"/>
      <c r="E107" s="37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5"/>
      <c r="D108" s="36"/>
      <c r="E108" s="37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5"/>
      <c r="D109" s="36"/>
      <c r="E109" s="37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5"/>
      <c r="D110" s="36"/>
      <c r="E110" s="37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5"/>
      <c r="D111" s="36"/>
      <c r="E111" s="37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5"/>
      <c r="D112" s="36"/>
      <c r="E112" s="37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5"/>
      <c r="D113" s="36"/>
      <c r="E113" s="37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5"/>
      <c r="D114" s="36"/>
      <c r="E114" s="37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5"/>
      <c r="D115" s="36"/>
      <c r="E115" s="37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5"/>
      <c r="D116" s="36"/>
      <c r="E116" s="37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5"/>
      <c r="D117" s="36"/>
      <c r="E117" s="37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5"/>
      <c r="D118" s="36"/>
      <c r="E118" s="37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5"/>
      <c r="D119" s="36"/>
      <c r="E119" s="37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5"/>
      <c r="D120" s="36"/>
      <c r="E120" s="37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5"/>
      <c r="D121" s="36"/>
      <c r="E121" s="37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5"/>
      <c r="D122" s="36"/>
      <c r="E122" s="37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5"/>
      <c r="D123" s="36"/>
      <c r="E123" s="37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5"/>
      <c r="D124" s="36"/>
      <c r="E124" s="37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5"/>
      <c r="D125" s="36"/>
      <c r="E125" s="37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5"/>
      <c r="D126" s="36"/>
      <c r="E126" s="37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5"/>
      <c r="D127" s="36"/>
      <c r="E127" s="37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5"/>
      <c r="D128" s="36"/>
      <c r="E128" s="37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5"/>
      <c r="D129" s="36"/>
      <c r="E129" s="37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5"/>
      <c r="D130" s="36"/>
      <c r="E130" s="37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5"/>
      <c r="D131" s="36"/>
      <c r="E131" s="37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5"/>
      <c r="D132" s="36"/>
      <c r="E132" s="37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5"/>
      <c r="D133" s="36"/>
      <c r="E133" s="37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5"/>
      <c r="D134" s="36"/>
      <c r="E134" s="37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5"/>
      <c r="D135" s="36"/>
      <c r="E135" s="37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5"/>
      <c r="D136" s="36"/>
      <c r="E136" s="37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5"/>
      <c r="D137" s="36"/>
      <c r="E137" s="37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5"/>
      <c r="D138" s="36"/>
      <c r="E138" s="37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5"/>
      <c r="D139" s="36"/>
      <c r="E139" s="37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5"/>
      <c r="D140" s="36"/>
      <c r="E140" s="37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5"/>
      <c r="D141" s="36"/>
      <c r="E141" s="37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5"/>
      <c r="D142" s="36"/>
      <c r="E142" s="37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5"/>
      <c r="D143" s="36"/>
      <c r="E143" s="37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5"/>
      <c r="D144" s="36"/>
      <c r="E144" s="37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5"/>
      <c r="D145" s="36"/>
      <c r="E145" s="37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5"/>
      <c r="D146" s="36"/>
      <c r="E146" s="37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5"/>
      <c r="D147" s="36"/>
      <c r="E147" s="37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5"/>
      <c r="D148" s="36"/>
      <c r="E148" s="37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5"/>
      <c r="D149" s="36"/>
      <c r="E149" s="37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5"/>
      <c r="D150" s="36"/>
      <c r="E150" s="37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5"/>
      <c r="D151" s="36"/>
      <c r="E151" s="37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5"/>
      <c r="D152" s="36"/>
      <c r="E152" s="37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5"/>
      <c r="D153" s="36"/>
      <c r="E153" s="37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5"/>
      <c r="D154" s="36"/>
      <c r="E154" s="37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5"/>
      <c r="D155" s="36"/>
      <c r="E155" s="37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5"/>
      <c r="D156" s="36"/>
      <c r="E156" s="37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5"/>
      <c r="D157" s="36"/>
      <c r="E157" s="37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5"/>
      <c r="D158" s="36"/>
      <c r="E158" s="37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5"/>
      <c r="D159" s="36"/>
      <c r="E159" s="37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5"/>
      <c r="D160" s="36"/>
      <c r="E160" s="37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5"/>
      <c r="D161" s="36"/>
      <c r="E161" s="37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5"/>
      <c r="D162" s="36"/>
      <c r="E162" s="37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5"/>
      <c r="D163" s="36"/>
      <c r="E163" s="37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5"/>
      <c r="D164" s="36"/>
      <c r="E164" s="37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5"/>
      <c r="D165" s="36"/>
      <c r="E165" s="37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5"/>
      <c r="D166" s="36"/>
      <c r="E166" s="37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5"/>
      <c r="D167" s="36"/>
      <c r="E167" s="37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5"/>
      <c r="D168" s="36"/>
      <c r="E168" s="37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5"/>
      <c r="D169" s="36"/>
      <c r="E169" s="37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5"/>
      <c r="D170" s="36"/>
      <c r="E170" s="37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5"/>
      <c r="D171" s="36"/>
      <c r="E171" s="37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5"/>
      <c r="D172" s="36"/>
      <c r="E172" s="37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5"/>
      <c r="D173" s="36"/>
      <c r="E173" s="37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5"/>
      <c r="D174" s="36"/>
      <c r="E174" s="37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5"/>
      <c r="D175" s="36"/>
      <c r="E175" s="37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5"/>
      <c r="D176" s="36"/>
      <c r="E176" s="37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5"/>
      <c r="D177" s="36"/>
      <c r="E177" s="37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5"/>
      <c r="D178" s="36"/>
      <c r="E178" s="37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5"/>
      <c r="D179" s="36"/>
      <c r="E179" s="37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5"/>
      <c r="D180" s="36"/>
      <c r="E180" s="37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5"/>
      <c r="D181" s="36"/>
      <c r="E181" s="37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5"/>
      <c r="D182" s="36"/>
      <c r="E182" s="37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5"/>
      <c r="D183" s="36"/>
      <c r="E183" s="37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5"/>
      <c r="D184" s="36"/>
      <c r="E184" s="37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5"/>
      <c r="D185" s="36"/>
      <c r="E185" s="37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5"/>
      <c r="D186" s="36"/>
      <c r="E186" s="37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5"/>
      <c r="D187" s="36"/>
      <c r="E187" s="37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5"/>
      <c r="D188" s="36"/>
      <c r="E188" s="37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5"/>
      <c r="D189" s="36"/>
      <c r="E189" s="37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5"/>
      <c r="D190" s="36"/>
      <c r="E190" s="37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5"/>
      <c r="D191" s="36"/>
      <c r="E191" s="37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5"/>
      <c r="D192" s="36"/>
      <c r="E192" s="37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5"/>
      <c r="D193" s="36"/>
      <c r="E193" s="37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5"/>
      <c r="D194" s="36"/>
      <c r="E194" s="37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5"/>
      <c r="D195" s="36"/>
      <c r="E195" s="37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5"/>
      <c r="D196" s="36"/>
      <c r="E196" s="37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5"/>
      <c r="D197" s="36"/>
      <c r="E197" s="37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5"/>
      <c r="D198" s="36"/>
      <c r="E198" s="37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5"/>
      <c r="D199" s="36"/>
      <c r="E199" s="37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5"/>
      <c r="D200" s="36"/>
      <c r="E200" s="37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5"/>
      <c r="D201" s="36"/>
      <c r="E201" s="37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5"/>
      <c r="D202" s="36"/>
      <c r="E202" s="37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5"/>
      <c r="D203" s="36"/>
      <c r="E203" s="37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5"/>
      <c r="D204" s="36"/>
      <c r="E204" s="37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5"/>
      <c r="D205" s="36"/>
      <c r="E205" s="37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5"/>
      <c r="D206" s="36"/>
      <c r="E206" s="37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5"/>
      <c r="D207" s="36"/>
      <c r="E207" s="37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5"/>
      <c r="D208" s="36"/>
      <c r="E208" s="37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5"/>
      <c r="D209" s="36"/>
      <c r="E209" s="37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5"/>
      <c r="D210" s="36"/>
      <c r="E210" s="37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5"/>
      <c r="D211" s="36"/>
      <c r="E211" s="37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5"/>
      <c r="D212" s="36"/>
      <c r="E212" s="37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5"/>
      <c r="D213" s="36"/>
      <c r="E213" s="37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5"/>
      <c r="D214" s="36"/>
      <c r="E214" s="37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5"/>
      <c r="D215" s="36"/>
      <c r="E215" s="37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5"/>
      <c r="D216" s="36"/>
      <c r="E216" s="37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5"/>
      <c r="D217" s="36"/>
      <c r="E217" s="37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5"/>
      <c r="D218" s="36"/>
      <c r="E218" s="37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5"/>
      <c r="D219" s="36"/>
      <c r="E219" s="37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5"/>
      <c r="D220" s="36"/>
      <c r="E220" s="37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5"/>
      <c r="D221" s="36"/>
      <c r="E221" s="37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5"/>
      <c r="D222" s="36"/>
      <c r="E222" s="37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5"/>
      <c r="D223" s="36"/>
      <c r="E223" s="37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5"/>
      <c r="D224" s="36"/>
      <c r="E224" s="37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5"/>
      <c r="D225" s="36"/>
      <c r="E225" s="37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5"/>
      <c r="D226" s="36"/>
      <c r="E226" s="37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5"/>
      <c r="D227" s="36"/>
      <c r="E227" s="37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5"/>
      <c r="D228" s="36"/>
      <c r="E228" s="37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5"/>
      <c r="D229" s="36"/>
      <c r="E229" s="37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5"/>
      <c r="D230" s="36"/>
      <c r="E230" s="37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5"/>
      <c r="D231" s="36"/>
      <c r="E231" s="37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5"/>
      <c r="D232" s="36"/>
      <c r="E232" s="37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5"/>
      <c r="D233" s="36"/>
      <c r="E233" s="37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5"/>
      <c r="D234" s="36"/>
      <c r="E234" s="37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5"/>
      <c r="D235" s="36"/>
      <c r="E235" s="37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5"/>
      <c r="D236" s="36"/>
      <c r="E236" s="37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5"/>
      <c r="D237" s="36"/>
      <c r="E237" s="37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5"/>
      <c r="D238" s="36"/>
      <c r="E238" s="37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5"/>
      <c r="D239" s="36"/>
      <c r="E239" s="37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5"/>
      <c r="D240" s="36"/>
      <c r="E240" s="37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5"/>
      <c r="D241" s="36"/>
      <c r="E241" s="37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5"/>
      <c r="D242" s="36"/>
      <c r="E242" s="37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5"/>
      <c r="D243" s="36"/>
      <c r="E243" s="37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5"/>
      <c r="D244" s="36"/>
      <c r="E244" s="37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5"/>
      <c r="D245" s="36"/>
      <c r="E245" s="37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5"/>
      <c r="D246" s="36"/>
      <c r="E246" s="37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5"/>
      <c r="D247" s="36"/>
      <c r="E247" s="37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5"/>
      <c r="D248" s="36"/>
      <c r="E248" s="37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5"/>
      <c r="D249" s="36"/>
      <c r="E249" s="37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5"/>
      <c r="D250" s="36"/>
      <c r="E250" s="37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5"/>
      <c r="D251" s="36"/>
      <c r="E251" s="37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5"/>
      <c r="D252" s="36"/>
      <c r="E252" s="37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5"/>
      <c r="D253" s="36"/>
      <c r="E253" s="37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5"/>
      <c r="D254" s="36"/>
      <c r="E254" s="37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5"/>
      <c r="D255" s="36"/>
      <c r="E255" s="37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5"/>
      <c r="D256" s="36"/>
      <c r="E256" s="37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5"/>
      <c r="D257" s="36"/>
      <c r="E257" s="37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5"/>
      <c r="D258" s="36"/>
      <c r="E258" s="37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5"/>
      <c r="D259" s="36"/>
      <c r="E259" s="37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5"/>
      <c r="D260" s="36"/>
      <c r="E260" s="37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5"/>
      <c r="D261" s="36"/>
      <c r="E261" s="37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5"/>
      <c r="D262" s="36"/>
      <c r="E262" s="37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5"/>
      <c r="D263" s="36"/>
      <c r="E263" s="37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5"/>
      <c r="D264" s="36"/>
      <c r="E264" s="37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5"/>
      <c r="D265" s="36"/>
      <c r="E265" s="37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5"/>
      <c r="D266" s="36"/>
      <c r="E266" s="37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5"/>
      <c r="D267" s="36"/>
      <c r="E267" s="37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5"/>
      <c r="D268" s="36"/>
      <c r="E268" s="37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5"/>
      <c r="D269" s="36"/>
      <c r="E269" s="37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5"/>
      <c r="D270" s="36"/>
      <c r="E270" s="37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5"/>
      <c r="D271" s="36"/>
      <c r="E271" s="37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5"/>
      <c r="D272" s="36"/>
      <c r="E272" s="37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5"/>
      <c r="D273" s="36"/>
      <c r="E273" s="37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5"/>
      <c r="D274" s="36"/>
      <c r="E274" s="37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5"/>
      <c r="D275" s="36"/>
      <c r="E275" s="37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5"/>
      <c r="D276" s="36"/>
      <c r="E276" s="37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5"/>
      <c r="D277" s="36"/>
      <c r="E277" s="37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5"/>
      <c r="D278" s="36"/>
      <c r="E278" s="37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5"/>
      <c r="D279" s="36"/>
      <c r="E279" s="37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5"/>
      <c r="D280" s="36"/>
      <c r="E280" s="37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5"/>
      <c r="D281" s="36"/>
      <c r="E281" s="37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5"/>
      <c r="D282" s="36"/>
      <c r="E282" s="37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5"/>
      <c r="D283" s="36"/>
      <c r="E283" s="37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5"/>
      <c r="D284" s="36"/>
      <c r="E284" s="37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5"/>
      <c r="D285" s="36"/>
      <c r="E285" s="37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5"/>
      <c r="D286" s="36"/>
      <c r="E286" s="37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5"/>
      <c r="D287" s="36"/>
      <c r="E287" s="37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5"/>
      <c r="D288" s="36"/>
      <c r="E288" s="37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5"/>
      <c r="D289" s="36"/>
      <c r="E289" s="37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5"/>
      <c r="D290" s="36"/>
      <c r="E290" s="37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5"/>
      <c r="D291" s="36"/>
      <c r="E291" s="37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5"/>
      <c r="D292" s="36"/>
      <c r="E292" s="37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5"/>
      <c r="D293" s="36"/>
      <c r="E293" s="37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5"/>
      <c r="D294" s="36"/>
      <c r="E294" s="37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5"/>
      <c r="D295" s="36"/>
      <c r="E295" s="37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5"/>
      <c r="D296" s="36"/>
      <c r="E296" s="37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5"/>
      <c r="D297" s="36"/>
      <c r="E297" s="37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5"/>
      <c r="D298" s="36"/>
      <c r="E298" s="37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5"/>
      <c r="D299" s="36"/>
      <c r="E299" s="37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5"/>
      <c r="D300" s="36"/>
      <c r="E300" s="37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5"/>
      <c r="D301" s="36"/>
      <c r="E301" s="37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