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<sst xmlns="http://schemas.openxmlformats.org/spreadsheetml/2006/main" count="88" uniqueCount="88">
  <si>
    <t>HOJA DE CALCULO FERRETERIA</t>
  </si>
  <si>
    <t>CODIGO</t>
  </si>
  <si>
    <t>CANTIDAD</t>
  </si>
  <si>
    <t>DESCRIPCION</t>
  </si>
  <si>
    <t>TOTAL</t>
  </si>
  <si>
    <t>HORA</t>
  </si>
  <si>
    <t>CUADRAR</t>
  </si>
  <si>
    <t>CLAVO TRAPER 25</t>
  </si>
  <si>
    <t>CLAVO TRPER 16</t>
  </si>
  <si>
    <t>MONEDAS</t>
  </si>
  <si>
    <t>CAJA CHICA</t>
  </si>
  <si>
    <t>CLAVO TRUPER 35</t>
  </si>
  <si>
    <t>BILLETES 10-20</t>
  </si>
  <si>
    <t>TOTAL VENTAS DIA</t>
  </si>
  <si>
    <t>CINAPELIRO TRPÉR</t>
  </si>
  <si>
    <t>BILLETES 50-100-200</t>
  </si>
  <si>
    <t>AUMENTO DE DINERO</t>
  </si>
  <si>
    <t>M MALLA MILIMETRICA TRUPER</t>
  </si>
  <si>
    <t>INGRESOS YAPE</t>
  </si>
  <si>
    <t>KL CLAVO BELPRE 1</t>
  </si>
  <si>
    <t>INGRESOS TARJETA</t>
  </si>
  <si>
    <t>BOLSA PRECINTO 20CM</t>
  </si>
  <si>
    <t>GASTOS VARIOS</t>
  </si>
  <si>
    <t>BOTOTN SUPERIOR</t>
  </si>
  <si>
    <t>CANDADO 25MM</t>
  </si>
  <si>
    <t>DINERO GANADO HOY:</t>
  </si>
  <si>
    <t>CANTIDAD DINERO CAJA:</t>
  </si>
  <si>
    <t>PASTINA BLANCA</t>
  </si>
  <si>
    <t>MARTILLO TRAMON</t>
  </si>
  <si>
    <t>CUBRE CABLE 10X15</t>
  </si>
  <si>
    <t>ESTIETE</t>
  </si>
  <si>
    <t>JUEGO LLAVES TROK</t>
  </si>
  <si>
    <t>BROCA TRUPERE 3/4</t>
  </si>
  <si>
    <t>PRENZA ESQUINERA</t>
  </si>
  <si>
    <t>YAPE MAMÁ</t>
  </si>
  <si>
    <t>YAPE PAPÁ</t>
  </si>
  <si>
    <t>YAPE</t>
  </si>
  <si>
    <t>DISCO 4 MADERA</t>
  </si>
  <si>
    <t>Monto Total YAPE (No tocar):</t>
  </si>
  <si>
    <t>LLAVERO</t>
  </si>
  <si>
    <t>PISTOLA PARA PITAR ELEC JADEVER</t>
  </si>
  <si>
    <t>Monto Total Registrado en aplicacion</t>
  </si>
  <si>
    <t>DESTAPA  CAÑO</t>
  </si>
  <si>
    <t>ECOLE</t>
  </si>
  <si>
    <t>GOTITAS</t>
  </si>
  <si>
    <t>CHAPA POLY</t>
  </si>
  <si>
    <t>CANOA DOBLE EVERLEO</t>
  </si>
  <si>
    <t>VBROCA 3 MM MADERA</t>
  </si>
  <si>
    <t>DEBOR 2,5 FIERRO</t>
  </si>
  <si>
    <t>BROCA 8MM TOLSEN</t>
  </si>
  <si>
    <t>PAGOS YAPE</t>
  </si>
  <si>
    <t>DESCRIPCION PAGO</t>
  </si>
  <si>
    <t>BROCA TOLSEN 7</t>
  </si>
  <si>
    <t>ESPATULA TRAMONTIA</t>
  </si>
  <si>
    <t xml:space="preserve">PLOMADA </t>
  </si>
  <si>
    <t>CODO DESAGUE 11/2</t>
  </si>
  <si>
    <t>CHICOTILLO 50CM HM COFLEX</t>
  </si>
  <si>
    <t>JUEGO ACOPLE RIEGO TOLSEN</t>
  </si>
  <si>
    <t>PICO TRAMPON 1/2</t>
  </si>
  <si>
    <t>NIPLE 3/4 TIGRE</t>
  </si>
  <si>
    <t>GRAMPA 25MM</t>
  </si>
  <si>
    <t>CLAVO 64MM C16</t>
  </si>
  <si>
    <t>MINI ARCO AZUL</t>
  </si>
  <si>
    <t>CAJA TERMICO</t>
  </si>
  <si>
    <t>CODO 1/2 TIGRE</t>
  </si>
  <si>
    <t>LLAVE DE PASO 1/2</t>
  </si>
  <si>
    <t>BROCA CNCRETO 10 LARGA</t>
  </si>
  <si>
    <t>BROCA CONCRETO 8</t>
  </si>
  <si>
    <t>RAMPLU 8</t>
  </si>
  <si>
    <t>DADO 17 LARGO</t>
  </si>
  <si>
    <t>NUDOR DE ACERO PARA CABLE 1/8</t>
  </si>
  <si>
    <t>CANDADO HR</t>
  </si>
  <si>
    <t>LICIAC SICA</t>
  </si>
  <si>
    <t>GUANTE ASARX</t>
  </si>
  <si>
    <t>LIGA TOLSE</t>
  </si>
  <si>
    <t>LIJAS</t>
  </si>
  <si>
    <t>MARTILLO DE CHAPERIA</t>
  </si>
  <si>
    <t>LIJA 120</t>
  </si>
  <si>
    <t>SUPER GLU</t>
  </si>
  <si>
    <t>CLAVO</t>
  </si>
  <si>
    <t>2 MT</t>
  </si>
  <si>
    <t>LIJA 80</t>
  </si>
  <si>
    <t>1 MT</t>
  </si>
  <si>
    <t>LIJA 220</t>
  </si>
  <si>
    <t>MT CABLE 14</t>
  </si>
  <si>
    <t>CINTA AIS</t>
  </si>
  <si>
    <t xml:space="preserve">CANDADO MOTO </t>
  </si>
  <si>
    <t>SILICONA SIKA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</si>
</sst>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0" fillId="3" fontId="2" numFmtId="0" xfId="0" applyAlignment="1" applyFill="1" applyFont="1">
      <alignment readingOrder="0"/>
    </xf>
    <xf borderId="1" fillId="0" fontId="5" numFmtId="0" xfId="0" applyAlignment="1" applyBorder="1" applyFont="1">
      <alignment horizontal="center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67.0</v>
      </c>
      <c r="E8" s="8">
        <v>46232.36976973379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42.0</v>
      </c>
      <c r="E9" s="8">
        <v>46232.369852986114</v>
      </c>
      <c r="F9" s="2"/>
      <c r="G9" s="9" t="s">
        <v>9</v>
      </c>
      <c r="H9" s="10">
        <v>117.5</v>
      </c>
      <c r="I9" s="2"/>
      <c r="J9" s="9" t="s">
        <v>10</v>
      </c>
      <c r="K9" s="10">
        <v>776.0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94.0</v>
      </c>
      <c r="E10" s="8">
        <v>46232.36992706019</v>
      </c>
      <c r="F10" s="2"/>
      <c r="G10" s="9" t="s">
        <v>12</v>
      </c>
      <c r="H10" s="10">
        <v>430.0</v>
      </c>
      <c r="I10" s="2"/>
      <c r="J10" s="9" t="s">
        <v>13</v>
      </c>
      <c r="K10" s="11">
        <f>SUM(PRINCIPAL[TOTAL])</f>
        <v>4103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180.0</v>
      </c>
      <c r="E11" s="8">
        <v>46232.37008572917</v>
      </c>
      <c r="F11" s="2"/>
      <c r="G11" s="9" t="s">
        <v>15</v>
      </c>
      <c r="H11" s="10">
        <v>1900.0</v>
      </c>
      <c r="I11" s="2"/>
      <c r="J11" s="9" t="s">
        <v>16</v>
      </c>
      <c r="K11" s="10">
        <v>90.0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10.0</v>
      </c>
      <c r="C12" s="7" t="s">
        <v>17</v>
      </c>
      <c r="D12" s="6">
        <v>200.0</v>
      </c>
      <c r="E12" s="8">
        <v>46232.37024158565</v>
      </c>
      <c r="F12" s="2"/>
      <c r="G12" s="9" t="s">
        <v>18</v>
      </c>
      <c r="H12" s="12">
        <f>SUM(G24:H361)</f>
        <v>2540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6"/>
      <c r="B13" s="6">
        <v>1.0</v>
      </c>
      <c r="C13" s="7" t="s">
        <v>19</v>
      </c>
      <c r="D13" s="6">
        <v>17.0</v>
      </c>
      <c r="E13" s="8">
        <v>46232.370378761574</v>
      </c>
      <c r="F13" s="2"/>
      <c r="G13" s="9" t="s">
        <v>20</v>
      </c>
      <c r="H13" s="10"/>
      <c r="I13" s="2"/>
      <c r="J13" s="13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21</v>
      </c>
      <c r="D14" s="6">
        <v>25.0</v>
      </c>
      <c r="E14" s="8">
        <v>46232.391299201394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23</v>
      </c>
      <c r="D15" s="6">
        <v>29.0</v>
      </c>
      <c r="E15" s="8">
        <v>46232.40248592592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2.0</v>
      </c>
      <c r="C16" s="7" t="s">
        <v>24</v>
      </c>
      <c r="D16" s="6">
        <v>39.0</v>
      </c>
      <c r="E16" s="8">
        <v>46232.40262716435</v>
      </c>
      <c r="F16" s="2"/>
      <c r="G16" s="15" t="s">
        <v>25</v>
      </c>
      <c r="H16" s="16">
        <f>SUM(H9:H14)</f>
        <v>4987.5</v>
      </c>
      <c r="I16" s="3"/>
      <c r="J16" s="15" t="s">
        <v>26</v>
      </c>
      <c r="K16" s="16">
        <f>SUM(K9:K11)</f>
        <v>4969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27</v>
      </c>
      <c r="D17" s="6">
        <v>23.0</v>
      </c>
      <c r="E17" s="8">
        <v>46232.41336628472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28</v>
      </c>
      <c r="D18" s="6">
        <v>157.0</v>
      </c>
      <c r="E18" s="8">
        <v>46232.425559027775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18,50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4.0</v>
      </c>
      <c r="C19" s="7" t="s">
        <v>29</v>
      </c>
      <c r="D19" s="6">
        <v>28.0</v>
      </c>
      <c r="E19" s="8">
        <v>46232.435176493054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30</v>
      </c>
      <c r="D20" s="6">
        <v>22.0</v>
      </c>
      <c r="E20" s="8">
        <v>46232.43522584491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31</v>
      </c>
      <c r="D21" s="6">
        <v>55.0</v>
      </c>
      <c r="E21" s="8">
        <v>46232.43539622685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32</v>
      </c>
      <c r="D22" s="6">
        <v>66.0</v>
      </c>
      <c r="E22" s="8">
        <v>46232.43742782407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2.0</v>
      </c>
      <c r="C23" s="7" t="s">
        <v>33</v>
      </c>
      <c r="D23" s="6">
        <v>100.0</v>
      </c>
      <c r="E23" s="8">
        <v>46232.44244652778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37</v>
      </c>
      <c r="D24" s="6">
        <v>36.0</v>
      </c>
      <c r="E24" s="8">
        <v>46232.442594699074</v>
      </c>
      <c r="F24" s="2"/>
      <c r="G24" s="22">
        <v>203.0</v>
      </c>
      <c r="H24" s="23"/>
      <c r="I24" s="2"/>
      <c r="J24" s="24" t="s">
        <v>38</v>
      </c>
      <c r="K24" s="25">
        <f>SUM(INGRESOS_YAPE[])</f>
        <v>2540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39</v>
      </c>
      <c r="D25" s="6">
        <v>10.0</v>
      </c>
      <c r="E25" s="8">
        <v>46232.44263097222</v>
      </c>
      <c r="F25" s="2"/>
      <c r="G25" s="22">
        <v>180.0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40</v>
      </c>
      <c r="D26" s="6">
        <v>370.0</v>
      </c>
      <c r="E26" s="8">
        <v>46232.443985335645</v>
      </c>
      <c r="F26" s="2"/>
      <c r="G26" s="26">
        <v>200.0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42</v>
      </c>
      <c r="D27" s="6">
        <v>187.0</v>
      </c>
      <c r="E27" s="8">
        <v>46232.472043877315</v>
      </c>
      <c r="F27" s="2"/>
      <c r="G27" s="22">
        <v>23.0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43</v>
      </c>
      <c r="D28" s="6">
        <v>24.0</v>
      </c>
      <c r="E28" s="8">
        <v>46232.48543996528</v>
      </c>
      <c r="F28" s="2"/>
      <c r="G28" s="22">
        <v>55.0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12.0</v>
      </c>
      <c r="C29" s="7" t="s">
        <v>44</v>
      </c>
      <c r="D29" s="6">
        <v>36.0</v>
      </c>
      <c r="E29" s="8">
        <v>46232.48549076389</v>
      </c>
      <c r="F29" s="2"/>
      <c r="G29" s="22">
        <v>146.0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2540,00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45</v>
      </c>
      <c r="D30" s="30">
        <v>260.0</v>
      </c>
      <c r="E30" s="8">
        <v>46232.49398650463</v>
      </c>
      <c r="F30" s="2"/>
      <c r="G30" s="22">
        <v>370.0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46</v>
      </c>
      <c r="D31" s="30">
        <v>165.0</v>
      </c>
      <c r="E31" s="8">
        <v>46232.49512738426</v>
      </c>
      <c r="F31" s="2"/>
      <c r="G31" s="22">
        <v>187.0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47</v>
      </c>
      <c r="D32" s="6">
        <v>6.0</v>
      </c>
      <c r="E32" s="8">
        <v>46232.50344454861</v>
      </c>
      <c r="F32" s="2"/>
      <c r="G32" s="22">
        <v>60.0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48</v>
      </c>
      <c r="D33" s="6">
        <v>10.0</v>
      </c>
      <c r="E33" s="8">
        <v>46232.50352157408</v>
      </c>
      <c r="F33" s="2"/>
      <c r="G33" s="22">
        <v>260.0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49</v>
      </c>
      <c r="D34" s="6">
        <v>39.0</v>
      </c>
      <c r="E34" s="8">
        <v>46232.5053229051</v>
      </c>
      <c r="F34" s="2"/>
      <c r="G34" s="22">
        <v>165.0</v>
      </c>
      <c r="H34" s="23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52</v>
      </c>
      <c r="D35" s="6">
        <v>30.0</v>
      </c>
      <c r="E35" s="8">
        <v>46232.505406261575</v>
      </c>
      <c r="F35" s="2"/>
      <c r="G35" s="22">
        <v>102.0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53</v>
      </c>
      <c r="D36" s="6">
        <v>16.0</v>
      </c>
      <c r="E36" s="8">
        <v>46232.50549851852</v>
      </c>
      <c r="F36" s="2"/>
      <c r="G36" s="22">
        <v>79.0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54</v>
      </c>
      <c r="D37" s="30">
        <v>20.0</v>
      </c>
      <c r="E37" s="8">
        <v>46232.511899652774</v>
      </c>
      <c r="F37" s="2"/>
      <c r="G37" s="22">
        <v>45.0</v>
      </c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>
        <v>2.0</v>
      </c>
      <c r="C38" s="7" t="s">
        <v>55</v>
      </c>
      <c r="D38" s="6">
        <v>8.0</v>
      </c>
      <c r="E38" s="8">
        <v>46232.51398393519</v>
      </c>
      <c r="F38" s="2"/>
      <c r="G38" s="22">
        <v>117.0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4"/>
      <c r="B39" s="6">
        <v>10.0</v>
      </c>
      <c r="C39" s="7" t="s">
        <v>56</v>
      </c>
      <c r="D39" s="6">
        <v>520.0</v>
      </c>
      <c r="E39" s="8">
        <v>46232.52240722222</v>
      </c>
      <c r="F39" s="2"/>
      <c r="G39" s="22">
        <v>15.0</v>
      </c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57</v>
      </c>
      <c r="D40" s="6">
        <v>67.0</v>
      </c>
      <c r="E40" s="8">
        <v>46232.52253269676</v>
      </c>
      <c r="F40" s="2"/>
      <c r="G40" s="22">
        <v>20.0</v>
      </c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4"/>
      <c r="B41" s="6">
        <v>3.0</v>
      </c>
      <c r="C41" s="7" t="s">
        <v>58</v>
      </c>
      <c r="D41" s="6">
        <v>21.0</v>
      </c>
      <c r="E41" s="8">
        <v>46232.52264082176</v>
      </c>
      <c r="F41" s="2"/>
      <c r="G41" s="22">
        <v>95.0</v>
      </c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3.0</v>
      </c>
      <c r="C42" s="7" t="s">
        <v>59</v>
      </c>
      <c r="D42" s="6">
        <v>9.0</v>
      </c>
      <c r="E42" s="8">
        <v>46232.522718356486</v>
      </c>
      <c r="F42" s="2"/>
      <c r="G42" s="22">
        <v>1.0</v>
      </c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60</v>
      </c>
      <c r="D43" s="6">
        <v>130.0</v>
      </c>
      <c r="E43" s="8">
        <v>46232.53867277778</v>
      </c>
      <c r="F43" s="2"/>
      <c r="G43" s="22">
        <v>77.0</v>
      </c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61</v>
      </c>
      <c r="D44" s="6">
        <v>140.0</v>
      </c>
      <c r="E44" s="8">
        <v>46232.538810185186</v>
      </c>
      <c r="F44" s="2"/>
      <c r="G44" s="22">
        <v>140.0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62</v>
      </c>
      <c r="D45" s="6">
        <v>17.0</v>
      </c>
      <c r="E45" s="8">
        <v>46232.55979195602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63</v>
      </c>
      <c r="D46" s="6">
        <v>16.0</v>
      </c>
      <c r="E46" s="8">
        <v>46232.5910922801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3.0</v>
      </c>
      <c r="C47" s="7" t="s">
        <v>64</v>
      </c>
      <c r="D47" s="6">
        <v>12.0</v>
      </c>
      <c r="E47" s="8">
        <v>46232.59115953704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65</v>
      </c>
      <c r="D48" s="6">
        <v>74.0</v>
      </c>
      <c r="E48" s="8">
        <v>46232.59121381944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66</v>
      </c>
      <c r="D49" s="6">
        <v>60.0</v>
      </c>
      <c r="E49" s="8">
        <v>46232.60539200231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1.0</v>
      </c>
      <c r="C50" s="7" t="s">
        <v>67</v>
      </c>
      <c r="D50" s="6">
        <v>18.0</v>
      </c>
      <c r="E50" s="8">
        <v>46232.605469155096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6.0</v>
      </c>
      <c r="C51" s="7" t="s">
        <v>68</v>
      </c>
      <c r="D51" s="6">
        <v>1.0</v>
      </c>
      <c r="E51" s="8">
        <v>46232.6055128125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1.0</v>
      </c>
      <c r="C52" s="7" t="s">
        <v>69</v>
      </c>
      <c r="D52" s="6">
        <v>45.0</v>
      </c>
      <c r="E52" s="8">
        <v>46232.611789664355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4.0</v>
      </c>
      <c r="C53" s="7" t="s">
        <v>70</v>
      </c>
      <c r="D53" s="6">
        <v>10.0</v>
      </c>
      <c r="E53" s="8">
        <v>46232.616013611114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71</v>
      </c>
      <c r="D54" s="6">
        <v>117.0</v>
      </c>
      <c r="E54" s="8">
        <v>46232.63445791666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72</v>
      </c>
      <c r="D55" s="6">
        <v>28.0</v>
      </c>
      <c r="E55" s="8">
        <v>46232.6462249537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73</v>
      </c>
      <c r="D56" s="6">
        <v>10.0</v>
      </c>
      <c r="E56" s="8">
        <v>46232.64928067129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74</v>
      </c>
      <c r="D57" s="6">
        <v>20.0</v>
      </c>
      <c r="E57" s="8">
        <v>46232.64937668982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3.0</v>
      </c>
      <c r="C58" s="7" t="s">
        <v>75</v>
      </c>
      <c r="D58" s="6">
        <v>15.0</v>
      </c>
      <c r="E58" s="8">
        <v>46232.64996466435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76</v>
      </c>
      <c r="D59" s="6">
        <v>95.0</v>
      </c>
      <c r="E59" s="8">
        <v>46232.66050489583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1.5</v>
      </c>
      <c r="C60" s="7" t="s">
        <v>77</v>
      </c>
      <c r="D60" s="6">
        <v>15.0</v>
      </c>
      <c r="E60" s="8">
        <v>46232.68535388889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78</v>
      </c>
      <c r="D61" s="6">
        <v>16.0</v>
      </c>
      <c r="E61" s="8">
        <v>46232.68953059027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2.0</v>
      </c>
      <c r="C62" s="7" t="s">
        <v>79</v>
      </c>
      <c r="D62" s="30">
        <v>1.0</v>
      </c>
      <c r="E62" s="8">
        <v>46232.689747627315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 t="s">
        <v>80</v>
      </c>
      <c r="C63" s="7" t="s">
        <v>81</v>
      </c>
      <c r="D63" s="6">
        <v>20.0</v>
      </c>
      <c r="E63" s="8">
        <v>46232.70299119213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 t="s">
        <v>82</v>
      </c>
      <c r="C64" s="7" t="s">
        <v>83</v>
      </c>
      <c r="D64" s="6">
        <v>10.0</v>
      </c>
      <c r="E64" s="8">
        <v>46232.71262284722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4.0</v>
      </c>
      <c r="C65" s="7" t="s">
        <v>84</v>
      </c>
      <c r="D65" s="6">
        <v>64.0</v>
      </c>
      <c r="E65" s="8">
        <v>46232.71626637732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85</v>
      </c>
      <c r="D66" s="6">
        <v>13.0</v>
      </c>
      <c r="E66" s="8">
        <v>46232.716518229165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86</v>
      </c>
      <c r="D67" s="6">
        <v>140.0</v>
      </c>
      <c r="E67" s="8">
        <v>46232.72055460648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87</v>
      </c>
      <c r="D68" s="6">
        <v>38.0</v>
      </c>
      <c r="E68" s="8">
        <v>46232.729644189814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14"/>
      <c r="C69" s="34"/>
      <c r="D69" s="35"/>
      <c r="E69" s="36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14"/>
      <c r="C70" s="34"/>
      <c r="D70" s="35"/>
      <c r="E70" s="36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14"/>
      <c r="C71" s="34"/>
      <c r="D71" s="35"/>
      <c r="E71" s="36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14"/>
      <c r="C72" s="34"/>
      <c r="D72" s="35"/>
      <c r="E72" s="36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14"/>
      <c r="C73" s="34"/>
      <c r="D73" s="35"/>
      <c r="E73" s="36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14"/>
      <c r="C74" s="34"/>
      <c r="D74" s="35"/>
      <c r="E74" s="36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14"/>
      <c r="C75" s="34"/>
      <c r="D75" s="35"/>
      <c r="E75" s="36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14"/>
      <c r="C76" s="34"/>
      <c r="D76" s="35"/>
      <c r="E76" s="36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14"/>
      <c r="C77" s="34"/>
      <c r="D77" s="35"/>
      <c r="E77" s="36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14"/>
      <c r="C78" s="34"/>
      <c r="D78" s="35"/>
      <c r="E78" s="36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14"/>
      <c r="C79" s="34"/>
      <c r="D79" s="35"/>
      <c r="E79" s="36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14"/>
      <c r="C80" s="34"/>
      <c r="D80" s="35"/>
      <c r="E80" s="36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14"/>
      <c r="C81" s="34"/>
      <c r="D81" s="35"/>
      <c r="E81" s="36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14"/>
      <c r="C82" s="34"/>
      <c r="D82" s="35"/>
      <c r="E82" s="36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34"/>
      <c r="D83" s="35"/>
      <c r="E83" s="36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34"/>
      <c r="D84" s="35"/>
      <c r="E84" s="36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34"/>
      <c r="D85" s="35"/>
      <c r="E85" s="36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34"/>
      <c r="D86" s="35"/>
      <c r="E86" s="36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34"/>
      <c r="D87" s="35"/>
      <c r="E87" s="3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34"/>
      <c r="D88" s="35"/>
      <c r="E88" s="3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34"/>
      <c r="D89" s="35"/>
      <c r="E89" s="3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34"/>
      <c r="D90" s="35"/>
      <c r="E90" s="3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34"/>
      <c r="D91" s="35"/>
      <c r="E91" s="3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34"/>
      <c r="D92" s="35"/>
      <c r="E92" s="3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