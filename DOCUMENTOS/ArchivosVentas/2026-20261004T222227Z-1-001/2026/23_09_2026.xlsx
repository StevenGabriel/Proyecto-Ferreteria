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<sst xmlns="http://schemas.openxmlformats.org/spreadsheetml/2006/main" count="116" uniqueCount="111">
  <si>
    <t>HOJA DE CALCULO FERRETERIA</t>
  </si>
  <si>
    <t>CODIGO</t>
  </si>
  <si>
    <t>CANTIDAD</t>
  </si>
  <si>
    <t>DESCRIPCION</t>
  </si>
  <si>
    <t>TOTAL</t>
  </si>
  <si>
    <t>HORA</t>
  </si>
  <si>
    <t>CUADRAR</t>
  </si>
  <si>
    <t>dado estr 10</t>
  </si>
  <si>
    <t>disco corte uyustools</t>
  </si>
  <si>
    <t>MONEDAS</t>
  </si>
  <si>
    <t>CAJA CHICA</t>
  </si>
  <si>
    <t>floatador 3/4</t>
  </si>
  <si>
    <t>BILLETES 10-20</t>
  </si>
  <si>
    <t>TOTAL VENTAS DIA</t>
  </si>
  <si>
    <t>´palanca astra</t>
  </si>
  <si>
    <t>BILLETES 50-100-200</t>
  </si>
  <si>
    <t>AUMENTO DE DINERO</t>
  </si>
  <si>
    <t>cadenilla</t>
  </si>
  <si>
    <t>INGRESOS YAPE</t>
  </si>
  <si>
    <t>carpicola</t>
  </si>
  <si>
    <t>INGRESOS TARJETA</t>
  </si>
  <si>
    <t>teflon</t>
  </si>
  <si>
    <t>GASTOS VARIOS</t>
  </si>
  <si>
    <t>desarmador reersible</t>
  </si>
  <si>
    <t>mosquetones</t>
  </si>
  <si>
    <t>DINERO GANADO HOY:</t>
  </si>
  <si>
    <t>CANTIDAD DINERO CAJA:</t>
  </si>
  <si>
    <t>tope magnetico uyus</t>
  </si>
  <si>
    <t>clefa 100</t>
  </si>
  <si>
    <t>tee pvc 3/4</t>
  </si>
  <si>
    <t>reduccion 3/4*1/2</t>
  </si>
  <si>
    <t>copla 3/4 pvc</t>
  </si>
  <si>
    <t>cemreto cola</t>
  </si>
  <si>
    <t>disco falp</t>
  </si>
  <si>
    <t>YAPE MAMÁ</t>
  </si>
  <si>
    <t>YAPE PAPÁ</t>
  </si>
  <si>
    <t>YAPE</t>
  </si>
  <si>
    <t>chicotillo 40 hh</t>
  </si>
  <si>
    <t>Monto Total YAPE (No tocar):</t>
  </si>
  <si>
    <t>tapa ciega</t>
  </si>
  <si>
    <t>disco desvaste 4</t>
  </si>
  <si>
    <t>Monto Total Registrado en aplicacion</t>
  </si>
  <si>
    <t>bomba de aceite</t>
  </si>
  <si>
    <t>cinta aisla</t>
  </si>
  <si>
    <t>carbon</t>
  </si>
  <si>
    <t>m lija 150</t>
  </si>
  <si>
    <t>cepillod e acero</t>
  </si>
  <si>
    <t>lija 80</t>
  </si>
  <si>
    <t>flotador 3 mt</t>
  </si>
  <si>
    <t>broca fierro 4</t>
  </si>
  <si>
    <t>PAGOS YAPE</t>
  </si>
  <si>
    <t>DESCRIPCION PAGO</t>
  </si>
  <si>
    <t>broca firro 5</t>
  </si>
  <si>
    <t>bandola</t>
  </si>
  <si>
    <t>tapon 1 tigre</t>
  </si>
  <si>
    <t>12m</t>
  </si>
  <si>
    <t>perlon 8</t>
  </si>
  <si>
    <t>candado 45</t>
  </si>
  <si>
    <t>broca 20mm</t>
  </si>
  <si>
    <t>guante tr</t>
  </si>
  <si>
    <t>alicate corte uyus</t>
  </si>
  <si>
    <t>cinta asilante</t>
  </si>
  <si>
    <t>armella</t>
  </si>
  <si>
    <t>precinto</t>
  </si>
  <si>
    <t>travex chapa 370</t>
  </si>
  <si>
    <t>picaporte plano</t>
  </si>
  <si>
    <t>1kl</t>
  </si>
  <si>
    <t>alambre gal 16</t>
  </si>
  <si>
    <t>rollo malla hexagonal</t>
  </si>
  <si>
    <t>alambre gal 20</t>
  </si>
  <si>
    <t>dado taladro 10</t>
  </si>
  <si>
    <t>broca ferro 4.5</t>
  </si>
  <si>
    <t>guante azul asatex</t>
  </si>
  <si>
    <t>clavo arcenol 21/2</t>
  </si>
  <si>
    <t>pico 1/2 tramon</t>
  </si>
  <si>
    <t>termico sica 40 a</t>
  </si>
  <si>
    <t>cabon</t>
  </si>
  <si>
    <t>sierra ncihls</t>
  </si>
  <si>
    <t>copla 1 1/2</t>
  </si>
  <si>
    <t>niple 1 1/2</t>
  </si>
  <si>
    <t>yeso</t>
  </si>
  <si>
    <t>cinta asialne</t>
  </si>
  <si>
    <t>lijgas tolse</t>
  </si>
  <si>
    <t>lente de soda</t>
  </si>
  <si>
    <t>alicate de punta</t>
  </si>
  <si>
    <t>lente truper</t>
  </si>
  <si>
    <t>pigmento rojo</t>
  </si>
  <si>
    <t>wd40</t>
  </si>
  <si>
    <t>lija 36</t>
  </si>
  <si>
    <t>tapon macho tigre</t>
  </si>
  <si>
    <t>pilas voltech aaa</t>
  </si>
  <si>
    <t>llave tee 8mm</t>
  </si>
  <si>
    <t>disco uyu4</t>
  </si>
  <si>
    <t>tee 1 tigre</t>
  </si>
  <si>
    <t>reduccion 1*3/4</t>
  </si>
  <si>
    <t>niple 3/4</t>
  </si>
  <si>
    <t>ubib otenete 3/4</t>
  </si>
  <si>
    <t>ADAPTADOR 3/4</t>
  </si>
  <si>
    <t>CODO 3/4 PCV</t>
  </si>
  <si>
    <t>UNION OATENETE 3/4 PVC</t>
  </si>
  <si>
    <t>PARABOM</t>
  </si>
  <si>
    <t xml:space="preserve">TEFLON </t>
  </si>
  <si>
    <t>LLAVE DE PASO 3/4</t>
  </si>
  <si>
    <t>CORTA TUBO</t>
  </si>
  <si>
    <t>CAÑERIA 3/4</t>
  </si>
  <si>
    <t>LENTE AMARILLO</t>
  </si>
  <si>
    <t>MANGUERA COMPRESORA</t>
  </si>
  <si>
    <t>ACOPLE TRUPER</t>
  </si>
  <si>
    <t>TAPON 3/4</t>
  </si>
  <si>
    <t xml:space="preserve">TUBOS </t>
  </si>
  <si>
    <t>SIFON LAVAMANOS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</si>
</sst>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1" fillId="9" fontId="5" numFmtId="0" xfId="0" applyAlignment="1" applyBorder="1" applyFill="1" applyFont="1">
      <alignment horizontal="center" readingOrder="0" shrinkToFit="0" vertical="center" wrapText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29.0</v>
      </c>
      <c r="E8" s="8">
        <v>46288.373731747684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29.0</v>
      </c>
      <c r="E9" s="8">
        <v>46288.37509880787</v>
      </c>
      <c r="F9" s="2"/>
      <c r="G9" s="9" t="s">
        <v>9</v>
      </c>
      <c r="H9" s="10">
        <v>28.0</v>
      </c>
      <c r="I9" s="2"/>
      <c r="J9" s="9" t="s">
        <v>10</v>
      </c>
      <c r="K9" s="10">
        <v>641.0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145.0</v>
      </c>
      <c r="E10" s="8">
        <v>46288.38368857639</v>
      </c>
      <c r="F10" s="2"/>
      <c r="G10" s="9" t="s">
        <v>12</v>
      </c>
      <c r="H10" s="10">
        <v>280.0</v>
      </c>
      <c r="I10" s="2"/>
      <c r="J10" s="9" t="s">
        <v>13</v>
      </c>
      <c r="K10" s="11">
        <f>SUM(PRINCIPAL[TOTAL])</f>
        <v>3429.5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22.0</v>
      </c>
      <c r="E11" s="8">
        <v>46288.39269916667</v>
      </c>
      <c r="F11" s="2"/>
      <c r="G11" s="9" t="s">
        <v>15</v>
      </c>
      <c r="H11" s="10">
        <v>2050.0</v>
      </c>
      <c r="I11" s="2"/>
      <c r="J11" s="9" t="s">
        <v>16</v>
      </c>
      <c r="K11" s="10">
        <v>100.0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12.0</v>
      </c>
      <c r="E12" s="8">
        <v>46288.392744756944</v>
      </c>
      <c r="F12" s="2"/>
      <c r="G12" s="9" t="s">
        <v>18</v>
      </c>
      <c r="H12" s="12">
        <f>SUM(G24:H361)</f>
        <v>1895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8.0</v>
      </c>
      <c r="E13" s="8">
        <v>46288.395776481484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5.0</v>
      </c>
      <c r="C14" s="7" t="s">
        <v>21</v>
      </c>
      <c r="D14" s="6">
        <v>15.0</v>
      </c>
      <c r="E14" s="8">
        <v>46288.41470141204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9.0</v>
      </c>
      <c r="E15" s="8">
        <v>46288.423759791665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30.0</v>
      </c>
      <c r="E16" s="8">
        <v>46288.43209149306</v>
      </c>
      <c r="F16" s="2"/>
      <c r="G16" s="15" t="s">
        <v>25</v>
      </c>
      <c r="H16" s="16">
        <f>SUM(H9:H14)</f>
        <v>4253</v>
      </c>
      <c r="I16" s="3"/>
      <c r="J16" s="15" t="s">
        <v>26</v>
      </c>
      <c r="K16" s="16">
        <f>SUM(K9:K11)</f>
        <v>4170.5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36.0</v>
      </c>
      <c r="E17" s="8">
        <v>46288.43434327546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17.0</v>
      </c>
      <c r="E18" s="8">
        <v>46288.43464533565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82,50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16.0</v>
      </c>
      <c r="E19" s="8">
        <v>46288.44157304398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3.0</v>
      </c>
      <c r="E20" s="8">
        <v>46288.44151986111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3.0</v>
      </c>
      <c r="E21" s="8">
        <v>46288.44142116898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32.0</v>
      </c>
      <c r="E22" s="8">
        <v>46288.44973806713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33</v>
      </c>
      <c r="D23" s="6">
        <v>28.0</v>
      </c>
      <c r="E23" s="8">
        <v>46288.466811666665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118.0</v>
      </c>
      <c r="E24" s="8">
        <v>46288.45474001157</v>
      </c>
      <c r="F24" s="2"/>
      <c r="G24" s="22">
        <v>29.0</v>
      </c>
      <c r="H24" s="23"/>
      <c r="I24" s="2"/>
      <c r="J24" s="24" t="s">
        <v>38</v>
      </c>
      <c r="K24" s="25">
        <f>SUM(INGRESOS_YAPE[])</f>
        <v>1895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1.5</v>
      </c>
      <c r="E25" s="8">
        <v>46288.45464460648</v>
      </c>
      <c r="F25" s="2"/>
      <c r="G25" s="22">
        <v>145.0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15.0</v>
      </c>
      <c r="E26" s="8">
        <v>46288.45448266204</v>
      </c>
      <c r="F26" s="2"/>
      <c r="G26" s="26">
        <v>9.0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422.0</v>
      </c>
      <c r="E27" s="8">
        <v>46288.467015752314</v>
      </c>
      <c r="F27" s="2"/>
      <c r="G27" s="22">
        <v>36.0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9.0</v>
      </c>
      <c r="E28" s="8">
        <v>46288.46753365741</v>
      </c>
      <c r="F28" s="2"/>
      <c r="G28" s="22">
        <v>21.5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29">
        <v>70.0</v>
      </c>
      <c r="E29" s="8">
        <v>46288.47502237269</v>
      </c>
      <c r="F29" s="2"/>
      <c r="G29" s="22">
        <v>162.5</v>
      </c>
      <c r="H29" s="23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1895,00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10.0</v>
      </c>
      <c r="E30" s="8">
        <v>46288.483274479164</v>
      </c>
      <c r="F30" s="2"/>
      <c r="G30" s="22">
        <v>625.0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31.0</v>
      </c>
      <c r="E31" s="8">
        <v>46288.491265543984</v>
      </c>
      <c r="F31" s="2"/>
      <c r="G31" s="22">
        <v>53.0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47</v>
      </c>
      <c r="D32" s="6">
        <v>12.0</v>
      </c>
      <c r="E32" s="8">
        <v>46288.49132262732</v>
      </c>
      <c r="F32" s="2"/>
      <c r="G32" s="22">
        <v>53.0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158.0</v>
      </c>
      <c r="E33" s="8">
        <v>46288.49291134259</v>
      </c>
      <c r="F33" s="2"/>
      <c r="G33" s="22">
        <v>16.0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11.0</v>
      </c>
      <c r="E34" s="8">
        <v>46288.49643506944</v>
      </c>
      <c r="F34" s="2"/>
      <c r="G34" s="22">
        <v>128.0</v>
      </c>
      <c r="H34" s="23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13.0</v>
      </c>
      <c r="E35" s="8">
        <v>46288.49648961806</v>
      </c>
      <c r="F35" s="2"/>
      <c r="G35" s="22">
        <v>10.0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27.0</v>
      </c>
      <c r="E36" s="8">
        <v>46288.4973683912</v>
      </c>
      <c r="F36" s="2"/>
      <c r="G36" s="22">
        <v>23.0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53</v>
      </c>
      <c r="D37" s="6">
        <v>20.0</v>
      </c>
      <c r="E37" s="8">
        <v>46288.49743773148</v>
      </c>
      <c r="F37" s="2"/>
      <c r="G37" s="22">
        <v>24.0</v>
      </c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4.0</v>
      </c>
      <c r="E38" s="8">
        <v>46288.497580752315</v>
      </c>
      <c r="F38" s="2"/>
      <c r="G38" s="22">
        <v>341.0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 t="s">
        <v>55</v>
      </c>
      <c r="C39" s="7" t="s">
        <v>56</v>
      </c>
      <c r="D39" s="6">
        <v>60.0</v>
      </c>
      <c r="E39" s="8">
        <v>46288.499784479165</v>
      </c>
      <c r="F39" s="2"/>
      <c r="G39" s="22">
        <v>67.0</v>
      </c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10.0</v>
      </c>
      <c r="C40" s="7" t="s">
        <v>57</v>
      </c>
      <c r="D40" s="6">
        <v>49.0</v>
      </c>
      <c r="E40" s="8">
        <v>46288.50301569444</v>
      </c>
      <c r="F40" s="2"/>
      <c r="G40" s="22">
        <v>103.0</v>
      </c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145.0</v>
      </c>
      <c r="E41" s="8">
        <v>46288.50360038194</v>
      </c>
      <c r="F41" s="2"/>
      <c r="G41" s="22">
        <v>49.0</v>
      </c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20.0</v>
      </c>
      <c r="E42" s="8">
        <v>46288.50401072917</v>
      </c>
      <c r="F42" s="2"/>
      <c r="G42" s="23"/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33.0</v>
      </c>
      <c r="E43" s="8">
        <v>46288.504068553244</v>
      </c>
      <c r="F43" s="2"/>
      <c r="G43" s="23"/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9.0</v>
      </c>
      <c r="E44" s="8">
        <v>46288.505109652775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1.0</v>
      </c>
      <c r="E45" s="8">
        <v>46288.522497812504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62</v>
      </c>
      <c r="D46" s="6">
        <v>1.0</v>
      </c>
      <c r="E46" s="8">
        <v>46288.52246447917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62</v>
      </c>
      <c r="D47" s="6">
        <v>1.5</v>
      </c>
      <c r="E47" s="8">
        <v>46288.52244033565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6.0</v>
      </c>
      <c r="C48" s="7" t="s">
        <v>63</v>
      </c>
      <c r="D48" s="34">
        <v>3.0</v>
      </c>
      <c r="E48" s="8">
        <v>46288.52235170139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210.0</v>
      </c>
      <c r="E49" s="8">
        <v>46288.536478043985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18.0</v>
      </c>
      <c r="E50" s="8">
        <v>46288.536592766206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66</v>
      </c>
      <c r="C51" s="7" t="s">
        <v>67</v>
      </c>
      <c r="D51" s="6">
        <v>30.0</v>
      </c>
      <c r="E51" s="8">
        <v>46288.54791393518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240.0</v>
      </c>
      <c r="E52" s="8">
        <v>46288.557227303245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 t="s">
        <v>66</v>
      </c>
      <c r="C53" s="7" t="s">
        <v>69</v>
      </c>
      <c r="D53" s="6">
        <v>30.0</v>
      </c>
      <c r="E53" s="8">
        <v>46288.55752616898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70</v>
      </c>
      <c r="D54" s="6">
        <v>10.0</v>
      </c>
      <c r="E54" s="8">
        <v>46288.56962974537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13.0</v>
      </c>
      <c r="E55" s="8">
        <v>46288.56976344908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13.0</v>
      </c>
      <c r="E56" s="8">
        <v>46288.57613194444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73</v>
      </c>
      <c r="D57" s="6">
        <v>27.0</v>
      </c>
      <c r="E57" s="8">
        <v>46288.5786956713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8.0</v>
      </c>
      <c r="E58" s="8">
        <v>46288.606581817134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53.0</v>
      </c>
      <c r="E59" s="8">
        <v>46288.615737291664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25.0</v>
      </c>
      <c r="E60" s="8">
        <v>46288.61704070602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22.0</v>
      </c>
      <c r="E61" s="8">
        <v>46288.61733550926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18.0</v>
      </c>
      <c r="E62" s="8">
        <v>46288.63538605324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12.5</v>
      </c>
      <c r="E63" s="8">
        <v>46288.634259259255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16.0</v>
      </c>
      <c r="E64" s="8">
        <v>46288.63540818287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16.0</v>
      </c>
      <c r="E65" s="8">
        <v>46288.65059866898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19.0</v>
      </c>
      <c r="E66" s="8">
        <v>46288.65066907408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67.0</v>
      </c>
      <c r="E67" s="8">
        <v>46288.6579959838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84</v>
      </c>
      <c r="D68" s="6">
        <v>39.0</v>
      </c>
      <c r="E68" s="8">
        <v>46288.65828230324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6">
        <v>22.0</v>
      </c>
      <c r="E69" s="8">
        <v>46288.65832461805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86</v>
      </c>
      <c r="D70" s="6">
        <v>10.0</v>
      </c>
      <c r="E70" s="8">
        <v>46288.658666724536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87</v>
      </c>
      <c r="D71" s="6">
        <v>95.0</v>
      </c>
      <c r="E71" s="8">
        <v>46288.675575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88</v>
      </c>
      <c r="D72" s="6">
        <v>10.0</v>
      </c>
      <c r="E72" s="8">
        <v>46288.675642002316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3.0</v>
      </c>
      <c r="E73" s="8">
        <v>46288.687120937495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90</v>
      </c>
      <c r="D74" s="6">
        <v>20.0</v>
      </c>
      <c r="E74" s="8">
        <v>46288.68721004629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24.0</v>
      </c>
      <c r="E75" s="8">
        <v>46288.69511914352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92</v>
      </c>
      <c r="D76" s="6">
        <v>5.0</v>
      </c>
      <c r="E76" s="8">
        <v>46288.69652591435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93</v>
      </c>
      <c r="D77" s="6">
        <v>20.0</v>
      </c>
      <c r="E77" s="8">
        <v>46288.696656747685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94</v>
      </c>
      <c r="D78" s="6">
        <v>5.0</v>
      </c>
      <c r="E78" s="8">
        <v>46288.69676025463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95</v>
      </c>
      <c r="D79" s="6">
        <v>8.0</v>
      </c>
      <c r="E79" s="8">
        <v>46288.69702233796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96</v>
      </c>
      <c r="D80" s="6">
        <v>17.0</v>
      </c>
      <c r="E80" s="8">
        <v>46288.69798363426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97</v>
      </c>
      <c r="D81" s="6">
        <v>4.0</v>
      </c>
      <c r="E81" s="8">
        <v>46288.69937487268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26">
        <v>6.0</v>
      </c>
      <c r="C82" s="7" t="s">
        <v>98</v>
      </c>
      <c r="D82" s="6">
        <v>30.0</v>
      </c>
      <c r="E82" s="8">
        <v>46288.69956248843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99</v>
      </c>
      <c r="D83" s="6">
        <v>29.0</v>
      </c>
      <c r="E83" s="8">
        <v>46288.699770879626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108.0</v>
      </c>
      <c r="E84" s="8">
        <v>46288.69983886574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101</v>
      </c>
      <c r="D85" s="6">
        <v>12.0</v>
      </c>
      <c r="E85" s="8">
        <v>46288.703034398146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102</v>
      </c>
      <c r="D86" s="6">
        <v>108.0</v>
      </c>
      <c r="E86" s="8">
        <v>46288.70322193287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103</v>
      </c>
      <c r="D87" s="6">
        <v>67.0</v>
      </c>
      <c r="E87" s="8">
        <v>46288.70330688657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4.0</v>
      </c>
      <c r="C88" s="7" t="s">
        <v>31</v>
      </c>
      <c r="D88" s="6">
        <v>12.0</v>
      </c>
      <c r="E88" s="8">
        <v>46288.70753313658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104</v>
      </c>
      <c r="D89" s="6">
        <v>15.0</v>
      </c>
      <c r="E89" s="8">
        <v>46288.71834320602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105</v>
      </c>
      <c r="D90" s="6">
        <v>17.0</v>
      </c>
      <c r="E90" s="8">
        <v>46288.72056752315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106</v>
      </c>
      <c r="D91" s="6">
        <v>94.0</v>
      </c>
      <c r="E91" s="8">
        <v>46288.72552547454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107</v>
      </c>
      <c r="D92" s="6">
        <v>9.0</v>
      </c>
      <c r="E92" s="8">
        <v>46288.72557473379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2.0</v>
      </c>
      <c r="C93" s="7" t="s">
        <v>108</v>
      </c>
      <c r="D93" s="6">
        <v>7.0</v>
      </c>
      <c r="E93" s="8">
        <v>46288.73708361111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7.0</v>
      </c>
      <c r="C94" s="7" t="s">
        <v>109</v>
      </c>
      <c r="D94" s="6">
        <v>49.0</v>
      </c>
      <c r="E94" s="8">
        <v>46288.75121412037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110</v>
      </c>
      <c r="D95" s="6">
        <v>65.0</v>
      </c>
      <c r="E95" s="8">
        <v>46288.76927045139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