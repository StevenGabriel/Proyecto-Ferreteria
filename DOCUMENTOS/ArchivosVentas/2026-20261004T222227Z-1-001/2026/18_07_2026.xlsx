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<sst xmlns="http://schemas.openxmlformats.org/spreadsheetml/2006/main" count="101" uniqueCount="98">
  <si>
    <t>HOJA DE CALCULO FERRETERIA</t>
  </si>
  <si>
    <t>CODIGO</t>
  </si>
  <si>
    <t>CANTIDAD</t>
  </si>
  <si>
    <t>DESCRIPCION</t>
  </si>
  <si>
    <t>TOTAL</t>
  </si>
  <si>
    <t>HORA</t>
  </si>
  <si>
    <t>CUADRAR</t>
  </si>
  <si>
    <t>adaptador kontak</t>
  </si>
  <si>
    <t>tubo desgue 4</t>
  </si>
  <si>
    <t>MONEDAS</t>
  </si>
  <si>
    <t>CAJA CHICA</t>
  </si>
  <si>
    <t>tubo desague3</t>
  </si>
  <si>
    <t>BILLETES 10-20</t>
  </si>
  <si>
    <t>TOTAL VENTAS DIA</t>
  </si>
  <si>
    <t>codo 4</t>
  </si>
  <si>
    <t>BILLETES 50-100-200</t>
  </si>
  <si>
    <t>AUMENTO DE DINERO</t>
  </si>
  <si>
    <t>reduccion 4*3</t>
  </si>
  <si>
    <t>INGRESOS YAPE</t>
  </si>
  <si>
    <t>yee4</t>
  </si>
  <si>
    <t>INGRESOS TARJETA</t>
  </si>
  <si>
    <t>tee 4</t>
  </si>
  <si>
    <t>GASTOS VARIOS</t>
  </si>
  <si>
    <t>juego de cepillo truper</t>
  </si>
  <si>
    <t>sacabocado 32</t>
  </si>
  <si>
    <t>DINERO GANADO HOY:</t>
  </si>
  <si>
    <t>CANTIDAD DINERO CAJA:</t>
  </si>
  <si>
    <t>sacabocado 50mm</t>
  </si>
  <si>
    <t>lente tr</t>
  </si>
  <si>
    <t>1kl</t>
  </si>
  <si>
    <t>carburo</t>
  </si>
  <si>
    <t>alambre de amamrre</t>
  </si>
  <si>
    <t xml:space="preserve">escobilla total </t>
  </si>
  <si>
    <t>cepillo uyusto 4,5</t>
  </si>
  <si>
    <t>clefa</t>
  </si>
  <si>
    <t>YAPE MAMÁ</t>
  </si>
  <si>
    <t>YAPE PAPÁ</t>
  </si>
  <si>
    <t>YAPE</t>
  </si>
  <si>
    <t>chaleco refectivo</t>
  </si>
  <si>
    <t>Monto Total YAPE (No tocar):</t>
  </si>
  <si>
    <t>flaper astra</t>
  </si>
  <si>
    <t>silicona negra sika</t>
  </si>
  <si>
    <t>Monto Total Registrado en aplicacion</t>
  </si>
  <si>
    <t>pistola silicona jadever</t>
  </si>
  <si>
    <t>NIPLE FG 11/4</t>
  </si>
  <si>
    <t>TFLON</t>
  </si>
  <si>
    <t>DIABLITO</t>
  </si>
  <si>
    <t>REGLETA 3</t>
  </si>
  <si>
    <t>CAL</t>
  </si>
  <si>
    <t>DUCHA LOREZETE</t>
  </si>
  <si>
    <t>DISO FLAPA</t>
  </si>
  <si>
    <t>PAGOS YAPE</t>
  </si>
  <si>
    <t>DESCRIPCION PAGO</t>
  </si>
  <si>
    <t>DISCO DE GOMA 4</t>
  </si>
  <si>
    <t>JALDORA</t>
  </si>
  <si>
    <t xml:space="preserve">FELXON </t>
  </si>
  <si>
    <t>PAÑO DE MICROFIBA</t>
  </si>
  <si>
    <t>GUANTE TRAAMOTNA</t>
  </si>
  <si>
    <t>adaptador 1/2 tr</t>
  </si>
  <si>
    <t>1/2 mt</t>
  </si>
  <si>
    <t>lija</t>
  </si>
  <si>
    <t>gotita</t>
  </si>
  <si>
    <t>rodapie 4</t>
  </si>
  <si>
    <t>rodapie 2</t>
  </si>
  <si>
    <t>bolsa de precietno</t>
  </si>
  <si>
    <t>bombita para gasoli a</t>
  </si>
  <si>
    <t>tee pvc 1</t>
  </si>
  <si>
    <t>reduccion pvc 1 x 3/4</t>
  </si>
  <si>
    <t>adaptador pvc 1</t>
  </si>
  <si>
    <t xml:space="preserve">llave de paso 1 </t>
  </si>
  <si>
    <t>brida 1</t>
  </si>
  <si>
    <t>codo pvc 3/4</t>
  </si>
  <si>
    <t>1m</t>
  </si>
  <si>
    <t>cañeria 3/4</t>
  </si>
  <si>
    <t>cañeria 1</t>
  </si>
  <si>
    <t>codo ´pvc 1</t>
  </si>
  <si>
    <t xml:space="preserve">abrazadera 1 </t>
  </si>
  <si>
    <t>tapon 3/4</t>
  </si>
  <si>
    <t>semicodo 3/4 pbv</t>
  </si>
  <si>
    <t>reduccion 3/4 x 1/2</t>
  </si>
  <si>
    <t>engrampadora uyus</t>
  </si>
  <si>
    <t>grampas 10mm</t>
  </si>
  <si>
    <t>alicate miji</t>
  </si>
  <si>
    <t>18m</t>
  </si>
  <si>
    <t>perlon 1/4</t>
  </si>
  <si>
    <t>aerosol negro</t>
  </si>
  <si>
    <t>adaptador ultra</t>
  </si>
  <si>
    <t>silicona estructural</t>
  </si>
  <si>
    <t>chip 3.5 x 40</t>
  </si>
  <si>
    <t>LLAVE 10 ELE</t>
  </si>
  <si>
    <t>FLXO 14608</t>
  </si>
  <si>
    <t>TEFLON</t>
  </si>
  <si>
    <t>NIPLE 1 FG</t>
  </si>
  <si>
    <t>COPLAS 1  FG</t>
  </si>
  <si>
    <t>SELLA ROSA</t>
  </si>
  <si>
    <t xml:space="preserve">ADAPTDOR </t>
  </si>
  <si>
    <t>M CAÑERIA 1</t>
  </si>
  <si>
    <t>SIFON ACOREON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</si>
</sst>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B45F06"/>
        <bgColor rgb="FFB45F0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15.0</v>
      </c>
      <c r="E8" s="8">
        <v>46221.37263400463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3.0</v>
      </c>
      <c r="C9" s="7" t="s">
        <v>8</v>
      </c>
      <c r="D9" s="6">
        <v>315.0</v>
      </c>
      <c r="E9" s="8">
        <v>46221.373102488426</v>
      </c>
      <c r="F9" s="2"/>
      <c r="G9" s="9" t="s">
        <v>9</v>
      </c>
      <c r="H9" s="10">
        <v>155.5</v>
      </c>
      <c r="I9" s="2"/>
      <c r="J9" s="9" t="s">
        <v>10</v>
      </c>
      <c r="K9" s="10">
        <v>742.0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87.0</v>
      </c>
      <c r="E10" s="8">
        <v>46221.37316206019</v>
      </c>
      <c r="F10" s="2"/>
      <c r="G10" s="9" t="s">
        <v>12</v>
      </c>
      <c r="H10" s="10">
        <v>380.0</v>
      </c>
      <c r="I10" s="2"/>
      <c r="J10" s="9" t="s">
        <v>13</v>
      </c>
      <c r="K10" s="11">
        <f>SUM(PRINCIPAL[TOTAL])</f>
        <v>2870.5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19.0</v>
      </c>
      <c r="E11" s="8">
        <v>46221.373395057875</v>
      </c>
      <c r="F11" s="2"/>
      <c r="G11" s="9" t="s">
        <v>15</v>
      </c>
      <c r="H11" s="10">
        <v>2250.0</v>
      </c>
      <c r="I11" s="2"/>
      <c r="J11" s="9" t="s">
        <v>16</v>
      </c>
      <c r="K11" s="10">
        <v>100.0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8.0</v>
      </c>
      <c r="E12" s="8">
        <v>46221.37344939815</v>
      </c>
      <c r="F12" s="2"/>
      <c r="G12" s="9" t="s">
        <v>18</v>
      </c>
      <c r="H12" s="12">
        <f>SUM(G24:H361)</f>
        <v>933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50.0</v>
      </c>
      <c r="E13" s="8">
        <v>46221.37370023148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19.0</v>
      </c>
      <c r="E14" s="8">
        <v>46221.373750081024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118.0</v>
      </c>
      <c r="E15" s="8">
        <v>46221.375675601856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78.0</v>
      </c>
      <c r="E16" s="8">
        <v>46221.379058645834</v>
      </c>
      <c r="F16" s="2"/>
      <c r="G16" s="15" t="s">
        <v>25</v>
      </c>
      <c r="H16" s="16">
        <f>SUM(H9:H14)</f>
        <v>3718.5</v>
      </c>
      <c r="I16" s="3"/>
      <c r="J16" s="15" t="s">
        <v>26</v>
      </c>
      <c r="K16" s="16">
        <f>SUM(K9:K11)</f>
        <v>3712.5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128.0</v>
      </c>
      <c r="E17" s="8">
        <v>46221.3791915162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26.0</v>
      </c>
      <c r="E18" s="8">
        <v>46221.38719116898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6,00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29</v>
      </c>
      <c r="C19" s="7" t="s">
        <v>30</v>
      </c>
      <c r="D19" s="6">
        <v>25.0</v>
      </c>
      <c r="E19" s="8">
        <v>46221.387253113426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 t="s">
        <v>29</v>
      </c>
      <c r="C20" s="7" t="s">
        <v>31</v>
      </c>
      <c r="D20" s="6">
        <v>19.0</v>
      </c>
      <c r="E20" s="8">
        <v>46221.38733809028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19.0</v>
      </c>
      <c r="E21" s="8">
        <v>46221.39034582176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42.0</v>
      </c>
      <c r="E22" s="8">
        <v>46221.39049982639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49.0</v>
      </c>
      <c r="E23" s="8">
        <v>46221.391004351855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10.0</v>
      </c>
      <c r="C24" s="7" t="s">
        <v>38</v>
      </c>
      <c r="D24" s="6">
        <v>180.0</v>
      </c>
      <c r="E24" s="8">
        <v>46221.39116833333</v>
      </c>
      <c r="F24" s="2"/>
      <c r="G24" s="22">
        <v>15.0</v>
      </c>
      <c r="H24" s="23"/>
      <c r="I24" s="2"/>
      <c r="J24" s="24" t="s">
        <v>39</v>
      </c>
      <c r="K24" s="25">
        <f>SUM(INGRESOS_YAPE[])</f>
        <v>933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8.0</v>
      </c>
      <c r="E25" s="8">
        <v>46221.39385111111</v>
      </c>
      <c r="F25" s="2"/>
      <c r="G25" s="22">
        <v>206.0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39.0</v>
      </c>
      <c r="E26" s="8">
        <v>46221.41019930555</v>
      </c>
      <c r="F26" s="2"/>
      <c r="G26" s="26">
        <v>180.0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17.0</v>
      </c>
      <c r="E27" s="8">
        <v>46221.41028157408</v>
      </c>
      <c r="F27" s="2"/>
      <c r="G27" s="22">
        <v>56.0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45.0</v>
      </c>
      <c r="E28" s="8">
        <v>46221.424410555555</v>
      </c>
      <c r="F28" s="2"/>
      <c r="G28" s="22">
        <v>47.0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45</v>
      </c>
      <c r="D29" s="6">
        <v>5.0</v>
      </c>
      <c r="E29" s="8">
        <v>46221.42444487268</v>
      </c>
      <c r="F29" s="2"/>
      <c r="G29" s="22">
        <v>209.0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933,00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13.0</v>
      </c>
      <c r="E30" s="8">
        <v>46221.424601701394</v>
      </c>
      <c r="F30" s="2"/>
      <c r="G30" s="22">
        <v>24.0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5.0</v>
      </c>
      <c r="E31" s="8">
        <v>46221.42467627315</v>
      </c>
      <c r="F31" s="2"/>
      <c r="G31" s="22">
        <v>73.0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19.0</v>
      </c>
      <c r="E32" s="8">
        <v>46221.426943506944</v>
      </c>
      <c r="F32" s="2"/>
      <c r="G32" s="22">
        <v>108.0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209.0</v>
      </c>
      <c r="E33" s="8">
        <v>46221.47656855324</v>
      </c>
      <c r="F33" s="2"/>
      <c r="G33" s="22">
        <v>15.0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12.0</v>
      </c>
      <c r="E34" s="8">
        <v>46221.47660818287</v>
      </c>
      <c r="F34" s="2"/>
      <c r="G34" s="23"/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25.0</v>
      </c>
      <c r="E35" s="8">
        <v>46221.476664525464</v>
      </c>
      <c r="F35" s="2"/>
      <c r="G35" s="23"/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15.0</v>
      </c>
      <c r="E36" s="8">
        <v>46221.477226284725</v>
      </c>
      <c r="F36" s="2"/>
      <c r="G36" s="23"/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55</v>
      </c>
      <c r="D37" s="6">
        <v>108.0</v>
      </c>
      <c r="E37" s="8">
        <v>46221.47826212963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56</v>
      </c>
      <c r="D38" s="6">
        <v>50.0</v>
      </c>
      <c r="E38" s="8">
        <v>46221.4795527199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51.0</v>
      </c>
      <c r="E39" s="8">
        <v>46221.479609988426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24.0</v>
      </c>
      <c r="E40" s="8">
        <v>46221.498655682866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 t="s">
        <v>59</v>
      </c>
      <c r="C41" s="7" t="s">
        <v>60</v>
      </c>
      <c r="D41" s="6">
        <v>6.0</v>
      </c>
      <c r="E41" s="8">
        <v>46221.507203113426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61</v>
      </c>
      <c r="D42" s="6">
        <v>22.0</v>
      </c>
      <c r="E42" s="8">
        <v>46221.50941460648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11.0</v>
      </c>
      <c r="E43" s="8">
        <v>46221.51051346065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17.0</v>
      </c>
      <c r="E44" s="8">
        <v>46221.51066728009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26.0</v>
      </c>
      <c r="E45" s="8">
        <v>46221.51137988426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6">
        <v>25.0</v>
      </c>
      <c r="E46" s="8">
        <v>46221.51145326388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/>
      <c r="C47" s="7"/>
      <c r="D47" s="6"/>
      <c r="E47" s="8"/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3.0</v>
      </c>
      <c r="C48" s="7" t="s">
        <v>66</v>
      </c>
      <c r="D48" s="33">
        <v>24.0</v>
      </c>
      <c r="E48" s="8">
        <v>46221.51257799768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3.0</v>
      </c>
      <c r="C49" s="7" t="s">
        <v>67</v>
      </c>
      <c r="D49" s="33">
        <v>10.5</v>
      </c>
      <c r="E49" s="8">
        <v>46221.5127930787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68</v>
      </c>
      <c r="D50" s="33">
        <v>10.0</v>
      </c>
      <c r="E50" s="8">
        <v>46221.512912314814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69</v>
      </c>
      <c r="D51" s="33">
        <v>140.0</v>
      </c>
      <c r="E51" s="8">
        <v>46221.513078460644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70</v>
      </c>
      <c r="D52" s="33">
        <v>26.0</v>
      </c>
      <c r="E52" s="8">
        <v>46221.5132600463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3.0</v>
      </c>
      <c r="C53" s="7" t="s">
        <v>71</v>
      </c>
      <c r="D53" s="33">
        <v>15.0</v>
      </c>
      <c r="E53" s="8">
        <v>46221.51341950231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72</v>
      </c>
      <c r="C54" s="7" t="s">
        <v>73</v>
      </c>
      <c r="D54" s="33">
        <v>12.0</v>
      </c>
      <c r="E54" s="8">
        <v>46221.514733125005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74</v>
      </c>
      <c r="D55" s="33">
        <v>120.0</v>
      </c>
      <c r="E55" s="8">
        <v>46221.51495181713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33">
        <v>11.0</v>
      </c>
      <c r="E56" s="8">
        <v>46221.51510160879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3.0</v>
      </c>
      <c r="C57" s="7" t="s">
        <v>76</v>
      </c>
      <c r="D57" s="33">
        <v>12.0</v>
      </c>
      <c r="E57" s="8">
        <v>46221.51529980324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77</v>
      </c>
      <c r="D58" s="33">
        <v>3.0</v>
      </c>
      <c r="E58" s="8">
        <v>46221.51542923611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78</v>
      </c>
      <c r="D59" s="33">
        <v>8.0</v>
      </c>
      <c r="E59" s="8">
        <v>46221.51568552083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33">
        <v>3.0</v>
      </c>
      <c r="E60" s="8">
        <v>46221.515822511574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55.0</v>
      </c>
      <c r="E61" s="8">
        <v>46221.521752175926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81</v>
      </c>
      <c r="D62" s="6">
        <v>22.0</v>
      </c>
      <c r="E62" s="8">
        <v>46221.52181466435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82</v>
      </c>
      <c r="D63" s="6">
        <v>31.5</v>
      </c>
      <c r="E63" s="8">
        <v>46221.5218756713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58</v>
      </c>
      <c r="D64" s="6">
        <v>8.0</v>
      </c>
      <c r="E64" s="8">
        <v>46221.52199824074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34"/>
      <c r="D65" s="35"/>
      <c r="E65" s="36"/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 t="s">
        <v>83</v>
      </c>
      <c r="C66" s="7" t="s">
        <v>84</v>
      </c>
      <c r="D66" s="6">
        <v>54.0</v>
      </c>
      <c r="E66" s="8">
        <v>46221.528027175926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85</v>
      </c>
      <c r="D67" s="6">
        <v>20.0</v>
      </c>
      <c r="E67" s="8">
        <v>46221.52826355324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86</v>
      </c>
      <c r="D68" s="6">
        <v>8.0</v>
      </c>
      <c r="E68" s="8">
        <v>46221.52902270833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87</v>
      </c>
      <c r="D69" s="6">
        <v>66.0</v>
      </c>
      <c r="E69" s="8">
        <v>46221.54172631944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6.0</v>
      </c>
      <c r="C70" s="7" t="s">
        <v>88</v>
      </c>
      <c r="D70" s="6">
        <v>2.5</v>
      </c>
      <c r="E70" s="8">
        <v>46221.541967638885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89</v>
      </c>
      <c r="D71" s="37">
        <v>13.0</v>
      </c>
      <c r="E71" s="8">
        <v>46221.56543648148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90</v>
      </c>
      <c r="D72" s="6">
        <v>108.0</v>
      </c>
      <c r="E72" s="8">
        <v>46221.56981195602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91</v>
      </c>
      <c r="D73" s="6">
        <v>2.5</v>
      </c>
      <c r="E73" s="8">
        <v>46221.58193767361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92</v>
      </c>
      <c r="D74" s="6">
        <v>25.0</v>
      </c>
      <c r="E74" s="8">
        <v>46221.584348599536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93</v>
      </c>
      <c r="D75" s="6">
        <v>23.0</v>
      </c>
      <c r="E75" s="8">
        <v>46221.58441303241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94</v>
      </c>
      <c r="D76" s="6">
        <v>21.0</v>
      </c>
      <c r="E76" s="8">
        <v>46221.58450571759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95</v>
      </c>
      <c r="D77" s="6">
        <v>15.0</v>
      </c>
      <c r="E77" s="8">
        <v>46221.58455666667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91</v>
      </c>
      <c r="D78" s="6">
        <v>2.5</v>
      </c>
      <c r="E78" s="8">
        <v>46221.58461853009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96</v>
      </c>
      <c r="D79" s="6">
        <v>20.0</v>
      </c>
      <c r="E79" s="8">
        <v>46221.61027428241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97</v>
      </c>
      <c r="D80" s="6">
        <v>30.0</v>
      </c>
      <c r="E80" s="8">
        <v>46221.656581435185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8"/>
      <c r="E81" s="36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8"/>
      <c r="E82" s="36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8"/>
      <c r="E83" s="36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8"/>
      <c r="E84" s="36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8"/>
      <c r="E85" s="36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8"/>
      <c r="E86" s="36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8"/>
      <c r="E87" s="36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8"/>
      <c r="E88" s="36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8"/>
      <c r="E89" s="36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8"/>
      <c r="E90" s="36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8"/>
      <c r="E91" s="36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8"/>
      <c r="E92" s="36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8"/>
      <c r="E93" s="3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8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8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8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8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8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8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8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8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8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8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8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8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8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8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8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8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8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8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8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8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8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8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8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8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8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8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8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8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8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8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8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8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8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8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8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8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8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8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8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8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8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8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8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8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8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8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8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8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8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8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8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8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8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8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8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8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8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8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8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8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8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8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8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8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8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8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8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8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8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8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8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8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8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8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8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8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8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8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8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8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8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8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8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8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8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8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8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8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8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8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8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8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8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8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8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8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8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8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8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8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8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8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8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8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8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8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8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8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8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8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8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8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8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8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8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8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8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8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8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8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8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8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8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8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8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8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8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8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8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8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8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8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8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8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8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8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8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8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8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8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8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8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8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8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8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8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8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8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8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8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8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8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8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8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8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8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8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8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8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8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8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8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8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8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8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8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8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8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8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8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8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8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8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8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8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8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8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8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8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8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8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8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8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8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8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8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8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8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8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8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8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8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8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8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8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8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8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8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8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8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8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8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8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8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8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8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8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8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