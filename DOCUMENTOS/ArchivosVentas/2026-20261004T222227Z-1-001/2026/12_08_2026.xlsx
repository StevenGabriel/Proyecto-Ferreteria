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<sst xmlns="http://schemas.openxmlformats.org/spreadsheetml/2006/main" count="126" uniqueCount="124">
  <si>
    <t>HOJA DE CALCULO FERRETERIA</t>
  </si>
  <si>
    <t>CODIGO</t>
  </si>
  <si>
    <t>CANTIDAD</t>
  </si>
  <si>
    <t>DESCRIPCION</t>
  </si>
  <si>
    <t>TOTAL</t>
  </si>
  <si>
    <t>HORA</t>
  </si>
  <si>
    <t>CUADRAR</t>
  </si>
  <si>
    <t>grampa turper</t>
  </si>
  <si>
    <t>RODAPIES</t>
  </si>
  <si>
    <t>MONEDAS</t>
  </si>
  <si>
    <t>CAJA CHICA</t>
  </si>
  <si>
    <t>TIJERA TOLSE</t>
  </si>
  <si>
    <t>BILLETES 10-20</t>
  </si>
  <si>
    <t>TOTAL VENTAS DIA</t>
  </si>
  <si>
    <t>ESPUMA</t>
  </si>
  <si>
    <t>BILLETES 50-100-200</t>
  </si>
  <si>
    <t>AUMENTO DE DINERO</t>
  </si>
  <si>
    <t>CODO CONDUIT 5/8</t>
  </si>
  <si>
    <t>INGRESOS YAPE</t>
  </si>
  <si>
    <t>1KL</t>
  </si>
  <si>
    <t>ALABRE GAL 18</t>
  </si>
  <si>
    <t>INGRESOS TARJETA</t>
  </si>
  <si>
    <t>DOBLE CONTACTO CRISTAL</t>
  </si>
  <si>
    <t>GASTOS VARIOS</t>
  </si>
  <si>
    <t>3M</t>
  </si>
  <si>
    <t>MNGUERA GAS</t>
  </si>
  <si>
    <t>ABRAZADERA 3/4</t>
  </si>
  <si>
    <t>DINERO GANADO HOY:</t>
  </si>
  <si>
    <t>CANTIDAD DINERO CAJA:</t>
  </si>
  <si>
    <t>BROCA ENCASTRE 1/4</t>
  </si>
  <si>
    <t>PUNTA PARA TALADEO</t>
  </si>
  <si>
    <t>GAMPAS TR</t>
  </si>
  <si>
    <t>GRAMS  TRERE</t>
  </si>
  <si>
    <t>LAVANDERIA</t>
  </si>
  <si>
    <t>NIPLE 1 TIGRE</t>
  </si>
  <si>
    <t>TEE 1 TIGRE</t>
  </si>
  <si>
    <t>YAPE MAMÁ</t>
  </si>
  <si>
    <t>YAPE PAPÁ</t>
  </si>
  <si>
    <t>YAPE</t>
  </si>
  <si>
    <t>REDUCCION COPLA 1X3/4</t>
  </si>
  <si>
    <t>Monto Total YAPE (No tocar):</t>
  </si>
  <si>
    <t>CANDADO JADEVER</t>
  </si>
  <si>
    <t>BOLSA AMARRAS</t>
  </si>
  <si>
    <t>Monto Total Registrado en aplicacion</t>
  </si>
  <si>
    <t>FLEXO 5 MT</t>
  </si>
  <si>
    <t>PLANCHA</t>
  </si>
  <si>
    <t>DISCO KAMASA</t>
  </si>
  <si>
    <t>RAMPLU DE LADRILLO HUECO 6</t>
  </si>
  <si>
    <t>SILICOMA NEGRA</t>
  </si>
  <si>
    <t>DISCO GALLETA</t>
  </si>
  <si>
    <t>JGO DE PIEDRAS  PDB501</t>
  </si>
  <si>
    <t>SINTETICA 220</t>
  </si>
  <si>
    <t>PAGOS YAPE</t>
  </si>
  <si>
    <t>DESCRIPCION PAGO</t>
  </si>
  <si>
    <t>FLEXO 5M</t>
  </si>
  <si>
    <t>DESARMADR REVER</t>
  </si>
  <si>
    <t>PUMTAS PARA DESTORNILLADOR</t>
  </si>
  <si>
    <t>CHAPA LION</t>
  </si>
  <si>
    <t>SION DE LAVAMANOS</t>
  </si>
  <si>
    <t>DISCOS</t>
  </si>
  <si>
    <t>GUANTES</t>
  </si>
  <si>
    <t>DESARMADOR GOLPE</t>
  </si>
  <si>
    <t>MANDLIL</t>
  </si>
  <si>
    <t>FOCO 40W</t>
  </si>
  <si>
    <t xml:space="preserve">20 MT </t>
  </si>
  <si>
    <t>MANGUERA</t>
  </si>
  <si>
    <t>PICO GRIFO</t>
  </si>
  <si>
    <t>TAPON H TIG</t>
  </si>
  <si>
    <t>ADAPTADOR 1/2 PVC</t>
  </si>
  <si>
    <t>CODO FG 1/2</t>
  </si>
  <si>
    <t>CAJA SIFONADA 4</t>
  </si>
  <si>
    <t>ADAPYADOR 3/4 PVC</t>
  </si>
  <si>
    <t>2M</t>
  </si>
  <si>
    <t>TUBO DESAGUE 11/2</t>
  </si>
  <si>
    <t>LLAVE DE PASO CORTINA 3/4</t>
  </si>
  <si>
    <t>SERRUCHO TR</t>
  </si>
  <si>
    <t>RAMPLU 8</t>
  </si>
  <si>
    <t>RAMPU 10</t>
  </si>
  <si>
    <t>POXILINA</t>
  </si>
  <si>
    <t>ALICATE FUERZA UYUS</t>
  </si>
  <si>
    <t>BRCA FIERRO DEBOR 3</t>
  </si>
  <si>
    <t xml:space="preserve">ALAMBRE AMARRE </t>
  </si>
  <si>
    <t>grapas 28mm tr</t>
  </si>
  <si>
    <t>silicona trnaprente</t>
  </si>
  <si>
    <t>ocre embasado</t>
  </si>
  <si>
    <t>6m</t>
  </si>
  <si>
    <t>bipolar 16</t>
  </si>
  <si>
    <t>clavija lateral</t>
  </si>
  <si>
    <t>regleta dos entradas</t>
  </si>
  <si>
    <t>buscapolo</t>
  </si>
  <si>
    <t>flaper</t>
  </si>
  <si>
    <t>cadenilla</t>
  </si>
  <si>
    <t>juegode acoples tr</t>
  </si>
  <si>
    <t>candado jadever</t>
  </si>
  <si>
    <t>cautin 100</t>
  </si>
  <si>
    <t>guante tr</t>
  </si>
  <si>
    <t>disco galleta</t>
  </si>
  <si>
    <t>bisagras 21/2</t>
  </si>
  <si>
    <t>codo 1/2 pvc</t>
  </si>
  <si>
    <t>codo 2 desague</t>
  </si>
  <si>
    <t>semicodo 2 desague</t>
  </si>
  <si>
    <t>unio patente 3/4 tigre</t>
  </si>
  <si>
    <t>codo 11/2 desague</t>
  </si>
  <si>
    <t>semiccodo 1 1/2 desague</t>
  </si>
  <si>
    <t>union patente pvc 1/2</t>
  </si>
  <si>
    <t>reduccion buje 3/4 x 1/2</t>
  </si>
  <si>
    <t>tapon 1/2 tgre</t>
  </si>
  <si>
    <t>reduccion 2z11/2</t>
  </si>
  <si>
    <t>teflon</t>
  </si>
  <si>
    <t>abrazadera 3 desague</t>
  </si>
  <si>
    <t>llave de paso cortina 1/2</t>
  </si>
  <si>
    <t>niple 3/4</t>
  </si>
  <si>
    <t>adaptador pvc 3/4</t>
  </si>
  <si>
    <t>bisagra 2.5</t>
  </si>
  <si>
    <t>aerosol</t>
  </si>
  <si>
    <t>escamosita 1kl</t>
  </si>
  <si>
    <t>chi´4*20</t>
  </si>
  <si>
    <t>acople rapod truepr</t>
  </si>
  <si>
    <t xml:space="preserve">manguera trueor </t>
  </si>
  <si>
    <t>niplr</t>
  </si>
  <si>
    <t>trflon</t>
  </si>
  <si>
    <t>juego de acople truper</t>
  </si>
  <si>
    <t xml:space="preserve">sopapa rebalse </t>
  </si>
  <si>
    <t>toke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</si>
</sst>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B45F06"/>
        <bgColor rgb="FFB45F0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6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1" fillId="10" fontId="5" numFmtId="0" xfId="0" applyAlignment="1" applyBorder="1" applyFill="1" applyFont="1">
      <alignment horizontal="center" readingOrder="0" shrinkToFit="0" vertical="center" wrapText="0"/>
    </xf>
    <xf borderId="0" fillId="11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10.0</v>
      </c>
      <c r="E8" s="8">
        <v>46246.34694238426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8.0</v>
      </c>
      <c r="C9" s="7" t="s">
        <v>8</v>
      </c>
      <c r="D9" s="6">
        <v>96.0</v>
      </c>
      <c r="E9" s="8">
        <v>46246.35437987269</v>
      </c>
      <c r="F9" s="2"/>
      <c r="G9" s="9" t="s">
        <v>9</v>
      </c>
      <c r="H9" s="10">
        <v>93.0</v>
      </c>
      <c r="I9" s="2"/>
      <c r="J9" s="9" t="s">
        <v>10</v>
      </c>
      <c r="K9" s="10">
        <v>579.0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23.0</v>
      </c>
      <c r="E10" s="8">
        <v>46246.35442873843</v>
      </c>
      <c r="F10" s="2"/>
      <c r="G10" s="9" t="s">
        <v>12</v>
      </c>
      <c r="H10" s="10">
        <v>640.0</v>
      </c>
      <c r="I10" s="2"/>
      <c r="J10" s="9" t="s">
        <v>13</v>
      </c>
      <c r="K10" s="11">
        <f>SUM(PRINCIPAL[TOTAL])</f>
        <v>3433.5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62.0</v>
      </c>
      <c r="E11" s="8">
        <v>46246.354498796296</v>
      </c>
      <c r="F11" s="2"/>
      <c r="G11" s="9" t="s">
        <v>15</v>
      </c>
      <c r="H11" s="10">
        <v>2900.0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12">
        <v>3.0</v>
      </c>
      <c r="E12" s="8">
        <v>46246.36284854167</v>
      </c>
      <c r="F12" s="2"/>
      <c r="G12" s="9" t="s">
        <v>18</v>
      </c>
      <c r="H12" s="13">
        <f>SUM(G24:H361)</f>
        <v>415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 t="s">
        <v>19</v>
      </c>
      <c r="C13" s="7" t="s">
        <v>20</v>
      </c>
      <c r="D13" s="12">
        <v>30.0</v>
      </c>
      <c r="E13" s="8">
        <v>46246.375816423606</v>
      </c>
      <c r="F13" s="2"/>
      <c r="G13" s="9" t="s">
        <v>21</v>
      </c>
      <c r="H13" s="10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1.0</v>
      </c>
      <c r="C14" s="7" t="s">
        <v>22</v>
      </c>
      <c r="D14" s="6">
        <v>50.0</v>
      </c>
      <c r="E14" s="8">
        <v>46246.393897581016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 t="s">
        <v>24</v>
      </c>
      <c r="C15" s="7" t="s">
        <v>25</v>
      </c>
      <c r="D15" s="6">
        <v>42.0</v>
      </c>
      <c r="E15" s="8">
        <v>46246.39240511574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2.0</v>
      </c>
      <c r="C16" s="7" t="s">
        <v>26</v>
      </c>
      <c r="D16" s="6">
        <v>6.0</v>
      </c>
      <c r="E16" s="8">
        <v>46246.39251951389</v>
      </c>
      <c r="F16" s="2"/>
      <c r="G16" s="16" t="s">
        <v>27</v>
      </c>
      <c r="H16" s="17">
        <f>SUM(H9:H14)</f>
        <v>4048</v>
      </c>
      <c r="I16" s="3"/>
      <c r="J16" s="16" t="s">
        <v>28</v>
      </c>
      <c r="K16" s="17">
        <f>SUM(K9:K11)</f>
        <v>4012.5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4.0</v>
      </c>
      <c r="C17" s="7" t="s">
        <v>29</v>
      </c>
      <c r="D17" s="6">
        <v>66.0</v>
      </c>
      <c r="E17" s="8">
        <v>46246.41303465278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6.0</v>
      </c>
      <c r="C18" s="7" t="s">
        <v>30</v>
      </c>
      <c r="D18" s="6">
        <v>24.0</v>
      </c>
      <c r="E18" s="8">
        <v>46246.41287932871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35,50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8.0</v>
      </c>
      <c r="C19" s="7" t="s">
        <v>31</v>
      </c>
      <c r="D19" s="6">
        <v>80.0</v>
      </c>
      <c r="E19" s="8">
        <v>46246.41308585648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6.0</v>
      </c>
      <c r="C20" s="7" t="s">
        <v>32</v>
      </c>
      <c r="D20" s="6">
        <v>54.0</v>
      </c>
      <c r="E20" s="8">
        <v>46246.41893237269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33</v>
      </c>
      <c r="D21" s="6">
        <v>280.0</v>
      </c>
      <c r="E21" s="8">
        <v>46246.423342361115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1.0</v>
      </c>
      <c r="C22" s="7" t="s">
        <v>34</v>
      </c>
      <c r="D22" s="6">
        <v>5.5</v>
      </c>
      <c r="E22" s="8">
        <v>46246.42396775463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35</v>
      </c>
      <c r="D23" s="6">
        <v>16.0</v>
      </c>
      <c r="E23" s="8">
        <v>46246.42402748842</v>
      </c>
      <c r="F23" s="2"/>
      <c r="G23" s="20" t="s">
        <v>36</v>
      </c>
      <c r="H23" s="20" t="s">
        <v>37</v>
      </c>
      <c r="I23" s="2"/>
      <c r="J23" s="21" t="s">
        <v>38</v>
      </c>
      <c r="L23" s="22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39</v>
      </c>
      <c r="D24" s="6">
        <v>7.0</v>
      </c>
      <c r="E24" s="8">
        <v>46246.424300625</v>
      </c>
      <c r="F24" s="2"/>
      <c r="G24" s="23">
        <v>80.0</v>
      </c>
      <c r="H24" s="24"/>
      <c r="I24" s="2"/>
      <c r="J24" s="25" t="s">
        <v>40</v>
      </c>
      <c r="K24" s="26">
        <f>SUM(INGRESOS_YAPE[])</f>
        <v>415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41</v>
      </c>
      <c r="D25" s="6">
        <v>25.0</v>
      </c>
      <c r="E25" s="8">
        <v>46246.42839074074</v>
      </c>
      <c r="F25" s="2"/>
      <c r="G25" s="23">
        <v>48.0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42</v>
      </c>
      <c r="D26" s="6">
        <v>14.0</v>
      </c>
      <c r="E26" s="8">
        <v>46246.441122743054</v>
      </c>
      <c r="F26" s="2"/>
      <c r="G26" s="27">
        <v>77.0</v>
      </c>
      <c r="H26" s="24"/>
      <c r="I26" s="2"/>
      <c r="J26" s="28" t="s">
        <v>43</v>
      </c>
      <c r="K26" s="29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44</v>
      </c>
      <c r="D27" s="30">
        <v>22.0</v>
      </c>
      <c r="E27" s="8">
        <v>46246.44126543982</v>
      </c>
      <c r="F27" s="2"/>
      <c r="G27" s="23">
        <v>59.0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45</v>
      </c>
      <c r="D28" s="6">
        <v>43.0</v>
      </c>
      <c r="E28" s="8">
        <v>46246.44496756945</v>
      </c>
      <c r="F28" s="2"/>
      <c r="G28" s="23">
        <v>35.0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46</v>
      </c>
      <c r="D29" s="6">
        <v>77.0</v>
      </c>
      <c r="E29" s="8">
        <v>46246.44632070602</v>
      </c>
      <c r="F29" s="2"/>
      <c r="G29" s="23">
        <v>35.0</v>
      </c>
      <c r="H29" s="24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415,00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12.0</v>
      </c>
      <c r="C30" s="7" t="s">
        <v>47</v>
      </c>
      <c r="D30" s="6">
        <v>3.0</v>
      </c>
      <c r="E30" s="8">
        <v>46246.449254837964</v>
      </c>
      <c r="F30" s="2"/>
      <c r="G30" s="23">
        <v>36.0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48</v>
      </c>
      <c r="D31" s="6">
        <v>26.0</v>
      </c>
      <c r="E31" s="8">
        <v>46246.451126921296</v>
      </c>
      <c r="F31" s="2"/>
      <c r="G31" s="23">
        <v>45.0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3.0</v>
      </c>
      <c r="C32" s="7" t="s">
        <v>49</v>
      </c>
      <c r="D32" s="6">
        <v>15.0</v>
      </c>
      <c r="E32" s="8">
        <v>46246.45117712963</v>
      </c>
      <c r="F32" s="2"/>
      <c r="G32" s="24"/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1.0</v>
      </c>
      <c r="C33" s="7" t="s">
        <v>50</v>
      </c>
      <c r="D33" s="30">
        <v>20.0</v>
      </c>
      <c r="E33" s="8">
        <v>46246.457710393515</v>
      </c>
      <c r="F33" s="2"/>
      <c r="G33" s="24"/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51</v>
      </c>
      <c r="D34" s="6">
        <v>19.0</v>
      </c>
      <c r="E34" s="8">
        <v>46246.46035552083</v>
      </c>
      <c r="F34" s="2"/>
      <c r="G34" s="24"/>
      <c r="H34" s="24"/>
      <c r="I34" s="2"/>
      <c r="J34" s="32" t="s">
        <v>52</v>
      </c>
      <c r="K34" s="32" t="s">
        <v>53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1.0</v>
      </c>
      <c r="C35" s="7" t="s">
        <v>54</v>
      </c>
      <c r="D35" s="6">
        <v>28.0</v>
      </c>
      <c r="E35" s="8">
        <v>46246.46918699074</v>
      </c>
      <c r="F35" s="2"/>
      <c r="G35" s="24"/>
      <c r="H35" s="24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55</v>
      </c>
      <c r="D36" s="6">
        <v>11.0</v>
      </c>
      <c r="E36" s="8">
        <v>46246.46927548611</v>
      </c>
      <c r="F36" s="2"/>
      <c r="G36" s="24"/>
      <c r="H36" s="24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4"/>
      <c r="B37" s="6">
        <v>2.0</v>
      </c>
      <c r="C37" s="7" t="s">
        <v>49</v>
      </c>
      <c r="D37" s="6">
        <v>10.0</v>
      </c>
      <c r="E37" s="8">
        <v>46246.46935905093</v>
      </c>
      <c r="F37" s="2"/>
      <c r="G37" s="24"/>
      <c r="H37" s="24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4"/>
      <c r="B38" s="6">
        <v>2.0</v>
      </c>
      <c r="C38" s="7" t="s">
        <v>56</v>
      </c>
      <c r="D38" s="6">
        <v>8.0</v>
      </c>
      <c r="E38" s="8">
        <v>46246.46945462963</v>
      </c>
      <c r="F38" s="2"/>
      <c r="G38" s="24"/>
      <c r="H38" s="24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57</v>
      </c>
      <c r="D39" s="6">
        <v>11.0</v>
      </c>
      <c r="E39" s="8">
        <v>46246.47022721065</v>
      </c>
      <c r="F39" s="2"/>
      <c r="G39" s="24"/>
      <c r="H39" s="24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58</v>
      </c>
      <c r="D40" s="6">
        <v>63.0</v>
      </c>
      <c r="E40" s="8">
        <v>46246.47095545139</v>
      </c>
      <c r="F40" s="2"/>
      <c r="G40" s="24"/>
      <c r="H40" s="24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4"/>
      <c r="B41" s="6">
        <v>2.0</v>
      </c>
      <c r="C41" s="7" t="s">
        <v>59</v>
      </c>
      <c r="D41" s="6">
        <v>24.0</v>
      </c>
      <c r="E41" s="8">
        <v>46246.485617094906</v>
      </c>
      <c r="F41" s="2"/>
      <c r="G41" s="24"/>
      <c r="H41" s="24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4"/>
      <c r="B42" s="6">
        <v>2.0</v>
      </c>
      <c r="C42" s="7" t="s">
        <v>60</v>
      </c>
      <c r="D42" s="6">
        <v>4.0</v>
      </c>
      <c r="E42" s="8">
        <v>46246.48572246528</v>
      </c>
      <c r="F42" s="2"/>
      <c r="G42" s="24"/>
      <c r="H42" s="24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61</v>
      </c>
      <c r="D43" s="6">
        <v>25.0</v>
      </c>
      <c r="E43" s="8">
        <v>46246.48805364584</v>
      </c>
      <c r="F43" s="2"/>
      <c r="G43" s="24"/>
      <c r="H43" s="24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62</v>
      </c>
      <c r="D44" s="6">
        <v>10.0</v>
      </c>
      <c r="E44" s="8">
        <v>46246.48824877315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1.0</v>
      </c>
      <c r="C45" s="7" t="s">
        <v>63</v>
      </c>
      <c r="D45" s="6">
        <v>47.0</v>
      </c>
      <c r="E45" s="8">
        <v>46246.49542046296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 t="s">
        <v>64</v>
      </c>
      <c r="C46" s="7" t="s">
        <v>65</v>
      </c>
      <c r="D46" s="6">
        <v>200.0</v>
      </c>
      <c r="E46" s="8">
        <v>46246.49842405092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1.0</v>
      </c>
      <c r="C47" s="7" t="s">
        <v>66</v>
      </c>
      <c r="D47" s="6">
        <v>12.0</v>
      </c>
      <c r="E47" s="8">
        <v>46246.49861597222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67</v>
      </c>
      <c r="D48" s="6">
        <v>3.5</v>
      </c>
      <c r="E48" s="8">
        <v>46246.508085567126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6.0</v>
      </c>
      <c r="C49" s="7" t="s">
        <v>68</v>
      </c>
      <c r="D49" s="6">
        <v>15.0</v>
      </c>
      <c r="E49" s="8">
        <v>46246.56391525463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3.0</v>
      </c>
      <c r="C50" s="7" t="s">
        <v>69</v>
      </c>
      <c r="D50" s="6">
        <v>42.0</v>
      </c>
      <c r="E50" s="8">
        <v>46246.56409847223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2.0</v>
      </c>
      <c r="C51" s="7" t="s">
        <v>70</v>
      </c>
      <c r="D51" s="6">
        <v>80.0</v>
      </c>
      <c r="E51" s="8">
        <v>46246.56405528935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2.0</v>
      </c>
      <c r="C52" s="7" t="s">
        <v>71</v>
      </c>
      <c r="D52" s="6">
        <v>8.0</v>
      </c>
      <c r="E52" s="8">
        <v>46246.56427611111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 t="s">
        <v>72</v>
      </c>
      <c r="C53" s="7" t="s">
        <v>73</v>
      </c>
      <c r="D53" s="6">
        <v>20.0</v>
      </c>
      <c r="E53" s="8">
        <v>46246.56438668982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1.0</v>
      </c>
      <c r="C54" s="7" t="s">
        <v>74</v>
      </c>
      <c r="D54" s="6">
        <v>110.0</v>
      </c>
      <c r="E54" s="8">
        <v>46246.56455879629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1.0</v>
      </c>
      <c r="C55" s="7" t="s">
        <v>75</v>
      </c>
      <c r="D55" s="6">
        <v>115.5</v>
      </c>
      <c r="E55" s="8">
        <v>46246.57889454861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12.0</v>
      </c>
      <c r="C56" s="7" t="s">
        <v>76</v>
      </c>
      <c r="D56" s="6">
        <v>2.0</v>
      </c>
      <c r="E56" s="8">
        <v>46246.57917631944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12.0</v>
      </c>
      <c r="C57" s="7" t="s">
        <v>77</v>
      </c>
      <c r="D57" s="6">
        <v>4.0</v>
      </c>
      <c r="E57" s="8">
        <v>46246.579129375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1.0</v>
      </c>
      <c r="C58" s="7" t="s">
        <v>78</v>
      </c>
      <c r="D58" s="6">
        <v>38.0</v>
      </c>
      <c r="E58" s="8">
        <v>46246.57924670139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1.0</v>
      </c>
      <c r="C59" s="7" t="s">
        <v>79</v>
      </c>
      <c r="D59" s="6">
        <v>30.0</v>
      </c>
      <c r="E59" s="8">
        <v>46246.5840225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1.0</v>
      </c>
      <c r="C60" s="7" t="s">
        <v>80</v>
      </c>
      <c r="D60" s="6">
        <v>10.0</v>
      </c>
      <c r="E60" s="8">
        <v>46246.5841062963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 t="s">
        <v>19</v>
      </c>
      <c r="C61" s="7" t="s">
        <v>81</v>
      </c>
      <c r="D61" s="6">
        <v>19.0</v>
      </c>
      <c r="E61" s="8">
        <v>46246.584330185186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2.0</v>
      </c>
      <c r="C62" s="7" t="s">
        <v>82</v>
      </c>
      <c r="D62" s="6">
        <v>285.0</v>
      </c>
      <c r="E62" s="8">
        <v>46246.590176620375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2.0</v>
      </c>
      <c r="C63" s="7" t="s">
        <v>83</v>
      </c>
      <c r="D63" s="6">
        <v>84.0</v>
      </c>
      <c r="E63" s="8">
        <v>46246.599659907406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1.0</v>
      </c>
      <c r="C64" s="7" t="s">
        <v>84</v>
      </c>
      <c r="D64" s="6">
        <v>5.0</v>
      </c>
      <c r="E64" s="8">
        <v>46246.60290920139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 t="s">
        <v>85</v>
      </c>
      <c r="C65" s="7" t="s">
        <v>86</v>
      </c>
      <c r="D65" s="6">
        <v>66.0</v>
      </c>
      <c r="E65" s="8">
        <v>46246.61887701389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87</v>
      </c>
      <c r="D66" s="6">
        <v>9.0</v>
      </c>
      <c r="E66" s="8">
        <v>46246.621677766205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88</v>
      </c>
      <c r="D67" s="6">
        <v>18.0</v>
      </c>
      <c r="E67" s="8">
        <v>46246.62176306713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1.0</v>
      </c>
      <c r="C68" s="7" t="s">
        <v>89</v>
      </c>
      <c r="D68" s="6">
        <v>10.0</v>
      </c>
      <c r="E68" s="8">
        <v>46246.6218371875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2.0</v>
      </c>
      <c r="C69" s="7" t="s">
        <v>90</v>
      </c>
      <c r="D69" s="6">
        <v>20.0</v>
      </c>
      <c r="E69" s="8">
        <v>46246.62201136574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2.0</v>
      </c>
      <c r="C70" s="7" t="s">
        <v>91</v>
      </c>
      <c r="D70" s="6">
        <v>22.0</v>
      </c>
      <c r="E70" s="8">
        <v>46246.62211186343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>
        <v>1.0</v>
      </c>
      <c r="C71" s="7" t="s">
        <v>92</v>
      </c>
      <c r="D71" s="6">
        <v>61.0</v>
      </c>
      <c r="E71" s="8">
        <v>46246.62218766204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>
        <v>1.0</v>
      </c>
      <c r="C72" s="7" t="s">
        <v>93</v>
      </c>
      <c r="D72" s="6">
        <v>27.0</v>
      </c>
      <c r="E72" s="8">
        <v>46246.622708587965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6">
        <v>1.0</v>
      </c>
      <c r="C73" s="7" t="s">
        <v>94</v>
      </c>
      <c r="D73" s="35">
        <v>53.0</v>
      </c>
      <c r="E73" s="8">
        <v>46246.628976527776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6">
        <v>1.0</v>
      </c>
      <c r="C74" s="7" t="s">
        <v>95</v>
      </c>
      <c r="D74" s="6">
        <v>20.0</v>
      </c>
      <c r="E74" s="8">
        <v>46246.63423715278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6">
        <v>1.0</v>
      </c>
      <c r="C75" s="7" t="s">
        <v>96</v>
      </c>
      <c r="D75" s="6">
        <v>15.0</v>
      </c>
      <c r="E75" s="8">
        <v>46246.63440092593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6">
        <v>3.0</v>
      </c>
      <c r="C76" s="7" t="s">
        <v>97</v>
      </c>
      <c r="D76" s="6">
        <v>9.0</v>
      </c>
      <c r="E76" s="8">
        <v>46246.67278923611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6">
        <v>4.0</v>
      </c>
      <c r="C77" s="7" t="s">
        <v>98</v>
      </c>
      <c r="D77" s="6">
        <v>16.0</v>
      </c>
      <c r="E77" s="8">
        <v>46246.673555138885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6">
        <v>2.0</v>
      </c>
      <c r="C78" s="7" t="s">
        <v>99</v>
      </c>
      <c r="D78" s="6">
        <v>9.0</v>
      </c>
      <c r="E78" s="8">
        <v>46246.67425693287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6">
        <v>2.0</v>
      </c>
      <c r="C79" s="7" t="s">
        <v>100</v>
      </c>
      <c r="D79" s="6">
        <v>8.0</v>
      </c>
      <c r="E79" s="8">
        <v>46246.674315219905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6">
        <v>1.0</v>
      </c>
      <c r="C80" s="7" t="s">
        <v>101</v>
      </c>
      <c r="D80" s="6">
        <v>14.0</v>
      </c>
      <c r="E80" s="8">
        <v>46246.674043032406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6">
        <v>2.0</v>
      </c>
      <c r="C81" s="7" t="s">
        <v>102</v>
      </c>
      <c r="D81" s="6">
        <v>7.0</v>
      </c>
      <c r="E81" s="8">
        <v>46246.67419542824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6">
        <v>1.0</v>
      </c>
      <c r="C82" s="7" t="s">
        <v>103</v>
      </c>
      <c r="D82" s="6">
        <v>3.5</v>
      </c>
      <c r="E82" s="8">
        <v>46246.67449748843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6">
        <v>1.0</v>
      </c>
      <c r="C83" s="7" t="s">
        <v>104</v>
      </c>
      <c r="D83" s="6">
        <v>18.0</v>
      </c>
      <c r="E83" s="8">
        <v>46246.67489353009</v>
      </c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6">
        <v>1.0</v>
      </c>
      <c r="C84" s="7" t="s">
        <v>105</v>
      </c>
      <c r="D84" s="6">
        <v>2.5</v>
      </c>
      <c r="E84" s="8">
        <v>46246.67477993056</v>
      </c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6">
        <v>3.0</v>
      </c>
      <c r="C85" s="7" t="s">
        <v>106</v>
      </c>
      <c r="D85" s="6">
        <v>3.0</v>
      </c>
      <c r="E85" s="8">
        <v>46246.67510111111</v>
      </c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6">
        <v>1.0</v>
      </c>
      <c r="C86" s="7" t="s">
        <v>107</v>
      </c>
      <c r="D86" s="6">
        <v>4.0</v>
      </c>
      <c r="E86" s="8">
        <v>46246.67517953704</v>
      </c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6">
        <v>1.0</v>
      </c>
      <c r="C87" s="7" t="s">
        <v>108</v>
      </c>
      <c r="D87" s="6">
        <v>3.0</v>
      </c>
      <c r="E87" s="8">
        <v>46246.67547178241</v>
      </c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6">
        <v>1.0</v>
      </c>
      <c r="C88" s="7" t="s">
        <v>109</v>
      </c>
      <c r="D88" s="6">
        <v>7.0</v>
      </c>
      <c r="E88" s="8">
        <v>46246.675604432865</v>
      </c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6">
        <v>1.0</v>
      </c>
      <c r="C89" s="7" t="s">
        <v>110</v>
      </c>
      <c r="D89" s="6">
        <v>80.0</v>
      </c>
      <c r="E89" s="8">
        <v>46246.67570238426</v>
      </c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6">
        <v>2.0</v>
      </c>
      <c r="C90" s="7" t="s">
        <v>111</v>
      </c>
      <c r="D90" s="6">
        <v>6.0</v>
      </c>
      <c r="E90" s="8">
        <v>46246.67594577547</v>
      </c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6">
        <v>2.0</v>
      </c>
      <c r="C91" s="7" t="s">
        <v>112</v>
      </c>
      <c r="D91" s="6">
        <v>8.0</v>
      </c>
      <c r="E91" s="8">
        <v>46246.676076250005</v>
      </c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6">
        <v>3.0</v>
      </c>
      <c r="C92" s="7" t="s">
        <v>113</v>
      </c>
      <c r="D92" s="6">
        <v>9.0</v>
      </c>
      <c r="E92" s="8">
        <v>46246.676193680556</v>
      </c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6">
        <v>1.0</v>
      </c>
      <c r="C93" s="7" t="s">
        <v>114</v>
      </c>
      <c r="D93" s="6">
        <v>20.0</v>
      </c>
      <c r="E93" s="8">
        <v>46246.683982013885</v>
      </c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6">
        <v>1.0</v>
      </c>
      <c r="C94" s="7" t="s">
        <v>115</v>
      </c>
      <c r="D94" s="6">
        <v>35.0</v>
      </c>
      <c r="E94" s="8">
        <v>46246.688312280094</v>
      </c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6">
        <v>48.0</v>
      </c>
      <c r="C95" s="7" t="s">
        <v>116</v>
      </c>
      <c r="D95" s="6">
        <v>10.0</v>
      </c>
      <c r="E95" s="8">
        <v>46246.7135837963</v>
      </c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6">
        <v>2.0</v>
      </c>
      <c r="C96" s="7" t="s">
        <v>117</v>
      </c>
      <c r="D96" s="6">
        <v>101.0</v>
      </c>
      <c r="E96" s="8">
        <v>46246.728910000005</v>
      </c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6">
        <v>1.0</v>
      </c>
      <c r="C97" s="7" t="s">
        <v>118</v>
      </c>
      <c r="D97" s="6">
        <v>199.0</v>
      </c>
      <c r="E97" s="8">
        <v>46246.728963125</v>
      </c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6">
        <v>1.0</v>
      </c>
      <c r="C98" s="7" t="s">
        <v>119</v>
      </c>
      <c r="D98" s="6">
        <v>4.0</v>
      </c>
      <c r="E98" s="8">
        <v>46246.73365547454</v>
      </c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6">
        <v>1.0</v>
      </c>
      <c r="C99" s="7" t="s">
        <v>120</v>
      </c>
      <c r="D99" s="6">
        <v>3.0</v>
      </c>
      <c r="E99" s="8">
        <v>46246.73376690972</v>
      </c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6">
        <v>1.0</v>
      </c>
      <c r="C100" s="7" t="s">
        <v>121</v>
      </c>
      <c r="D100" s="6">
        <v>36.0</v>
      </c>
      <c r="E100" s="8">
        <v>46246.73507913195</v>
      </c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6">
        <v>1.0</v>
      </c>
      <c r="C101" s="7" t="s">
        <v>122</v>
      </c>
      <c r="D101" s="6">
        <v>45.0</v>
      </c>
      <c r="E101" s="8">
        <v>46246.75101756945</v>
      </c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6">
        <v>1.0</v>
      </c>
      <c r="C102" s="7" t="s">
        <v>123</v>
      </c>
      <c r="D102" s="6">
        <v>10.0</v>
      </c>
      <c r="E102" s="8">
        <v>46246.75931765046</v>
      </c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6"/>
      <c r="D103" s="37"/>
      <c r="E103" s="38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6"/>
      <c r="D104" s="37"/>
      <c r="E104" s="38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6"/>
      <c r="D105" s="37"/>
      <c r="E105" s="38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6"/>
      <c r="D106" s="37"/>
      <c r="E106" s="38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6"/>
      <c r="D107" s="37"/>
      <c r="E107" s="38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6"/>
      <c r="D108" s="37"/>
      <c r="E108" s="38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6"/>
      <c r="D109" s="37"/>
      <c r="E109" s="38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6"/>
      <c r="D110" s="37"/>
      <c r="E110" s="38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6"/>
      <c r="D111" s="37"/>
      <c r="E111" s="38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6"/>
      <c r="D112" s="37"/>
      <c r="E112" s="38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6"/>
      <c r="D113" s="37"/>
      <c r="E113" s="38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6"/>
      <c r="D114" s="37"/>
      <c r="E114" s="38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6"/>
      <c r="D115" s="37"/>
      <c r="E115" s="38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6"/>
      <c r="D116" s="37"/>
      <c r="E116" s="38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6"/>
      <c r="D117" s="37"/>
      <c r="E117" s="38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6"/>
      <c r="D118" s="37"/>
      <c r="E118" s="38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6"/>
      <c r="D119" s="37"/>
      <c r="E119" s="38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6"/>
      <c r="D120" s="37"/>
      <c r="E120" s="38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6"/>
      <c r="D121" s="37"/>
      <c r="E121" s="38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6"/>
      <c r="D122" s="37"/>
      <c r="E122" s="38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6"/>
      <c r="D123" s="37"/>
      <c r="E123" s="38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6"/>
      <c r="D124" s="37"/>
      <c r="E124" s="38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6"/>
      <c r="D125" s="37"/>
      <c r="E125" s="38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6"/>
      <c r="D126" s="37"/>
      <c r="E126" s="38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6"/>
      <c r="D127" s="37"/>
      <c r="E127" s="38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6"/>
      <c r="D128" s="37"/>
      <c r="E128" s="38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6"/>
      <c r="D129" s="37"/>
      <c r="E129" s="38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6"/>
      <c r="D130" s="37"/>
      <c r="E130" s="38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6"/>
      <c r="D131" s="37"/>
      <c r="E131" s="38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6"/>
      <c r="D132" s="37"/>
      <c r="E132" s="38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6"/>
      <c r="D133" s="37"/>
      <c r="E133" s="38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6"/>
      <c r="D134" s="37"/>
      <c r="E134" s="38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6"/>
      <c r="D135" s="37"/>
      <c r="E135" s="38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6"/>
      <c r="D136" s="37"/>
      <c r="E136" s="38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6"/>
      <c r="D137" s="37"/>
      <c r="E137" s="38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6"/>
      <c r="D138" s="37"/>
      <c r="E138" s="38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6"/>
      <c r="D139" s="37"/>
      <c r="E139" s="38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6"/>
      <c r="D140" s="37"/>
      <c r="E140" s="38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6"/>
      <c r="D141" s="37"/>
      <c r="E141" s="38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6"/>
      <c r="D142" s="37"/>
      <c r="E142" s="38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6"/>
      <c r="D143" s="37"/>
      <c r="E143" s="38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6"/>
      <c r="D144" s="37"/>
      <c r="E144" s="38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6"/>
      <c r="D145" s="37"/>
      <c r="E145" s="38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6"/>
      <c r="D146" s="37"/>
      <c r="E146" s="38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6"/>
      <c r="D147" s="37"/>
      <c r="E147" s="38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6"/>
      <c r="D148" s="37"/>
      <c r="E148" s="38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6"/>
      <c r="D149" s="37"/>
      <c r="E149" s="38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6"/>
      <c r="D150" s="37"/>
      <c r="E150" s="38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6"/>
      <c r="D151" s="37"/>
      <c r="E151" s="38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6"/>
      <c r="D152" s="37"/>
      <c r="E152" s="38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6"/>
      <c r="D153" s="37"/>
      <c r="E153" s="38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6"/>
      <c r="D154" s="37"/>
      <c r="E154" s="38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6"/>
      <c r="D155" s="37"/>
      <c r="E155" s="38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6"/>
      <c r="D156" s="37"/>
      <c r="E156" s="38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6"/>
      <c r="D157" s="37"/>
      <c r="E157" s="38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6"/>
      <c r="D158" s="37"/>
      <c r="E158" s="38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6"/>
      <c r="D159" s="37"/>
      <c r="E159" s="38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6"/>
      <c r="D160" s="37"/>
      <c r="E160" s="38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6"/>
      <c r="D161" s="37"/>
      <c r="E161" s="38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6"/>
      <c r="D162" s="37"/>
      <c r="E162" s="38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6"/>
      <c r="D163" s="37"/>
      <c r="E163" s="38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6"/>
      <c r="D164" s="37"/>
      <c r="E164" s="38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6"/>
      <c r="D165" s="37"/>
      <c r="E165" s="38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6"/>
      <c r="D166" s="37"/>
      <c r="E166" s="38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6"/>
      <c r="D167" s="37"/>
      <c r="E167" s="38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6"/>
      <c r="D168" s="37"/>
      <c r="E168" s="38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6"/>
      <c r="D169" s="37"/>
      <c r="E169" s="38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6"/>
      <c r="D170" s="37"/>
      <c r="E170" s="38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6"/>
      <c r="D171" s="37"/>
      <c r="E171" s="38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6"/>
      <c r="D172" s="37"/>
      <c r="E172" s="38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6"/>
      <c r="D173" s="37"/>
      <c r="E173" s="38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6"/>
      <c r="D174" s="37"/>
      <c r="E174" s="38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6"/>
      <c r="D175" s="37"/>
      <c r="E175" s="38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6"/>
      <c r="D176" s="37"/>
      <c r="E176" s="38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6"/>
      <c r="D177" s="37"/>
      <c r="E177" s="38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6"/>
      <c r="D178" s="37"/>
      <c r="E178" s="38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6"/>
      <c r="D179" s="37"/>
      <c r="E179" s="38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6"/>
      <c r="D180" s="37"/>
      <c r="E180" s="38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6"/>
      <c r="D181" s="37"/>
      <c r="E181" s="38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6"/>
      <c r="D182" s="37"/>
      <c r="E182" s="38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6"/>
      <c r="D183" s="37"/>
      <c r="E183" s="38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6"/>
      <c r="D184" s="37"/>
      <c r="E184" s="38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6"/>
      <c r="D185" s="37"/>
      <c r="E185" s="38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6"/>
      <c r="D186" s="37"/>
      <c r="E186" s="38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6"/>
      <c r="D187" s="37"/>
      <c r="E187" s="38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6"/>
      <c r="D188" s="37"/>
      <c r="E188" s="38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6"/>
      <c r="D189" s="37"/>
      <c r="E189" s="38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6"/>
      <c r="D190" s="37"/>
      <c r="E190" s="38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6"/>
      <c r="D191" s="37"/>
      <c r="E191" s="38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6"/>
      <c r="D192" s="37"/>
      <c r="E192" s="38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6"/>
      <c r="D193" s="37"/>
      <c r="E193" s="38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6"/>
      <c r="D194" s="37"/>
      <c r="E194" s="38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6"/>
      <c r="D195" s="37"/>
      <c r="E195" s="38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6"/>
      <c r="D196" s="37"/>
      <c r="E196" s="38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6"/>
      <c r="D197" s="37"/>
      <c r="E197" s="38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6"/>
      <c r="D198" s="37"/>
      <c r="E198" s="38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6"/>
      <c r="D199" s="37"/>
      <c r="E199" s="38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6"/>
      <c r="D200" s="37"/>
      <c r="E200" s="38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6"/>
      <c r="D201" s="37"/>
      <c r="E201" s="38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6"/>
      <c r="D202" s="37"/>
      <c r="E202" s="38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6"/>
      <c r="D203" s="37"/>
      <c r="E203" s="38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6"/>
      <c r="D204" s="37"/>
      <c r="E204" s="38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6"/>
      <c r="D205" s="37"/>
      <c r="E205" s="38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6"/>
      <c r="D206" s="37"/>
      <c r="E206" s="38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6"/>
      <c r="D207" s="37"/>
      <c r="E207" s="38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6"/>
      <c r="D208" s="37"/>
      <c r="E208" s="38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6"/>
      <c r="D209" s="37"/>
      <c r="E209" s="38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6"/>
      <c r="D210" s="37"/>
      <c r="E210" s="38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6"/>
      <c r="D211" s="37"/>
      <c r="E211" s="38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6"/>
      <c r="D212" s="37"/>
      <c r="E212" s="38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6"/>
      <c r="D213" s="37"/>
      <c r="E213" s="38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6"/>
      <c r="D214" s="37"/>
      <c r="E214" s="38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6"/>
      <c r="D215" s="37"/>
      <c r="E215" s="38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6"/>
      <c r="D216" s="37"/>
      <c r="E216" s="38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6"/>
      <c r="D217" s="37"/>
      <c r="E217" s="38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6"/>
      <c r="D218" s="37"/>
      <c r="E218" s="38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6"/>
      <c r="D219" s="37"/>
      <c r="E219" s="38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6"/>
      <c r="D220" s="37"/>
      <c r="E220" s="38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6"/>
      <c r="D221" s="37"/>
      <c r="E221" s="38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6"/>
      <c r="D222" s="37"/>
      <c r="E222" s="38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6"/>
      <c r="D223" s="37"/>
      <c r="E223" s="38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6"/>
      <c r="D224" s="37"/>
      <c r="E224" s="38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6"/>
      <c r="D225" s="37"/>
      <c r="E225" s="38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6"/>
      <c r="D226" s="37"/>
      <c r="E226" s="38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6"/>
      <c r="D227" s="37"/>
      <c r="E227" s="38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6"/>
      <c r="D228" s="37"/>
      <c r="E228" s="38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6"/>
      <c r="D229" s="37"/>
      <c r="E229" s="38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6"/>
      <c r="D230" s="37"/>
      <c r="E230" s="38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6"/>
      <c r="D231" s="37"/>
      <c r="E231" s="38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6"/>
      <c r="D232" s="37"/>
      <c r="E232" s="38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6"/>
      <c r="D233" s="37"/>
      <c r="E233" s="38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6"/>
      <c r="D234" s="37"/>
      <c r="E234" s="38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6"/>
      <c r="D235" s="37"/>
      <c r="E235" s="38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6"/>
      <c r="D236" s="37"/>
      <c r="E236" s="38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6"/>
      <c r="D237" s="37"/>
      <c r="E237" s="38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6"/>
      <c r="D238" s="37"/>
      <c r="E238" s="38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6"/>
      <c r="D239" s="37"/>
      <c r="E239" s="38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6"/>
      <c r="D240" s="37"/>
      <c r="E240" s="38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6"/>
      <c r="D241" s="37"/>
      <c r="E241" s="38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6"/>
      <c r="D242" s="37"/>
      <c r="E242" s="38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6"/>
      <c r="D243" s="37"/>
      <c r="E243" s="38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6"/>
      <c r="D244" s="37"/>
      <c r="E244" s="38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6"/>
      <c r="D245" s="37"/>
      <c r="E245" s="38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6"/>
      <c r="D246" s="37"/>
      <c r="E246" s="38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6"/>
      <c r="D247" s="37"/>
      <c r="E247" s="38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6"/>
      <c r="D248" s="37"/>
      <c r="E248" s="38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6"/>
      <c r="D249" s="37"/>
      <c r="E249" s="38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6"/>
      <c r="D250" s="37"/>
      <c r="E250" s="38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6"/>
      <c r="D251" s="37"/>
      <c r="E251" s="38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6"/>
      <c r="D252" s="37"/>
      <c r="E252" s="38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6"/>
      <c r="D253" s="37"/>
      <c r="E253" s="38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6"/>
      <c r="D254" s="37"/>
      <c r="E254" s="38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6"/>
      <c r="D255" s="37"/>
      <c r="E255" s="38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6"/>
      <c r="D256" s="37"/>
      <c r="E256" s="38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6"/>
      <c r="D257" s="37"/>
      <c r="E257" s="38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6"/>
      <c r="D258" s="37"/>
      <c r="E258" s="38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6"/>
      <c r="D259" s="37"/>
      <c r="E259" s="38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6"/>
      <c r="D260" s="37"/>
      <c r="E260" s="38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6"/>
      <c r="D261" s="37"/>
      <c r="E261" s="38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6"/>
      <c r="D262" s="37"/>
      <c r="E262" s="38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6"/>
      <c r="D263" s="37"/>
      <c r="E263" s="38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6"/>
      <c r="D264" s="37"/>
      <c r="E264" s="38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6"/>
      <c r="D265" s="37"/>
      <c r="E265" s="38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6"/>
      <c r="D266" s="37"/>
      <c r="E266" s="38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6"/>
      <c r="D267" s="37"/>
      <c r="E267" s="38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6"/>
      <c r="D268" s="37"/>
      <c r="E268" s="38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6"/>
      <c r="D269" s="37"/>
      <c r="E269" s="38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6"/>
      <c r="D270" s="37"/>
      <c r="E270" s="38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6"/>
      <c r="D271" s="37"/>
      <c r="E271" s="38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6"/>
      <c r="D272" s="37"/>
      <c r="E272" s="38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6"/>
      <c r="D273" s="37"/>
      <c r="E273" s="38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6"/>
      <c r="D274" s="37"/>
      <c r="E274" s="38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6"/>
      <c r="D275" s="37"/>
      <c r="E275" s="38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6"/>
      <c r="D276" s="37"/>
      <c r="E276" s="38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6"/>
      <c r="D277" s="37"/>
      <c r="E277" s="38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6"/>
      <c r="D278" s="37"/>
      <c r="E278" s="38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6"/>
      <c r="D279" s="37"/>
      <c r="E279" s="38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6"/>
      <c r="D280" s="37"/>
      <c r="E280" s="38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6"/>
      <c r="D281" s="37"/>
      <c r="E281" s="38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6"/>
      <c r="D282" s="37"/>
      <c r="E282" s="38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6"/>
      <c r="D283" s="37"/>
      <c r="E283" s="38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6"/>
      <c r="D284" s="37"/>
      <c r="E284" s="38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6"/>
      <c r="D285" s="37"/>
      <c r="E285" s="38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6"/>
      <c r="D286" s="37"/>
      <c r="E286" s="38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6"/>
      <c r="D287" s="37"/>
      <c r="E287" s="38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6"/>
      <c r="D288" s="37"/>
      <c r="E288" s="38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6"/>
      <c r="D289" s="37"/>
      <c r="E289" s="38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6"/>
      <c r="D290" s="37"/>
      <c r="E290" s="38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6"/>
      <c r="D291" s="37"/>
      <c r="E291" s="38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6"/>
      <c r="D292" s="37"/>
      <c r="E292" s="38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6"/>
      <c r="D293" s="37"/>
      <c r="E293" s="38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6"/>
      <c r="D294" s="37"/>
      <c r="E294" s="38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6"/>
      <c r="D295" s="37"/>
      <c r="E295" s="38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6"/>
      <c r="D296" s="37"/>
      <c r="E296" s="38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6"/>
      <c r="D297" s="37"/>
      <c r="E297" s="38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6"/>
      <c r="D298" s="37"/>
      <c r="E298" s="38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6"/>
      <c r="D299" s="37"/>
      <c r="E299" s="38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6"/>
      <c r="D300" s="37"/>
      <c r="E300" s="38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6"/>
      <c r="D301" s="37"/>
      <c r="E301" s="38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