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<sst xmlns="http://schemas.openxmlformats.org/spreadsheetml/2006/main" count="101" uniqueCount="98">
  <si>
    <t>HOJA DE CALCULO FERRETERIA</t>
  </si>
  <si>
    <t>CODIGO</t>
  </si>
  <si>
    <t>CANTIDAD</t>
  </si>
  <si>
    <t>DESCRIPCION</t>
  </si>
  <si>
    <t>TOTAL</t>
  </si>
  <si>
    <t>HORA</t>
  </si>
  <si>
    <t>CUADRAR</t>
  </si>
  <si>
    <t>guante ferrawy</t>
  </si>
  <si>
    <t>grifo eko</t>
  </si>
  <si>
    <t>MONEDAS</t>
  </si>
  <si>
    <t>CAJA CHICA</t>
  </si>
  <si>
    <t>juego brocas escalonada uyus</t>
  </si>
  <si>
    <t>BILLETES 10-20</t>
  </si>
  <si>
    <t>TOTAL VENTAS DIA</t>
  </si>
  <si>
    <t>broca concreto 10 tr</t>
  </si>
  <si>
    <t>BILLETES 50-100-200</t>
  </si>
  <si>
    <t>AUMENTO DE DINERO</t>
  </si>
  <si>
    <t>remaches 4,8x12</t>
  </si>
  <si>
    <t>INGRESOS YAPE</t>
  </si>
  <si>
    <t>pilas durcel d</t>
  </si>
  <si>
    <t>INGRESOS TARJETA</t>
  </si>
  <si>
    <t>desarmador tr</t>
  </si>
  <si>
    <t>GASTOS VARIOS</t>
  </si>
  <si>
    <t>sintetica mate blanco 220ml</t>
  </si>
  <si>
    <t>DINERO GANADO HOY:</t>
  </si>
  <si>
    <t>CANTIDAD DINERO CAJA:</t>
  </si>
  <si>
    <t>brocha 3/4</t>
  </si>
  <si>
    <t>REGATON</t>
  </si>
  <si>
    <t>REGLETA SHUCO 3</t>
  </si>
  <si>
    <t>CALVIJA SHUCO</t>
  </si>
  <si>
    <t>SILCIONA TRNAPS</t>
  </si>
  <si>
    <t>MANDRIL</t>
  </si>
  <si>
    <t>BIPOLAR 18</t>
  </si>
  <si>
    <t>YAPE MAMÁ</t>
  </si>
  <si>
    <t>YAPE PAPÁ</t>
  </si>
  <si>
    <t>YAPE</t>
  </si>
  <si>
    <t>FLEXO 3M</t>
  </si>
  <si>
    <t>Monto Total YAPE (No tocar):</t>
  </si>
  <si>
    <t>PRENSA C</t>
  </si>
  <si>
    <t>PLACA SIMPLE GRAFITO</t>
  </si>
  <si>
    <t>Monto Total Registrado en aplicacion</t>
  </si>
  <si>
    <t>1/2M</t>
  </si>
  <si>
    <t>BIPOLAR 12</t>
  </si>
  <si>
    <t>TOMA GRFITO</t>
  </si>
  <si>
    <t>LENTES TR</t>
  </si>
  <si>
    <t>1KL</t>
  </si>
  <si>
    <t>ELECTRODO 7,18</t>
  </si>
  <si>
    <t>BOLSITA TACHUELAS</t>
  </si>
  <si>
    <t>TERMICO 40X2</t>
  </si>
  <si>
    <t>SACABOCAD 25MM</t>
  </si>
  <si>
    <t>SACABOCADO 23MM</t>
  </si>
  <si>
    <t>PAGOS YAPE</t>
  </si>
  <si>
    <t>DESCRIPCION PAGO</t>
  </si>
  <si>
    <t>ADAPTADORES TALADRO A DAD</t>
  </si>
  <si>
    <t>JUEGOD E LLAVES ALLEM TR</t>
  </si>
  <si>
    <t>BANDOLAS 1/2</t>
  </si>
  <si>
    <t>BANDOLA 3/8</t>
  </si>
  <si>
    <t>FORMON 1/2</t>
  </si>
  <si>
    <t>FORMON TR 1/2</t>
  </si>
  <si>
    <t>LLAVE CRECEN UYUS</t>
  </si>
  <si>
    <t>60M</t>
  </si>
  <si>
    <t>MANGUERA 5/8</t>
  </si>
  <si>
    <t>REPUSTO DE ESTILETE</t>
  </si>
  <si>
    <t>ESCUADRA COMBINADA</t>
  </si>
  <si>
    <t>DUCHA CORONA</t>
  </si>
  <si>
    <t xml:space="preserve">LLAVE COMVIANDA </t>
  </si>
  <si>
    <t>CHAPA LION</t>
  </si>
  <si>
    <t>GRAMPA 28MM</t>
  </si>
  <si>
    <t xml:space="preserve">RODPAIERS </t>
  </si>
  <si>
    <t>GRIFO 1/2 EKO IMI</t>
  </si>
  <si>
    <t>PAQ DE TEFLO</t>
  </si>
  <si>
    <t>CEPILLO DE ACERO</t>
  </si>
  <si>
    <t>BROCA CONRETO 8MM</t>
  </si>
  <si>
    <t>SILICOA TRASNPARENTE</t>
  </si>
  <si>
    <t>POXILINA</t>
  </si>
  <si>
    <t>TEE 11/2 FG</t>
  </si>
  <si>
    <t>PIE DE AMIGO 10X8</t>
  </si>
  <si>
    <t>REGATON RRI38</t>
  </si>
  <si>
    <t>CAL</t>
  </si>
  <si>
    <t>PRECINTAO 300</t>
  </si>
  <si>
    <t>CHICTILLO 40CM</t>
  </si>
  <si>
    <t>CARBON 254</t>
  </si>
  <si>
    <t>MULTIMETRO</t>
  </si>
  <si>
    <t>ABRAZADERA 3/4 CONDJUI</t>
  </si>
  <si>
    <t>CAJA OCTOGONAL Y TAPA</t>
  </si>
  <si>
    <t>CAJA S T-2</t>
  </si>
  <si>
    <t>TERMICOS</t>
  </si>
  <si>
    <t>M ALAMBRE</t>
  </si>
  <si>
    <t>M HILO CORTAPASTO</t>
  </si>
  <si>
    <t>DADO LARGO 32 MM</t>
  </si>
  <si>
    <t>JUEGO DE ACOPLE UYUSTOOL</t>
  </si>
  <si>
    <t xml:space="preserve">ESQUINEROS </t>
  </si>
  <si>
    <t>DOCETNA CHIP</t>
  </si>
  <si>
    <t xml:space="preserve">BROCA FIERRO DE OR </t>
  </si>
  <si>
    <t>AKFI ESTRUCTURAL NEGOR</t>
  </si>
  <si>
    <t>TUBOX 220</t>
  </si>
  <si>
    <t>PISTOLA SILICON</t>
  </si>
  <si>
    <t>CLAVO TRUPRE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</si>
</sst>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1" fillId="10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10.0</v>
      </c>
      <c r="E8" s="8">
        <v>46247.358962708335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120.0</v>
      </c>
      <c r="E9" s="8">
        <v>46247.38243791666</v>
      </c>
      <c r="F9" s="2"/>
      <c r="G9" s="9" t="s">
        <v>9</v>
      </c>
      <c r="H9" s="10">
        <v>119.0</v>
      </c>
      <c r="I9" s="2"/>
      <c r="J9" s="9" t="s">
        <v>10</v>
      </c>
      <c r="K9" s="10">
        <v>633.0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135.0</v>
      </c>
      <c r="E10" s="8">
        <v>46247.38697717593</v>
      </c>
      <c r="F10" s="2"/>
      <c r="G10" s="9" t="s">
        <v>12</v>
      </c>
      <c r="H10" s="10">
        <v>390.0</v>
      </c>
      <c r="I10" s="2"/>
      <c r="J10" s="9" t="s">
        <v>13</v>
      </c>
      <c r="K10" s="11">
        <f>SUM(PRINCIPAL[TOTAL])</f>
        <v>4937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24.0</v>
      </c>
      <c r="E11" s="8">
        <v>46247.4002318287</v>
      </c>
      <c r="F11" s="2"/>
      <c r="G11" s="9" t="s">
        <v>15</v>
      </c>
      <c r="H11" s="10">
        <v>2700.0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18.0</v>
      </c>
      <c r="C12" s="7" t="s">
        <v>17</v>
      </c>
      <c r="D12" s="6">
        <v>6.0</v>
      </c>
      <c r="E12" s="8">
        <v>46247.40028043982</v>
      </c>
      <c r="F12" s="2"/>
      <c r="G12" s="9" t="s">
        <v>18</v>
      </c>
      <c r="H12" s="12">
        <f>SUM(G24:H361)</f>
        <v>2409.5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75.0</v>
      </c>
      <c r="E13" s="8">
        <v>46247.410692060184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22.0</v>
      </c>
      <c r="E14" s="8">
        <v>46247.4133677662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19</v>
      </c>
      <c r="D15" s="6">
        <v>75.0</v>
      </c>
      <c r="E15" s="8">
        <v>46247.42064814815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23</v>
      </c>
      <c r="D16" s="6">
        <v>21.0</v>
      </c>
      <c r="E16" s="8">
        <v>46247.42059646991</v>
      </c>
      <c r="F16" s="2"/>
      <c r="G16" s="15" t="s">
        <v>24</v>
      </c>
      <c r="H16" s="16">
        <f>SUM(H9:H14)</f>
        <v>5618.5</v>
      </c>
      <c r="I16" s="3"/>
      <c r="J16" s="15" t="s">
        <v>25</v>
      </c>
      <c r="K16" s="16">
        <f>SUM(K9:K11)</f>
        <v>5570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26</v>
      </c>
      <c r="D17" s="6">
        <v>7.5</v>
      </c>
      <c r="E17" s="8">
        <v>46247.42050299769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16.0</v>
      </c>
      <c r="C18" s="7" t="s">
        <v>27</v>
      </c>
      <c r="D18" s="6">
        <v>32.0</v>
      </c>
      <c r="E18" s="8">
        <v>46247.42303710648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48,50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3.0</v>
      </c>
      <c r="C19" s="7" t="s">
        <v>28</v>
      </c>
      <c r="D19" s="6">
        <v>285.0</v>
      </c>
      <c r="E19" s="8">
        <v>46247.42942922453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3.0</v>
      </c>
      <c r="C20" s="7" t="s">
        <v>29</v>
      </c>
      <c r="D20" s="6">
        <v>96.0</v>
      </c>
      <c r="E20" s="8">
        <v>46247.42959114583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30</v>
      </c>
      <c r="D21" s="6">
        <v>52.0</v>
      </c>
      <c r="E21" s="8">
        <v>46247.429642511575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31</v>
      </c>
      <c r="D22" s="6">
        <v>9.0</v>
      </c>
      <c r="E22" s="8">
        <v>46247.43294084491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1.5</v>
      </c>
      <c r="C23" s="7" t="s">
        <v>32</v>
      </c>
      <c r="D23" s="6">
        <v>10.5</v>
      </c>
      <c r="E23" s="8">
        <v>46247.448407777774</v>
      </c>
      <c r="F23" s="2"/>
      <c r="G23" s="19" t="s">
        <v>33</v>
      </c>
      <c r="H23" s="19" t="s">
        <v>34</v>
      </c>
      <c r="I23" s="2"/>
      <c r="J23" s="20" t="s">
        <v>35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29.0</v>
      </c>
      <c r="E24" s="8">
        <v>46247.450614305555</v>
      </c>
      <c r="F24" s="2"/>
      <c r="G24" s="22">
        <v>135.0</v>
      </c>
      <c r="H24" s="23"/>
      <c r="I24" s="2"/>
      <c r="J24" s="24" t="s">
        <v>37</v>
      </c>
      <c r="K24" s="25">
        <f>SUM(INGRESOS_YAPE[])</f>
        <v>2409.5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38</v>
      </c>
      <c r="D25" s="6">
        <v>49.0</v>
      </c>
      <c r="E25" s="8">
        <v>46247.45800584491</v>
      </c>
      <c r="F25" s="2"/>
      <c r="G25" s="22">
        <v>30.0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9.5</v>
      </c>
      <c r="E26" s="8">
        <v>46247.46051524306</v>
      </c>
      <c r="F26" s="2"/>
      <c r="G26" s="26">
        <v>10.5</v>
      </c>
      <c r="H26" s="23"/>
      <c r="I26" s="2"/>
      <c r="J26" s="27" t="s">
        <v>40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 t="s">
        <v>41</v>
      </c>
      <c r="C27" s="7" t="s">
        <v>42</v>
      </c>
      <c r="D27" s="6">
        <v>11.5</v>
      </c>
      <c r="E27" s="8">
        <v>46247.46061332176</v>
      </c>
      <c r="F27" s="2"/>
      <c r="G27" s="22">
        <v>279.5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6">
        <v>9.5</v>
      </c>
      <c r="E28" s="8">
        <v>46247.46074244213</v>
      </c>
      <c r="F28" s="2"/>
      <c r="G28" s="22">
        <v>92.0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19.0</v>
      </c>
      <c r="E29" s="8">
        <v>46247.46079575231</v>
      </c>
      <c r="F29" s="2"/>
      <c r="G29" s="22">
        <v>18.0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2409,50</v>
      </c>
      <c r="L29" s="2"/>
      <c r="M29" s="2"/>
      <c r="N29" s="2"/>
      <c r="O29" s="2"/>
      <c r="P29" s="2"/>
      <c r="Q29" s="2"/>
    </row>
    <row r="30" ht="22.5" customHeight="1">
      <c r="A30" s="13"/>
      <c r="B30" s="6" t="s">
        <v>45</v>
      </c>
      <c r="C30" s="7" t="s">
        <v>46</v>
      </c>
      <c r="D30" s="6">
        <v>64.0</v>
      </c>
      <c r="E30" s="8">
        <v>46247.460914282405</v>
      </c>
      <c r="F30" s="2"/>
      <c r="G30" s="22">
        <v>69.0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47</v>
      </c>
      <c r="D31" s="30">
        <v>2.5</v>
      </c>
      <c r="E31" s="8">
        <v>46247.46229273148</v>
      </c>
      <c r="F31" s="2"/>
      <c r="G31" s="22">
        <v>11.0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48</v>
      </c>
      <c r="D32" s="6">
        <v>59.0</v>
      </c>
      <c r="E32" s="8">
        <v>46247.465951805556</v>
      </c>
      <c r="F32" s="2"/>
      <c r="G32" s="22">
        <v>154.0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49</v>
      </c>
      <c r="D33" s="6">
        <v>61.0</v>
      </c>
      <c r="E33" s="8">
        <v>46247.46604172453</v>
      </c>
      <c r="F33" s="2"/>
      <c r="G33" s="22">
        <v>65.0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50</v>
      </c>
      <c r="D34" s="6">
        <v>55.5</v>
      </c>
      <c r="E34" s="8">
        <v>46247.46610802083</v>
      </c>
      <c r="F34" s="2"/>
      <c r="G34" s="22">
        <v>99.0</v>
      </c>
      <c r="H34" s="23"/>
      <c r="I34" s="2"/>
      <c r="J34" s="31" t="s">
        <v>51</v>
      </c>
      <c r="K34" s="31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35.0</v>
      </c>
      <c r="E35" s="8">
        <v>46247.4662828588</v>
      </c>
      <c r="F35" s="2"/>
      <c r="G35" s="22">
        <v>14.0</v>
      </c>
      <c r="H35" s="23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54</v>
      </c>
      <c r="D36" s="30">
        <v>69.0</v>
      </c>
      <c r="E36" s="8">
        <v>46247.46638353009</v>
      </c>
      <c r="F36" s="2"/>
      <c r="G36" s="22">
        <v>20.0</v>
      </c>
      <c r="H36" s="23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55</v>
      </c>
      <c r="D37" s="6">
        <v>50.0</v>
      </c>
      <c r="E37" s="8">
        <v>46247.46848277778</v>
      </c>
      <c r="F37" s="2"/>
      <c r="G37" s="22">
        <v>35.0</v>
      </c>
      <c r="H37" s="23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56</v>
      </c>
      <c r="D38" s="6">
        <v>26.0</v>
      </c>
      <c r="E38" s="8">
        <v>46247.468561064816</v>
      </c>
      <c r="F38" s="2"/>
      <c r="G38" s="22">
        <v>137.0</v>
      </c>
      <c r="H38" s="23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57</v>
      </c>
      <c r="D39" s="6">
        <v>45.0</v>
      </c>
      <c r="E39" s="8">
        <v>46247.47504482639</v>
      </c>
      <c r="F39" s="2"/>
      <c r="G39" s="22">
        <v>59.0</v>
      </c>
      <c r="H39" s="23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58</v>
      </c>
      <c r="D40" s="6">
        <v>53.0</v>
      </c>
      <c r="E40" s="8">
        <v>46247.47517784723</v>
      </c>
      <c r="F40" s="2"/>
      <c r="G40" s="22">
        <v>110.0</v>
      </c>
      <c r="H40" s="23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59</v>
      </c>
      <c r="D41" s="6">
        <v>42.0</v>
      </c>
      <c r="E41" s="8">
        <v>46247.478854444445</v>
      </c>
      <c r="F41" s="2"/>
      <c r="G41" s="22">
        <v>7.5</v>
      </c>
      <c r="H41" s="23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 t="s">
        <v>60</v>
      </c>
      <c r="C42" s="7" t="s">
        <v>61</v>
      </c>
      <c r="D42" s="6">
        <v>600.0</v>
      </c>
      <c r="E42" s="8">
        <v>46247.48901106481</v>
      </c>
      <c r="F42" s="2"/>
      <c r="G42" s="22">
        <v>140.0</v>
      </c>
      <c r="H42" s="23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62</v>
      </c>
      <c r="D43" s="6">
        <v>18.0</v>
      </c>
      <c r="E43" s="8">
        <v>46247.48922530093</v>
      </c>
      <c r="F43" s="2"/>
      <c r="G43" s="22">
        <v>384.0</v>
      </c>
      <c r="H43" s="23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63</v>
      </c>
      <c r="D44" s="6">
        <v>69.0</v>
      </c>
      <c r="E44" s="8">
        <v>46247.496815</v>
      </c>
      <c r="F44" s="2"/>
      <c r="G44" s="22">
        <v>132.0</v>
      </c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64</v>
      </c>
      <c r="D45" s="6">
        <v>135.0</v>
      </c>
      <c r="E45" s="8">
        <v>46247.50988269676</v>
      </c>
      <c r="F45" s="2"/>
      <c r="G45" s="22">
        <v>204.0</v>
      </c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65</v>
      </c>
      <c r="D46" s="6">
        <v>163.0</v>
      </c>
      <c r="E46" s="8">
        <v>46247.532892766205</v>
      </c>
      <c r="F46" s="2"/>
      <c r="G46" s="22">
        <v>31.0</v>
      </c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66</v>
      </c>
      <c r="D47" s="6">
        <v>11.0</v>
      </c>
      <c r="E47" s="8">
        <v>46247.57919606481</v>
      </c>
      <c r="F47" s="2"/>
      <c r="G47" s="22">
        <v>98.0</v>
      </c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67</v>
      </c>
      <c r="D48" s="6">
        <v>154.0</v>
      </c>
      <c r="E48" s="8">
        <v>46247.594013865746</v>
      </c>
      <c r="F48" s="2"/>
      <c r="G48" s="22">
        <v>75.0</v>
      </c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4.0</v>
      </c>
      <c r="C49" s="7" t="s">
        <v>68</v>
      </c>
      <c r="D49" s="6">
        <v>100.0</v>
      </c>
      <c r="E49" s="8">
        <v>46247.59636127314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69</v>
      </c>
      <c r="D50" s="6">
        <v>65.0</v>
      </c>
      <c r="E50" s="8">
        <v>46247.60375700232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70</v>
      </c>
      <c r="D51" s="6">
        <v>30.0</v>
      </c>
      <c r="E51" s="8">
        <v>46247.61106082176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71</v>
      </c>
      <c r="D52" s="6">
        <v>10.0</v>
      </c>
      <c r="E52" s="8">
        <v>46247.611163946756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72</v>
      </c>
      <c r="D53" s="6">
        <v>20.0</v>
      </c>
      <c r="E53" s="8">
        <v>46247.61574466435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73</v>
      </c>
      <c r="D54" s="6">
        <v>42.0</v>
      </c>
      <c r="E54" s="8">
        <v>46247.62038767361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74</v>
      </c>
      <c r="D55" s="6">
        <v>38.0</v>
      </c>
      <c r="E55" s="8">
        <v>46247.62189061343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75</v>
      </c>
      <c r="D56" s="6">
        <v>99.0</v>
      </c>
      <c r="E56" s="8">
        <v>46247.6320240162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8.0</v>
      </c>
      <c r="C57" s="7" t="s">
        <v>76</v>
      </c>
      <c r="D57" s="6">
        <v>48.0</v>
      </c>
      <c r="E57" s="8">
        <v>46247.64726561343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4.0</v>
      </c>
      <c r="C58" s="7" t="s">
        <v>77</v>
      </c>
      <c r="D58" s="6">
        <v>14.0</v>
      </c>
      <c r="E58" s="8">
        <v>46247.660535891206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78</v>
      </c>
      <c r="D59" s="6">
        <v>20.0</v>
      </c>
      <c r="E59" s="8">
        <v>46247.66521533565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79</v>
      </c>
      <c r="D60" s="6">
        <v>35.0</v>
      </c>
      <c r="E60" s="8">
        <v>46247.66694363426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63</v>
      </c>
      <c r="D61" s="6">
        <v>137.0</v>
      </c>
      <c r="E61" s="8">
        <v>46247.68380408565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80</v>
      </c>
      <c r="D62" s="6">
        <v>59.0</v>
      </c>
      <c r="E62" s="8">
        <v>46247.69013793982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81</v>
      </c>
      <c r="D63" s="34">
        <v>29.0</v>
      </c>
      <c r="E63" s="8">
        <v>46247.69265586806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82</v>
      </c>
      <c r="D64" s="6">
        <v>110.0</v>
      </c>
      <c r="E64" s="8">
        <v>46247.733369849535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12.0</v>
      </c>
      <c r="C65" s="7" t="s">
        <v>83</v>
      </c>
      <c r="D65" s="6">
        <v>15.0</v>
      </c>
      <c r="E65" s="8">
        <v>46247.73385927083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84</v>
      </c>
      <c r="D66" s="6">
        <v>4.5</v>
      </c>
      <c r="E66" s="8">
        <v>46247.734248796296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2.0</v>
      </c>
      <c r="C67" s="7" t="s">
        <v>85</v>
      </c>
      <c r="D67" s="6">
        <v>70.0</v>
      </c>
      <c r="E67" s="8">
        <v>46247.73541520833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2.0</v>
      </c>
      <c r="C68" s="7" t="s">
        <v>86</v>
      </c>
      <c r="D68" s="6">
        <v>100.0</v>
      </c>
      <c r="E68" s="8">
        <v>46247.73545644676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15.0</v>
      </c>
      <c r="C69" s="7" t="s">
        <v>87</v>
      </c>
      <c r="D69" s="6">
        <v>195.0</v>
      </c>
      <c r="E69" s="8">
        <v>46247.73504693287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5.0</v>
      </c>
      <c r="C70" s="7" t="s">
        <v>88</v>
      </c>
      <c r="D70" s="6">
        <v>7.5</v>
      </c>
      <c r="E70" s="8">
        <v>46247.73512387731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89</v>
      </c>
      <c r="D71" s="6">
        <v>140.0</v>
      </c>
      <c r="E71" s="8">
        <v>46247.7399794213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90</v>
      </c>
      <c r="D72" s="6">
        <v>60.0</v>
      </c>
      <c r="E72" s="8">
        <v>46247.74194122685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91</v>
      </c>
      <c r="D73" s="6">
        <v>100.0</v>
      </c>
      <c r="E73" s="8">
        <v>46247.74710883102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5.0</v>
      </c>
      <c r="C74" s="7" t="s">
        <v>92</v>
      </c>
      <c r="D74" s="6">
        <v>19.5</v>
      </c>
      <c r="E74" s="8">
        <v>46247.747333356485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93</v>
      </c>
      <c r="D75" s="6">
        <v>10.0</v>
      </c>
      <c r="E75" s="8">
        <v>46247.74854722222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6.0</v>
      </c>
      <c r="C76" s="7" t="s">
        <v>78</v>
      </c>
      <c r="D76" s="6">
        <v>132.0</v>
      </c>
      <c r="E76" s="8">
        <v>46247.74875153935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3.0</v>
      </c>
      <c r="C77" s="7" t="s">
        <v>94</v>
      </c>
      <c r="D77" s="6">
        <v>204.0</v>
      </c>
      <c r="E77" s="8">
        <v>46247.75072797453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95</v>
      </c>
      <c r="D78" s="6">
        <v>31.0</v>
      </c>
      <c r="E78" s="8">
        <v>46247.752750844906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96</v>
      </c>
      <c r="D79" s="6">
        <v>98.0</v>
      </c>
      <c r="E79" s="8">
        <v>46247.755329189815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97</v>
      </c>
      <c r="D80" s="6">
        <v>75.0</v>
      </c>
      <c r="E80" s="8">
        <v>46247.7625856713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5"/>
      <c r="D81" s="36"/>
      <c r="E81" s="37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5"/>
      <c r="D82" s="36"/>
      <c r="E82" s="37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5"/>
      <c r="D83" s="36"/>
      <c r="E83" s="37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5"/>
      <c r="D84" s="36"/>
      <c r="E84" s="37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5"/>
      <c r="D85" s="36"/>
      <c r="E85" s="37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5"/>
      <c r="D86" s="36"/>
      <c r="E86" s="37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5"/>
      <c r="D87" s="36"/>
      <c r="E87" s="37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5"/>
      <c r="D88" s="36"/>
      <c r="E88" s="37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5"/>
      <c r="D89" s="36"/>
      <c r="E89" s="37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5"/>
      <c r="D90" s="36"/>
      <c r="E90" s="37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5"/>
      <c r="D91" s="36"/>
      <c r="E91" s="37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5"/>
      <c r="D92" s="36"/>
      <c r="E92" s="37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5"/>
      <c r="D93" s="36"/>
      <c r="E93" s="37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5"/>
      <c r="D94" s="36"/>
      <c r="E94" s="37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5"/>
      <c r="D95" s="36"/>
      <c r="E95" s="37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5"/>
      <c r="D96" s="36"/>
      <c r="E96" s="37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5"/>
      <c r="D97" s="36"/>
      <c r="E97" s="37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5"/>
      <c r="D98" s="36"/>
      <c r="E98" s="37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5"/>
      <c r="D99" s="36"/>
      <c r="E99" s="37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5"/>
      <c r="D100" s="36"/>
      <c r="E100" s="37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5"/>
      <c r="D101" s="36"/>
      <c r="E101" s="37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5"/>
      <c r="D102" s="36"/>
      <c r="E102" s="37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5"/>
      <c r="D103" s="36"/>
      <c r="E103" s="37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5"/>
      <c r="D104" s="36"/>
      <c r="E104" s="37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5"/>
      <c r="D105" s="36"/>
      <c r="E105" s="37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5"/>
      <c r="D106" s="36"/>
      <c r="E106" s="37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5"/>
      <c r="D107" s="36"/>
      <c r="E107" s="37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5"/>
      <c r="D108" s="36"/>
      <c r="E108" s="37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5"/>
      <c r="D109" s="36"/>
      <c r="E109" s="37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5"/>
      <c r="D110" s="36"/>
      <c r="E110" s="37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5"/>
      <c r="D111" s="36"/>
      <c r="E111" s="37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5"/>
      <c r="D112" s="36"/>
      <c r="E112" s="37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5"/>
      <c r="D113" s="36"/>
      <c r="E113" s="37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5"/>
      <c r="D114" s="36"/>
      <c r="E114" s="37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37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37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37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37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37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37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37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37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7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7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7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7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7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7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7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7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7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7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7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7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7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7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7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7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7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7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7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7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7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7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7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7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7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7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7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7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7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7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7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7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7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7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7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7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7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7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7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7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7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7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7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7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7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7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7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7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7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7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7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7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7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7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7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7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7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7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7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7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7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7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7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7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7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7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7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7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7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7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7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7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7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7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7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7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7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7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7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7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7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7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7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7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7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7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7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7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7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7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7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7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7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7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7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7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7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7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7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7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7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7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7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7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7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7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7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7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7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7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7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7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7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7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7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7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7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7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7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7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7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7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7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7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7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7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7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7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7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7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7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7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7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7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7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7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7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7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7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7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7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7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7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7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7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7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7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7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7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7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7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7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7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7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7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7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7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7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7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7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7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7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7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7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7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7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7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7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7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7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7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7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7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7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7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7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7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7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7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