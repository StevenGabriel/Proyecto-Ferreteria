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<sst xmlns="http://schemas.openxmlformats.org/spreadsheetml/2006/main" count="92" uniqueCount="90">
  <si>
    <t>HOJA DE CALCULO FERRETERIA</t>
  </si>
  <si>
    <t>CODIGO</t>
  </si>
  <si>
    <t>CANTIDAD</t>
  </si>
  <si>
    <t>DESCRIPCION</t>
  </si>
  <si>
    <t>TOTAL</t>
  </si>
  <si>
    <t>HORA</t>
  </si>
  <si>
    <t>CUADRAR</t>
  </si>
  <si>
    <t>broca concreto 12</t>
  </si>
  <si>
    <t>palo escoba</t>
  </si>
  <si>
    <t>MONEDAS</t>
  </si>
  <si>
    <t>CAJA CHICA</t>
  </si>
  <si>
    <t>broca fierro debor 3</t>
  </si>
  <si>
    <t>BILLETES 10-20</t>
  </si>
  <si>
    <t>TOTAL VENTAS DIA</t>
  </si>
  <si>
    <t>chio 5*80</t>
  </si>
  <si>
    <t>BILLETES 50-100-200</t>
  </si>
  <si>
    <t>AUMENTO DE DINERO</t>
  </si>
  <si>
    <t>panel 24</t>
  </si>
  <si>
    <t>INGRESOS YAPE</t>
  </si>
  <si>
    <t>caricol</t>
  </si>
  <si>
    <t>INGRESOS TARJETA</t>
  </si>
  <si>
    <t>kg. clavo</t>
  </si>
  <si>
    <t>GASTOS VARIOS</t>
  </si>
  <si>
    <t>intueeup</t>
  </si>
  <si>
    <t>pispot bisa</t>
  </si>
  <si>
    <t>DINERO GANADO HOY:</t>
  </si>
  <si>
    <t>CANTIDAD DINERO CAJA:</t>
  </si>
  <si>
    <t>jalador</t>
  </si>
  <si>
    <t>yeso</t>
  </si>
  <si>
    <t>rueda flap desgaste tr</t>
  </si>
  <si>
    <t>bolsa de tachuelas</t>
  </si>
  <si>
    <t>malacate truper</t>
  </si>
  <si>
    <t>fisco norton</t>
  </si>
  <si>
    <t>1guante</t>
  </si>
  <si>
    <t>guant</t>
  </si>
  <si>
    <t>YAPE MAMÁ</t>
  </si>
  <si>
    <t>YAPE PAPÁ</t>
  </si>
  <si>
    <t>YAPE</t>
  </si>
  <si>
    <t xml:space="preserve">pislto de catlo uyusto </t>
  </si>
  <si>
    <t>Monto Total YAPE (No tocar):</t>
  </si>
  <si>
    <t>m hule</t>
  </si>
  <si>
    <t>juego de lijas</t>
  </si>
  <si>
    <t>Monto Total Registrado en aplicacion</t>
  </si>
  <si>
    <t>1m</t>
  </si>
  <si>
    <t>lija 120</t>
  </si>
  <si>
    <t>lija 150</t>
  </si>
  <si>
    <t>escardillo</t>
  </si>
  <si>
    <t>sintetica verde</t>
  </si>
  <si>
    <t>tijelad e podar</t>
  </si>
  <si>
    <t>alicate de precion</t>
  </si>
  <si>
    <t>hidropistola</t>
  </si>
  <si>
    <t>masquin 1/2</t>
  </si>
  <si>
    <t>PAGOS YAPE</t>
  </si>
  <si>
    <t>DESCRIPCION PAGO</t>
  </si>
  <si>
    <t>pincel 0</t>
  </si>
  <si>
    <t>sintetica blanca</t>
  </si>
  <si>
    <t>aerosl cafe oscuro</t>
  </si>
  <si>
    <t>espuma expanciva negra</t>
  </si>
  <si>
    <t>escalera mor</t>
  </si>
  <si>
    <t>tenazas ceramica</t>
  </si>
  <si>
    <t>bisagra 21/2</t>
  </si>
  <si>
    <t>brocas 2</t>
  </si>
  <si>
    <t>chip 3.5 x 25</t>
  </si>
  <si>
    <t>chip 3.5 x 20</t>
  </si>
  <si>
    <t>chip3-5 x 16</t>
  </si>
  <si>
    <t>fresa tr recta</t>
  </si>
  <si>
    <t>pigmento amarillo</t>
  </si>
  <si>
    <t>silicona tras</t>
  </si>
  <si>
    <t>5M</t>
  </si>
  <si>
    <t>Bipolar 18</t>
  </si>
  <si>
    <t>bateria 9v</t>
  </si>
  <si>
    <t>LIJAS 1500</t>
  </si>
  <si>
    <t>LIJA 2000</t>
  </si>
  <si>
    <t>ventosa doble tr</t>
  </si>
  <si>
    <t>caja distrubicion 10x10</t>
  </si>
  <si>
    <t>disco madera 7</t>
  </si>
  <si>
    <t>pila</t>
  </si>
  <si>
    <t>liga tolsen</t>
  </si>
  <si>
    <t>bolsa dfe precinto10cm</t>
  </si>
  <si>
    <t>DISCIO CORTE TRUPER</t>
  </si>
  <si>
    <t>TEMAZA TRAMON</t>
  </si>
  <si>
    <t>DISCOS MADERA 4</t>
  </si>
  <si>
    <t>DISOC DE PULIR 7</t>
  </si>
  <si>
    <t>TIJERA DE PODAR</t>
  </si>
  <si>
    <t>ADAPTADOR ULTRA</t>
  </si>
  <si>
    <t>FROTACHO MADERA</t>
  </si>
  <si>
    <t>LUBRICANE A40</t>
  </si>
  <si>
    <t>RSCOBILLA RED</t>
  </si>
  <si>
    <t>CARGADOR DE PILAR</t>
  </si>
  <si>
    <t>BATERIA VOLVCNER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</si>
</sst>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47.0</v>
      </c>
      <c r="E8" s="8">
        <v>46257.36656226852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13.0</v>
      </c>
      <c r="E9" s="8">
        <v>46257.40414292824</v>
      </c>
      <c r="F9" s="2"/>
      <c r="G9" s="9" t="s">
        <v>9</v>
      </c>
      <c r="H9" s="10">
        <v>112.0</v>
      </c>
      <c r="I9" s="2"/>
      <c r="J9" s="9" t="s">
        <v>10</v>
      </c>
      <c r="K9" s="10">
        <v>496.0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14.0</v>
      </c>
      <c r="E10" s="8">
        <v>46257.426976435185</v>
      </c>
      <c r="F10" s="2"/>
      <c r="G10" s="9" t="s">
        <v>12</v>
      </c>
      <c r="H10" s="10">
        <v>270.0</v>
      </c>
      <c r="I10" s="2"/>
      <c r="J10" s="9" t="s">
        <v>13</v>
      </c>
      <c r="K10" s="11">
        <f>SUM(PRINCIPAL[TOTAL])</f>
        <v>6487.5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3.0</v>
      </c>
      <c r="C11" s="7" t="s">
        <v>14</v>
      </c>
      <c r="D11" s="6">
        <v>3.0</v>
      </c>
      <c r="E11" s="8">
        <v>46257.42702805555</v>
      </c>
      <c r="F11" s="2"/>
      <c r="G11" s="9" t="s">
        <v>15</v>
      </c>
      <c r="H11" s="10">
        <v>2800.0</v>
      </c>
      <c r="I11" s="2"/>
      <c r="J11" s="9" t="s">
        <v>16</v>
      </c>
      <c r="K11" s="10">
        <v>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88.0</v>
      </c>
      <c r="E12" s="8">
        <v>46257.429118796295</v>
      </c>
      <c r="F12" s="2"/>
      <c r="G12" s="9" t="s">
        <v>18</v>
      </c>
      <c r="H12" s="12">
        <f>SUM(G24:H361)</f>
        <v>1497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8.0</v>
      </c>
      <c r="E13" s="8">
        <v>46257.429534826384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20.0</v>
      </c>
      <c r="E14" s="8">
        <v>46257.42969913194</v>
      </c>
      <c r="F14" s="2"/>
      <c r="G14" s="9" t="s">
        <v>22</v>
      </c>
      <c r="H14" s="10">
        <v>2370.0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8.0</v>
      </c>
      <c r="E15" s="8">
        <v>46257.42993142361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10.0</v>
      </c>
      <c r="E16" s="8">
        <v>46257.430226701385</v>
      </c>
      <c r="F16" s="2"/>
      <c r="G16" s="15" t="s">
        <v>25</v>
      </c>
      <c r="H16" s="16">
        <f>SUM(H9:H14)</f>
        <v>7049</v>
      </c>
      <c r="I16" s="3"/>
      <c r="J16" s="15" t="s">
        <v>26</v>
      </c>
      <c r="K16" s="16">
        <f>SUM(K9:K11)</f>
        <v>7063.5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24.0</v>
      </c>
      <c r="E17" s="8">
        <v>46257.4304218287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16.0</v>
      </c>
      <c r="E18" s="8">
        <v>46257.431531793976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22.0</v>
      </c>
      <c r="E19" s="8">
        <v>46258.38057148148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18">
        <v>2.5</v>
      </c>
      <c r="E20" s="8">
        <v>46258.39452599537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642.0</v>
      </c>
      <c r="E21" s="8">
        <v>46258.405055173615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38.0</v>
      </c>
      <c r="E22" s="8">
        <v>46258.425284930556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33</v>
      </c>
      <c r="C23" s="7" t="s">
        <v>34</v>
      </c>
      <c r="D23" s="6">
        <v>20.0</v>
      </c>
      <c r="E23" s="8">
        <v>46258.42554625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135.0</v>
      </c>
      <c r="E24" s="8">
        <v>46258.440279375005</v>
      </c>
      <c r="F24" s="2"/>
      <c r="G24" s="23">
        <v>22.0</v>
      </c>
      <c r="H24" s="24"/>
      <c r="I24" s="2"/>
      <c r="J24" s="25" t="s">
        <v>39</v>
      </c>
      <c r="K24" s="26">
        <f>SUM(INGRESOS_YAPE[])</f>
        <v>1497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40</v>
      </c>
      <c r="D25" s="6">
        <v>21.0</v>
      </c>
      <c r="E25" s="8">
        <v>46258.440331307866</v>
      </c>
      <c r="F25" s="2"/>
      <c r="G25" s="23">
        <v>135.0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20.0</v>
      </c>
      <c r="E26" s="8">
        <v>46258.448399155095</v>
      </c>
      <c r="F26" s="2"/>
      <c r="G26" s="27">
        <v>21.0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 t="s">
        <v>43</v>
      </c>
      <c r="C27" s="7" t="s">
        <v>44</v>
      </c>
      <c r="D27" s="6">
        <v>10.0</v>
      </c>
      <c r="E27" s="8">
        <v>46258.44865175926</v>
      </c>
      <c r="F27" s="2"/>
      <c r="G27" s="23">
        <v>680.0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43</v>
      </c>
      <c r="C28" s="7" t="s">
        <v>45</v>
      </c>
      <c r="D28" s="6">
        <v>10.0</v>
      </c>
      <c r="E28" s="8">
        <v>46258.4486768287</v>
      </c>
      <c r="F28" s="2"/>
      <c r="G28" s="23">
        <v>55.0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70.0</v>
      </c>
      <c r="E29" s="8">
        <v>46258.449029571755</v>
      </c>
      <c r="F29" s="2"/>
      <c r="G29" s="23">
        <v>39.0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1497,00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15.0</v>
      </c>
      <c r="E30" s="8">
        <v>46258.44895896991</v>
      </c>
      <c r="F30" s="2"/>
      <c r="G30" s="23">
        <v>150.0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230.0</v>
      </c>
      <c r="E31" s="8">
        <v>46258.44888960649</v>
      </c>
      <c r="F31" s="2"/>
      <c r="G31" s="23">
        <v>35.0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110.0</v>
      </c>
      <c r="E32" s="8">
        <v>46258.44940008102</v>
      </c>
      <c r="F32" s="2"/>
      <c r="G32" s="23">
        <v>105.0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133.0</v>
      </c>
      <c r="E33" s="8">
        <v>46258.44930630787</v>
      </c>
      <c r="F33" s="2"/>
      <c r="G33" s="23">
        <v>30.0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10.0</v>
      </c>
      <c r="E34" s="8">
        <v>46258.44975817129</v>
      </c>
      <c r="F34" s="2"/>
      <c r="G34" s="23">
        <v>225.0</v>
      </c>
      <c r="H34" s="24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54</v>
      </c>
      <c r="D35" s="6">
        <v>16.0</v>
      </c>
      <c r="E35" s="8">
        <v>46258.44984340278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20.0</v>
      </c>
      <c r="E36" s="8">
        <v>46258.44990644676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56</v>
      </c>
      <c r="D37" s="6">
        <v>36.0</v>
      </c>
      <c r="E37" s="8">
        <v>46258.450081874995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55.0</v>
      </c>
      <c r="E38" s="8">
        <v>46258.45973502315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1212.0</v>
      </c>
      <c r="E39" s="8">
        <v>46258.47876762731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10.0</v>
      </c>
      <c r="C40" s="7" t="s">
        <v>59</v>
      </c>
      <c r="D40" s="6">
        <v>1550.0</v>
      </c>
      <c r="E40" s="8">
        <v>46258.47884542824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6.0</v>
      </c>
      <c r="C41" s="7" t="s">
        <v>60</v>
      </c>
      <c r="D41" s="6">
        <v>15.0</v>
      </c>
      <c r="E41" s="8">
        <v>46258.47825940972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61</v>
      </c>
      <c r="D42" s="6">
        <v>20.0</v>
      </c>
      <c r="E42" s="8">
        <v>46258.478333136576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1.0</v>
      </c>
      <c r="E43" s="8">
        <v>46258.478683090274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63</v>
      </c>
      <c r="D44" s="6">
        <v>2.0</v>
      </c>
      <c r="E44" s="8">
        <v>46258.47862699074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1.0</v>
      </c>
      <c r="E45" s="8">
        <v>46258.478446469904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77.0</v>
      </c>
      <c r="E46" s="8">
        <v>46258.47970899305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65</v>
      </c>
      <c r="D47" s="6">
        <v>73.0</v>
      </c>
      <c r="E47" s="8">
        <v>46258.4797715162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10.0</v>
      </c>
      <c r="E48" s="8">
        <v>46258.480332164356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67</v>
      </c>
      <c r="D49" s="6">
        <v>84.0</v>
      </c>
      <c r="E49" s="8">
        <v>46258.51606011574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68</v>
      </c>
      <c r="C50" s="7" t="s">
        <v>69</v>
      </c>
      <c r="D50" s="6">
        <v>35.0</v>
      </c>
      <c r="E50" s="8">
        <v>46258.53259456018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40.0</v>
      </c>
      <c r="E51" s="8">
        <v>46258.53963493055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5.0</v>
      </c>
      <c r="C52" s="7" t="s">
        <v>71</v>
      </c>
      <c r="D52" s="6">
        <v>40.0</v>
      </c>
      <c r="E52" s="8">
        <v>46258.55370300926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12.0</v>
      </c>
      <c r="E53" s="8">
        <v>46258.55159969907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200.0</v>
      </c>
      <c r="E54" s="8">
        <v>46258.55381337963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74</v>
      </c>
      <c r="D55" s="6">
        <v>24.0</v>
      </c>
      <c r="E55" s="8">
        <v>46258.56752561343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59.0</v>
      </c>
      <c r="E56" s="8">
        <v>46258.56742703704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19.0</v>
      </c>
      <c r="E57" s="8">
        <v>46258.57205134259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6">
        <v>20.0</v>
      </c>
      <c r="E58" s="8">
        <v>46258.60316612269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12.0</v>
      </c>
      <c r="E59" s="8">
        <v>46258.612739247685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79</v>
      </c>
      <c r="D60" s="6">
        <v>196.0</v>
      </c>
      <c r="E60" s="8">
        <v>46258.62602960649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105.0</v>
      </c>
      <c r="E61" s="8">
        <v>46258.6930221875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81</v>
      </c>
      <c r="D62" s="6">
        <v>78.0</v>
      </c>
      <c r="E62" s="8">
        <v>46258.70288282407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82</v>
      </c>
      <c r="D63" s="6">
        <v>298.0</v>
      </c>
      <c r="E63" s="8">
        <v>46258.713124664355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77.0</v>
      </c>
      <c r="E64" s="8">
        <v>46258.713247465275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6.0</v>
      </c>
      <c r="E65" s="8">
        <v>46258.71329378472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40.0</v>
      </c>
      <c r="E66" s="8">
        <v>46258.71336530092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86</v>
      </c>
      <c r="D67" s="6">
        <v>60.0</v>
      </c>
      <c r="E67" s="8">
        <v>46258.72879940972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30.0</v>
      </c>
      <c r="E68" s="8">
        <v>46258.74183020833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184.0</v>
      </c>
      <c r="E69" s="8">
        <v>46258.765562037035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41.0</v>
      </c>
      <c r="E70" s="8">
        <v>46258.7656771412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