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<sst xmlns="http://schemas.openxmlformats.org/spreadsheetml/2006/main" count="97" uniqueCount="94">
  <si>
    <t>HOJA DE CALCULO FERRETERIA</t>
  </si>
  <si>
    <t>CODIGO</t>
  </si>
  <si>
    <t>CANTIDAD</t>
  </si>
  <si>
    <t>DESCRIPCION</t>
  </si>
  <si>
    <t>TOTAL</t>
  </si>
  <si>
    <t>HORA</t>
  </si>
  <si>
    <t>CUADRAR</t>
  </si>
  <si>
    <t>guante asatex</t>
  </si>
  <si>
    <t>fresa</t>
  </si>
  <si>
    <t>MONEDAS</t>
  </si>
  <si>
    <t>CAJA CHICA</t>
  </si>
  <si>
    <t>idsoc madera 12</t>
  </si>
  <si>
    <t>BILLETES 10-20</t>
  </si>
  <si>
    <t>TOTAL VENTAS DIA</t>
  </si>
  <si>
    <t>disco 7 madera</t>
  </si>
  <si>
    <t>BILLETES 50-100-200</t>
  </si>
  <si>
    <t>AUMENTO DE DINERO</t>
  </si>
  <si>
    <t>pegamento akfix</t>
  </si>
  <si>
    <t>INGRESOS YAPE</t>
  </si>
  <si>
    <t>cadado 30mm</t>
  </si>
  <si>
    <t>INGRESOS TARJETA</t>
  </si>
  <si>
    <t>ENGRAMPADORA UYUS</t>
  </si>
  <si>
    <t>GASTOS VARIOS</t>
  </si>
  <si>
    <t>GRAMPAS</t>
  </si>
  <si>
    <t>ADAPTADOR 1/2X3/4 DADO</t>
  </si>
  <si>
    <t>DINERO GANADO HOY:</t>
  </si>
  <si>
    <t>CANTIDAD DINERO CAJA:</t>
  </si>
  <si>
    <t>DESARMADOR REVERSIBLE</t>
  </si>
  <si>
    <t>CEMENTO COLA</t>
  </si>
  <si>
    <t>BROCA CERAMICA 9,5</t>
  </si>
  <si>
    <t>MASA CARILICA</t>
  </si>
  <si>
    <t>1M</t>
  </si>
  <si>
    <t>LIJA 12</t>
  </si>
  <si>
    <t xml:space="preserve">SIKA </t>
  </si>
  <si>
    <t>PASTINA NEOMIX</t>
  </si>
  <si>
    <t>YAPE MAMÁ</t>
  </si>
  <si>
    <t>YAPE PAPÁ</t>
  </si>
  <si>
    <t>YAPE</t>
  </si>
  <si>
    <t>M SOPA PERLON</t>
  </si>
  <si>
    <t>Monto Total YAPE (No tocar):</t>
  </si>
  <si>
    <t>POXIPOL</t>
  </si>
  <si>
    <t>TERMICO SICA</t>
  </si>
  <si>
    <t>Monto Total Registrado en aplicacion</t>
  </si>
  <si>
    <t>PEGANTE</t>
  </si>
  <si>
    <t>3.5M</t>
  </si>
  <si>
    <t>CADENA 1/4</t>
  </si>
  <si>
    <t>ARMELLAS</t>
  </si>
  <si>
    <t>RANPLU 8</t>
  </si>
  <si>
    <t>CANDADO TR</t>
  </si>
  <si>
    <t>PISTOL PARA PINTAR TR</t>
  </si>
  <si>
    <t>PISTOLA PARA PINTA TOTAL</t>
  </si>
  <si>
    <t>PAGOS YAPE</t>
  </si>
  <si>
    <t>DESCRIPCION PAGO</t>
  </si>
  <si>
    <t>ESCUADRO UYUS</t>
  </si>
  <si>
    <t>CAJA GRAMA</t>
  </si>
  <si>
    <t>CAJA CHINCH</t>
  </si>
  <si>
    <t>SINTETICA 220 NEGRO</t>
  </si>
  <si>
    <t>BROCHA 1</t>
  </si>
  <si>
    <t>PISTOLA DE CALOR</t>
  </si>
  <si>
    <t>6M</t>
  </si>
  <si>
    <t>HILO 1,5</t>
  </si>
  <si>
    <t>BROCA MADERA 1/4</t>
  </si>
  <si>
    <t>BROCA FIERRO 4</t>
  </si>
  <si>
    <t>BROCAFIERRO 5</t>
  </si>
  <si>
    <t>BROCA FIERRO 3</t>
  </si>
  <si>
    <t>BROCA FIERRO 3,5</t>
  </si>
  <si>
    <t>BOLSITA TACHUELA</t>
  </si>
  <si>
    <t>INIPLE 1/4</t>
  </si>
  <si>
    <t>COPLA 1/4</t>
  </si>
  <si>
    <t>TIMBRE</t>
  </si>
  <si>
    <t>2M</t>
  </si>
  <si>
    <t>CORFIO 1.5</t>
  </si>
  <si>
    <t>TEFLON</t>
  </si>
  <si>
    <t>TAPON 1/2</t>
  </si>
  <si>
    <t>SEMICODO PVC 1/2</t>
  </si>
  <si>
    <t>COPLA 1/2PVC</t>
  </si>
  <si>
    <t xml:space="preserve">1PAR </t>
  </si>
  <si>
    <t>BISAGRA HIDRAULICA</t>
  </si>
  <si>
    <t>CINTA EMBAAJE</t>
  </si>
  <si>
    <t xml:space="preserve">BROCA TRUPER </t>
  </si>
  <si>
    <t>ARANDELAS 10</t>
  </si>
  <si>
    <t>CAJA REMACHE 4.8 X 22</t>
  </si>
  <si>
    <t>GUANTE TR</t>
  </si>
  <si>
    <t>ADAPTDOR  ULTRA</t>
  </si>
  <si>
    <t>ADAPTADOR CORRIENTE</t>
  </si>
  <si>
    <t>ADAPTADOR 1/2</t>
  </si>
  <si>
    <t>MANGUERA NIVEL 1/2</t>
  </si>
  <si>
    <t>CINTA DOBLE CONTACTO 1/2</t>
  </si>
  <si>
    <t>KL ALAMBRE DE AMRRETE</t>
  </si>
  <si>
    <t>TIJERA DE PODAR</t>
  </si>
  <si>
    <t>CODO 11/2</t>
  </si>
  <si>
    <t>SOQUET</t>
  </si>
  <si>
    <t>REISTENCIA LORENZETE</t>
  </si>
  <si>
    <t>FOCO TRAMONTIA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</si>
</sst>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4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  <font>
      <b/>
      <sz val="15.0"/>
      <color theme="1"/>
      <name val="&quot;Leelawadee UI&quot;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10" fontId="5" numFmtId="0" xfId="0" applyAlignment="1" applyBorder="1" applyFill="1" applyFont="1">
      <alignment horizontal="center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5.0</v>
      </c>
      <c r="C8" s="7" t="s">
        <v>7</v>
      </c>
      <c r="D8" s="6">
        <v>65.0</v>
      </c>
      <c r="E8" s="8">
        <v>46212.347514849534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75.5</v>
      </c>
      <c r="E9" s="8">
        <v>46212.35444340278</v>
      </c>
      <c r="F9" s="2"/>
      <c r="G9" s="9" t="s">
        <v>9</v>
      </c>
      <c r="H9" s="10">
        <v>149.0</v>
      </c>
      <c r="I9" s="2"/>
      <c r="J9" s="9" t="s">
        <v>10</v>
      </c>
      <c r="K9" s="10">
        <v>690.5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182.0</v>
      </c>
      <c r="E10" s="8">
        <v>46212.39338424768</v>
      </c>
      <c r="F10" s="2"/>
      <c r="G10" s="9" t="s">
        <v>12</v>
      </c>
      <c r="H10" s="10">
        <v>200.0</v>
      </c>
      <c r="I10" s="2"/>
      <c r="J10" s="9" t="s">
        <v>13</v>
      </c>
      <c r="K10" s="11">
        <f>SUM(PRINCIPAL[TOTAL])</f>
        <v>2870.14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110.0</v>
      </c>
      <c r="E11" s="8">
        <v>46212.39352675926</v>
      </c>
      <c r="F11" s="2"/>
      <c r="G11" s="9" t="s">
        <v>15</v>
      </c>
      <c r="H11" s="10">
        <v>1900.0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34.0</v>
      </c>
      <c r="E12" s="8">
        <v>46212.397438518514</v>
      </c>
      <c r="F12" s="2"/>
      <c r="G12" s="9" t="s">
        <v>18</v>
      </c>
      <c r="H12" s="12">
        <f>SUM(G24:H361)</f>
        <v>1355.64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3.0</v>
      </c>
      <c r="C13" s="7" t="s">
        <v>19</v>
      </c>
      <c r="D13" s="6">
        <v>42.0</v>
      </c>
      <c r="E13" s="8">
        <v>46212.40838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15">
        <v>51.0</v>
      </c>
      <c r="E14" s="8">
        <v>46212.41764035879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9.0</v>
      </c>
      <c r="E15" s="8">
        <v>46212.41769190972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15">
        <v>63.0</v>
      </c>
      <c r="E16" s="8">
        <v>46212.41939811343</v>
      </c>
      <c r="F16" s="2"/>
      <c r="G16" s="16" t="s">
        <v>25</v>
      </c>
      <c r="H16" s="17">
        <f>SUM(H9:H14)</f>
        <v>3604.64</v>
      </c>
      <c r="I16" s="3"/>
      <c r="J16" s="16" t="s">
        <v>26</v>
      </c>
      <c r="K16" s="17">
        <f>SUM(K9:K11)</f>
        <v>3560.64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10.0</v>
      </c>
      <c r="E17" s="8">
        <v>46212.43239476852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31.0</v>
      </c>
      <c r="E18" s="8">
        <v>46212.44078101852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44,00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33.5</v>
      </c>
      <c r="E19" s="8">
        <v>46212.443843078705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36.0</v>
      </c>
      <c r="E20" s="8">
        <v>46212.45029875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 t="s">
        <v>31</v>
      </c>
      <c r="C21" s="7" t="s">
        <v>32</v>
      </c>
      <c r="D21" s="6">
        <v>10.0</v>
      </c>
      <c r="E21" s="8">
        <v>46212.450339641204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33</v>
      </c>
      <c r="D22" s="6">
        <v>50.0</v>
      </c>
      <c r="E22" s="8">
        <v>46212.47294771991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23.0</v>
      </c>
      <c r="E23" s="8">
        <v>46212.47307219908</v>
      </c>
      <c r="F23" s="2"/>
      <c r="G23" s="20" t="s">
        <v>35</v>
      </c>
      <c r="H23" s="20" t="s">
        <v>36</v>
      </c>
      <c r="I23" s="2"/>
      <c r="J23" s="21" t="s">
        <v>37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5.0</v>
      </c>
      <c r="C24" s="7" t="s">
        <v>38</v>
      </c>
      <c r="D24" s="6">
        <v>22.5</v>
      </c>
      <c r="E24" s="8">
        <v>46212.47352280092</v>
      </c>
      <c r="F24" s="2"/>
      <c r="G24" s="23">
        <v>65.0</v>
      </c>
      <c r="H24" s="24"/>
      <c r="I24" s="2"/>
      <c r="J24" s="25" t="s">
        <v>39</v>
      </c>
      <c r="K24" s="26">
        <f>SUM(INGRESOS_YAPE[])</f>
        <v>1355.64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36.0</v>
      </c>
      <c r="E25" s="8">
        <v>46212.47356971065</v>
      </c>
      <c r="F25" s="2"/>
      <c r="G25" s="23">
        <v>75.5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55.0</v>
      </c>
      <c r="E26" s="8">
        <v>46212.47363572917</v>
      </c>
      <c r="F26" s="2"/>
      <c r="G26" s="27">
        <v>292.0</v>
      </c>
      <c r="H26" s="24"/>
      <c r="I26" s="2"/>
      <c r="J26" s="28" t="s">
        <v>42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82.0</v>
      </c>
      <c r="E27" s="8">
        <v>46212.47681466435</v>
      </c>
      <c r="F27" s="2"/>
      <c r="G27" s="23">
        <v>34.0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 t="s">
        <v>44</v>
      </c>
      <c r="C28" s="7" t="s">
        <v>45</v>
      </c>
      <c r="D28" s="6">
        <v>91.0</v>
      </c>
      <c r="E28" s="8">
        <v>46212.47733878472</v>
      </c>
      <c r="F28" s="2"/>
      <c r="G28" s="23">
        <v>42.0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46</v>
      </c>
      <c r="D29" s="6">
        <v>3.0</v>
      </c>
      <c r="E29" s="8">
        <v>46212.47761512731</v>
      </c>
      <c r="F29" s="2"/>
      <c r="G29" s="23">
        <v>27.5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1355,64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46</v>
      </c>
      <c r="D30" s="6">
        <v>3.0</v>
      </c>
      <c r="E30" s="8">
        <v>46212.47769248842</v>
      </c>
      <c r="F30" s="2"/>
      <c r="G30" s="23">
        <v>97.64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4.0</v>
      </c>
      <c r="C31" s="7" t="s">
        <v>47</v>
      </c>
      <c r="D31" s="6">
        <v>0.64</v>
      </c>
      <c r="E31" s="8">
        <v>46212.47777221065</v>
      </c>
      <c r="F31" s="2"/>
      <c r="G31" s="23">
        <v>80.0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31">
        <v>43322.0</v>
      </c>
      <c r="B32" s="6">
        <v>1.0</v>
      </c>
      <c r="C32" s="7" t="s">
        <v>48</v>
      </c>
      <c r="D32" s="6">
        <v>79.5</v>
      </c>
      <c r="E32" s="8">
        <v>46212.47791538194</v>
      </c>
      <c r="F32" s="2"/>
      <c r="G32" s="23">
        <v>35.0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335.0</v>
      </c>
      <c r="E33" s="8">
        <v>46212.48708306713</v>
      </c>
      <c r="F33" s="2"/>
      <c r="G33" s="23">
        <v>24.0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180.0</v>
      </c>
      <c r="E34" s="8">
        <v>46212.48718241898</v>
      </c>
      <c r="F34" s="2"/>
      <c r="G34" s="23">
        <v>137.0</v>
      </c>
      <c r="H34" s="24"/>
      <c r="I34" s="2"/>
      <c r="J34" s="32" t="s">
        <v>51</v>
      </c>
      <c r="K34" s="32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33">
        <v>20.0</v>
      </c>
      <c r="E35" s="8">
        <v>46212.49402907408</v>
      </c>
      <c r="F35" s="2"/>
      <c r="G35" s="23">
        <v>87.0</v>
      </c>
      <c r="H35" s="24"/>
      <c r="I35" s="2"/>
      <c r="J35" s="34"/>
      <c r="K35" s="34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33">
        <v>10.0</v>
      </c>
      <c r="E36" s="8">
        <v>46212.49412351852</v>
      </c>
      <c r="F36" s="2"/>
      <c r="G36" s="23">
        <v>274.0</v>
      </c>
      <c r="H36" s="24"/>
      <c r="I36" s="2"/>
      <c r="J36" s="35"/>
      <c r="K36" s="35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55</v>
      </c>
      <c r="D37" s="33">
        <v>5.0</v>
      </c>
      <c r="E37" s="8">
        <v>46212.494198333334</v>
      </c>
      <c r="F37" s="2"/>
      <c r="G37" s="23">
        <v>40.0</v>
      </c>
      <c r="H37" s="24"/>
      <c r="I37" s="2"/>
      <c r="J37" s="34"/>
      <c r="K37" s="34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56</v>
      </c>
      <c r="D38" s="6">
        <v>20.0</v>
      </c>
      <c r="E38" s="8">
        <v>46212.51444783565</v>
      </c>
      <c r="F38" s="2"/>
      <c r="G38" s="23">
        <v>19.0</v>
      </c>
      <c r="H38" s="24"/>
      <c r="I38" s="2"/>
      <c r="J38" s="35"/>
      <c r="K38" s="35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57</v>
      </c>
      <c r="D39" s="6">
        <v>4.0</v>
      </c>
      <c r="E39" s="8">
        <v>46212.514496284726</v>
      </c>
      <c r="F39" s="2"/>
      <c r="G39" s="23">
        <v>11.0</v>
      </c>
      <c r="H39" s="24"/>
      <c r="I39" s="2"/>
      <c r="J39" s="34"/>
      <c r="K39" s="34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58</v>
      </c>
      <c r="D40" s="6">
        <v>137.0</v>
      </c>
      <c r="E40" s="8">
        <v>46212.52582041667</v>
      </c>
      <c r="F40" s="2"/>
      <c r="G40" s="23">
        <v>15.0</v>
      </c>
      <c r="H40" s="24"/>
      <c r="I40" s="2"/>
      <c r="J40" s="35"/>
      <c r="K40" s="35"/>
      <c r="L40" s="2"/>
      <c r="M40" s="2"/>
      <c r="N40" s="2"/>
      <c r="O40" s="2"/>
      <c r="P40" s="2"/>
      <c r="Q40" s="2"/>
    </row>
    <row r="41" ht="22.5" customHeight="1">
      <c r="A41" s="13"/>
      <c r="B41" s="6" t="s">
        <v>59</v>
      </c>
      <c r="C41" s="7" t="s">
        <v>60</v>
      </c>
      <c r="D41" s="6">
        <v>9.0</v>
      </c>
      <c r="E41" s="8">
        <v>46212.554084247684</v>
      </c>
      <c r="F41" s="2"/>
      <c r="G41" s="24"/>
      <c r="H41" s="24"/>
      <c r="I41" s="2"/>
      <c r="J41" s="34"/>
      <c r="K41" s="34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61</v>
      </c>
      <c r="D42" s="33">
        <v>35.0</v>
      </c>
      <c r="E42" s="8">
        <v>46212.580420706014</v>
      </c>
      <c r="F42" s="2"/>
      <c r="G42" s="24"/>
      <c r="H42" s="24"/>
      <c r="I42" s="2"/>
      <c r="J42" s="35"/>
      <c r="K42" s="35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62</v>
      </c>
      <c r="D43" s="6">
        <v>14.0</v>
      </c>
      <c r="E43" s="8">
        <v>46212.580577245375</v>
      </c>
      <c r="F43" s="2"/>
      <c r="G43" s="24"/>
      <c r="H43" s="24"/>
      <c r="I43" s="2"/>
      <c r="J43" s="34"/>
      <c r="K43" s="34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63</v>
      </c>
      <c r="D44" s="6">
        <v>15.0</v>
      </c>
      <c r="E44" s="8">
        <v>46212.58064211806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64</v>
      </c>
      <c r="D45" s="6">
        <v>10.0</v>
      </c>
      <c r="E45" s="8">
        <v>46212.58068861111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65</v>
      </c>
      <c r="D46" s="6">
        <v>13.0</v>
      </c>
      <c r="E46" s="8">
        <v>46212.580760798606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66</v>
      </c>
      <c r="D47" s="33">
        <v>3.0</v>
      </c>
      <c r="E47" s="8">
        <v>46212.58784579861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3.0</v>
      </c>
      <c r="C48" s="7" t="s">
        <v>67</v>
      </c>
      <c r="D48" s="6">
        <v>27.0</v>
      </c>
      <c r="E48" s="8">
        <v>46212.59238695602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68</v>
      </c>
      <c r="D49" s="6">
        <v>9.0</v>
      </c>
      <c r="E49" s="8">
        <v>46212.59246864583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/>
      <c r="C50" s="7"/>
      <c r="D50" s="15"/>
      <c r="E50" s="8"/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69</v>
      </c>
      <c r="D51" s="6">
        <v>100.0</v>
      </c>
      <c r="E51" s="8">
        <v>46212.611875069444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 t="s">
        <v>70</v>
      </c>
      <c r="C52" s="7" t="s">
        <v>71</v>
      </c>
      <c r="D52" s="6">
        <v>11.0</v>
      </c>
      <c r="E52" s="8">
        <v>46212.61199935185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72</v>
      </c>
      <c r="D53" s="6">
        <v>3.0</v>
      </c>
      <c r="E53" s="8">
        <v>46212.618803460646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73</v>
      </c>
      <c r="D54" s="6">
        <v>1.0</v>
      </c>
      <c r="E54" s="8">
        <v>46212.61884934027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74</v>
      </c>
      <c r="D55" s="6">
        <v>6.0</v>
      </c>
      <c r="E55" s="8">
        <v>46212.622964780094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75</v>
      </c>
      <c r="D56" s="6">
        <v>3.5</v>
      </c>
      <c r="E56" s="8">
        <v>46212.62317934028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28</v>
      </c>
      <c r="D57" s="6">
        <v>31.0</v>
      </c>
      <c r="E57" s="8">
        <v>46212.62713594908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 t="s">
        <v>76</v>
      </c>
      <c r="C58" s="7" t="s">
        <v>77</v>
      </c>
      <c r="D58" s="33">
        <v>26.0</v>
      </c>
      <c r="E58" s="8">
        <v>46212.660131331024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78</v>
      </c>
      <c r="D59" s="6">
        <v>10.0</v>
      </c>
      <c r="E59" s="8">
        <v>46212.66464128472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79</v>
      </c>
      <c r="D60" s="6">
        <v>32.0</v>
      </c>
      <c r="E60" s="8">
        <v>46212.68122431713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360.0</v>
      </c>
      <c r="C61" s="7" t="s">
        <v>80</v>
      </c>
      <c r="D61" s="6">
        <v>75.0</v>
      </c>
      <c r="E61" s="8">
        <v>46212.68229315973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81</v>
      </c>
      <c r="D62" s="6">
        <v>199.0</v>
      </c>
      <c r="E62" s="8">
        <v>46212.68268391203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2.0</v>
      </c>
      <c r="C63" s="7" t="s">
        <v>82</v>
      </c>
      <c r="D63" s="6">
        <v>40.0</v>
      </c>
      <c r="E63" s="8">
        <v>46212.682782916665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2.0</v>
      </c>
      <c r="C64" s="7" t="s">
        <v>83</v>
      </c>
      <c r="D64" s="6">
        <v>16.0</v>
      </c>
      <c r="E64" s="8">
        <v>46212.69171344907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84</v>
      </c>
      <c r="D65" s="6">
        <v>5.0</v>
      </c>
      <c r="E65" s="8">
        <v>46212.691878564816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85</v>
      </c>
      <c r="D66" s="6">
        <v>8.0</v>
      </c>
      <c r="E66" s="8">
        <v>46212.70123929398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 t="s">
        <v>70</v>
      </c>
      <c r="C67" s="7" t="s">
        <v>86</v>
      </c>
      <c r="D67" s="6">
        <v>16.0</v>
      </c>
      <c r="E67" s="8">
        <v>46212.70762706018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87</v>
      </c>
      <c r="D68" s="6">
        <v>10.0</v>
      </c>
      <c r="E68" s="8">
        <v>46212.709684050926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88</v>
      </c>
      <c r="D69" s="6">
        <v>19.0</v>
      </c>
      <c r="E69" s="8">
        <v>46212.73790414352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89</v>
      </c>
      <c r="D70" s="6">
        <v>167.0</v>
      </c>
      <c r="E70" s="8">
        <v>46212.74300619213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90</v>
      </c>
      <c r="D71" s="6">
        <v>8.0</v>
      </c>
      <c r="E71" s="8">
        <v>46212.74308835648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91</v>
      </c>
      <c r="D72" s="6">
        <v>5.0</v>
      </c>
      <c r="E72" s="8">
        <v>46212.74876071759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92</v>
      </c>
      <c r="D73" s="6">
        <v>24.0</v>
      </c>
      <c r="E73" s="8">
        <v>46212.75299245371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93</v>
      </c>
      <c r="D74" s="6">
        <v>11.0</v>
      </c>
      <c r="E74" s="8">
        <v>46212.755970949074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6"/>
      <c r="D75" s="37"/>
      <c r="E75" s="38"/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6"/>
      <c r="D76" s="37"/>
      <c r="E76" s="38"/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6"/>
      <c r="D77" s="37"/>
      <c r="E77" s="38"/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6"/>
      <c r="D78" s="37"/>
      <c r="E78" s="38"/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6"/>
      <c r="D79" s="37"/>
      <c r="E79" s="38"/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6"/>
      <c r="D80" s="37"/>
      <c r="E80" s="38"/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6"/>
      <c r="D81" s="37"/>
      <c r="E81" s="38"/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6"/>
      <c r="D82" s="37"/>
      <c r="E82" s="38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6"/>
      <c r="D83" s="37"/>
      <c r="E83" s="38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6"/>
      <c r="D84" s="37"/>
      <c r="E84" s="38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6"/>
      <c r="D85" s="37"/>
      <c r="E85" s="38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6"/>
      <c r="D86" s="37"/>
      <c r="E86" s="38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6"/>
      <c r="D87" s="37"/>
      <c r="E87" s="38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6"/>
      <c r="D88" s="37"/>
      <c r="E88" s="38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6"/>
      <c r="D89" s="37"/>
      <c r="E89" s="38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6"/>
      <c r="D90" s="37"/>
      <c r="E90" s="38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6"/>
      <c r="D91" s="37"/>
      <c r="E91" s="38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6"/>
      <c r="D92" s="37"/>
      <c r="E92" s="38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6"/>
      <c r="D93" s="37"/>
      <c r="E93" s="38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6"/>
      <c r="D94" s="37"/>
      <c r="E94" s="38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6"/>
      <c r="D95" s="37"/>
      <c r="E95" s="38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6"/>
      <c r="D96" s="37"/>
      <c r="E96" s="38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6"/>
      <c r="D97" s="37"/>
      <c r="E97" s="38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6"/>
      <c r="D98" s="37"/>
      <c r="E98" s="38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6"/>
      <c r="D99" s="37"/>
      <c r="E99" s="38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6"/>
      <c r="D100" s="37"/>
      <c r="E100" s="38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6"/>
      <c r="D101" s="37"/>
      <c r="E101" s="38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6"/>
      <c r="D102" s="37"/>
      <c r="E102" s="38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6"/>
      <c r="D103" s="37"/>
      <c r="E103" s="38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6"/>
      <c r="D104" s="37"/>
      <c r="E104" s="38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6"/>
      <c r="D105" s="37"/>
      <c r="E105" s="38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6"/>
      <c r="D106" s="37"/>
      <c r="E106" s="38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6"/>
      <c r="D107" s="37"/>
      <c r="E107" s="38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6"/>
      <c r="D108" s="37"/>
      <c r="E108" s="38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6"/>
      <c r="D109" s="37"/>
      <c r="E109" s="38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6"/>
      <c r="D110" s="37"/>
      <c r="E110" s="38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6"/>
      <c r="D111" s="37"/>
      <c r="E111" s="38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6"/>
      <c r="D112" s="37"/>
      <c r="E112" s="38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6"/>
      <c r="D113" s="37"/>
      <c r="E113" s="38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6"/>
      <c r="D114" s="37"/>
      <c r="E114" s="38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6"/>
      <c r="D115" s="37"/>
      <c r="E115" s="38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6"/>
      <c r="D116" s="37"/>
      <c r="E116" s="38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6"/>
      <c r="D117" s="37"/>
      <c r="E117" s="38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6"/>
      <c r="D118" s="37"/>
      <c r="E118" s="38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6"/>
      <c r="D119" s="37"/>
      <c r="E119" s="38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6"/>
      <c r="D120" s="37"/>
      <c r="E120" s="38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6"/>
      <c r="D121" s="37"/>
      <c r="E121" s="38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6"/>
      <c r="D122" s="37"/>
      <c r="E122" s="38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6"/>
      <c r="D123" s="37"/>
      <c r="E123" s="38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6"/>
      <c r="D124" s="37"/>
      <c r="E124" s="38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6"/>
      <c r="D125" s="37"/>
      <c r="E125" s="38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6"/>
      <c r="D126" s="37"/>
      <c r="E126" s="38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6"/>
      <c r="D127" s="37"/>
      <c r="E127" s="38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6"/>
      <c r="D128" s="37"/>
      <c r="E128" s="38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6"/>
      <c r="D129" s="37"/>
      <c r="E129" s="38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6"/>
      <c r="D130" s="37"/>
      <c r="E130" s="38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6"/>
      <c r="D131" s="37"/>
      <c r="E131" s="38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6"/>
      <c r="D132" s="37"/>
      <c r="E132" s="38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6"/>
      <c r="D133" s="37"/>
      <c r="E133" s="38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6"/>
      <c r="D134" s="37"/>
      <c r="E134" s="38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6"/>
      <c r="D135" s="37"/>
      <c r="E135" s="38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6"/>
      <c r="D136" s="37"/>
      <c r="E136" s="38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6"/>
      <c r="D137" s="37"/>
      <c r="E137" s="38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6"/>
      <c r="D138" s="37"/>
      <c r="E138" s="38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6"/>
      <c r="D139" s="37"/>
      <c r="E139" s="38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6"/>
      <c r="D140" s="37"/>
      <c r="E140" s="38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6"/>
      <c r="D141" s="37"/>
      <c r="E141" s="38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6"/>
      <c r="D142" s="37"/>
      <c r="E142" s="38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6"/>
      <c r="D143" s="37"/>
      <c r="E143" s="38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6"/>
      <c r="D144" s="37"/>
      <c r="E144" s="38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6"/>
      <c r="D145" s="37"/>
      <c r="E145" s="38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6"/>
      <c r="D146" s="37"/>
      <c r="E146" s="38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6"/>
      <c r="D147" s="37"/>
      <c r="E147" s="38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6"/>
      <c r="D148" s="37"/>
      <c r="E148" s="38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6"/>
      <c r="D149" s="37"/>
      <c r="E149" s="38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6"/>
      <c r="D150" s="37"/>
      <c r="E150" s="38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6"/>
      <c r="D151" s="37"/>
      <c r="E151" s="38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6"/>
      <c r="D152" s="37"/>
      <c r="E152" s="38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6"/>
      <c r="D153" s="37"/>
      <c r="E153" s="38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6"/>
      <c r="D154" s="37"/>
      <c r="E154" s="38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6"/>
      <c r="D155" s="37"/>
      <c r="E155" s="38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6"/>
      <c r="D156" s="37"/>
      <c r="E156" s="38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6"/>
      <c r="D157" s="37"/>
      <c r="E157" s="38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6"/>
      <c r="D158" s="37"/>
      <c r="E158" s="38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6"/>
      <c r="D159" s="37"/>
      <c r="E159" s="38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6"/>
      <c r="D160" s="37"/>
      <c r="E160" s="38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6"/>
      <c r="D161" s="37"/>
      <c r="E161" s="38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6"/>
      <c r="D162" s="37"/>
      <c r="E162" s="38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6"/>
      <c r="D163" s="37"/>
      <c r="E163" s="38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6"/>
      <c r="D164" s="37"/>
      <c r="E164" s="38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6"/>
      <c r="D165" s="37"/>
      <c r="E165" s="38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6"/>
      <c r="D166" s="37"/>
      <c r="E166" s="38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6"/>
      <c r="D167" s="37"/>
      <c r="E167" s="38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6"/>
      <c r="D168" s="37"/>
      <c r="E168" s="38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6"/>
      <c r="D169" s="37"/>
      <c r="E169" s="38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6"/>
      <c r="D170" s="37"/>
      <c r="E170" s="38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6"/>
      <c r="D171" s="37"/>
      <c r="E171" s="38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6"/>
      <c r="D172" s="37"/>
      <c r="E172" s="38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6"/>
      <c r="D173" s="37"/>
      <c r="E173" s="38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6"/>
      <c r="D174" s="37"/>
      <c r="E174" s="38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6"/>
      <c r="D175" s="37"/>
      <c r="E175" s="38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6"/>
      <c r="D176" s="37"/>
      <c r="E176" s="38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6"/>
      <c r="D177" s="37"/>
      <c r="E177" s="38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6"/>
      <c r="D178" s="37"/>
      <c r="E178" s="38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6"/>
      <c r="D179" s="37"/>
      <c r="E179" s="38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6"/>
      <c r="D180" s="37"/>
      <c r="E180" s="38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6"/>
      <c r="D181" s="37"/>
      <c r="E181" s="38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6"/>
      <c r="D182" s="37"/>
      <c r="E182" s="38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6"/>
      <c r="D183" s="37"/>
      <c r="E183" s="38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6"/>
      <c r="D184" s="37"/>
      <c r="E184" s="38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6"/>
      <c r="D185" s="37"/>
      <c r="E185" s="38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6"/>
      <c r="D186" s="37"/>
      <c r="E186" s="38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6"/>
      <c r="D187" s="37"/>
      <c r="E187" s="38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6"/>
      <c r="D188" s="37"/>
      <c r="E188" s="38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6"/>
      <c r="D189" s="37"/>
      <c r="E189" s="38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6"/>
      <c r="D190" s="37"/>
      <c r="E190" s="38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6"/>
      <c r="D191" s="37"/>
      <c r="E191" s="38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6"/>
      <c r="D192" s="37"/>
      <c r="E192" s="38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6"/>
      <c r="D193" s="37"/>
      <c r="E193" s="38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6"/>
      <c r="D194" s="37"/>
      <c r="E194" s="38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6"/>
      <c r="D195" s="37"/>
      <c r="E195" s="38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6"/>
      <c r="D196" s="37"/>
      <c r="E196" s="38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6"/>
      <c r="D197" s="37"/>
      <c r="E197" s="38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6"/>
      <c r="D198" s="37"/>
      <c r="E198" s="38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6"/>
      <c r="D199" s="37"/>
      <c r="E199" s="38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6"/>
      <c r="D200" s="37"/>
      <c r="E200" s="38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6"/>
      <c r="D201" s="37"/>
      <c r="E201" s="38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6"/>
      <c r="D202" s="37"/>
      <c r="E202" s="38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6"/>
      <c r="D203" s="37"/>
      <c r="E203" s="38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6"/>
      <c r="D204" s="37"/>
      <c r="E204" s="38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6"/>
      <c r="D205" s="37"/>
      <c r="E205" s="38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6"/>
      <c r="D206" s="37"/>
      <c r="E206" s="38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6"/>
      <c r="D207" s="37"/>
      <c r="E207" s="38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6"/>
      <c r="D208" s="37"/>
      <c r="E208" s="38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6"/>
      <c r="D209" s="37"/>
      <c r="E209" s="38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6"/>
      <c r="D210" s="37"/>
      <c r="E210" s="38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6"/>
      <c r="D211" s="37"/>
      <c r="E211" s="38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6"/>
      <c r="D212" s="37"/>
      <c r="E212" s="38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6"/>
      <c r="D213" s="37"/>
      <c r="E213" s="38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6"/>
      <c r="D214" s="37"/>
      <c r="E214" s="38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6"/>
      <c r="D215" s="37"/>
      <c r="E215" s="38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6"/>
      <c r="D216" s="37"/>
      <c r="E216" s="38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6"/>
      <c r="D217" s="37"/>
      <c r="E217" s="38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6"/>
      <c r="D218" s="37"/>
      <c r="E218" s="38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6"/>
      <c r="D219" s="37"/>
      <c r="E219" s="38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6"/>
      <c r="D220" s="37"/>
      <c r="E220" s="38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6"/>
      <c r="D221" s="37"/>
      <c r="E221" s="38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6"/>
      <c r="D222" s="37"/>
      <c r="E222" s="38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6"/>
      <c r="D223" s="37"/>
      <c r="E223" s="38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6"/>
      <c r="D224" s="37"/>
      <c r="E224" s="38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6"/>
      <c r="D225" s="37"/>
      <c r="E225" s="38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6"/>
      <c r="D226" s="37"/>
      <c r="E226" s="38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6"/>
      <c r="D227" s="37"/>
      <c r="E227" s="38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6"/>
      <c r="D228" s="37"/>
      <c r="E228" s="38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6"/>
      <c r="D229" s="37"/>
      <c r="E229" s="38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6"/>
      <c r="D230" s="37"/>
      <c r="E230" s="38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6"/>
      <c r="D231" s="37"/>
      <c r="E231" s="38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6"/>
      <c r="D232" s="37"/>
      <c r="E232" s="38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6"/>
      <c r="D233" s="37"/>
      <c r="E233" s="38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6"/>
      <c r="D234" s="37"/>
      <c r="E234" s="38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6"/>
      <c r="D235" s="37"/>
      <c r="E235" s="38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6"/>
      <c r="D236" s="37"/>
      <c r="E236" s="38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6"/>
      <c r="D237" s="37"/>
      <c r="E237" s="38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6"/>
      <c r="D238" s="37"/>
      <c r="E238" s="38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6"/>
      <c r="D239" s="37"/>
      <c r="E239" s="38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6"/>
      <c r="D240" s="37"/>
      <c r="E240" s="38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6"/>
      <c r="D241" s="37"/>
      <c r="E241" s="38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6"/>
      <c r="D242" s="37"/>
      <c r="E242" s="38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6"/>
      <c r="D243" s="37"/>
      <c r="E243" s="38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6"/>
      <c r="D244" s="37"/>
      <c r="E244" s="38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6"/>
      <c r="D245" s="37"/>
      <c r="E245" s="38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6"/>
      <c r="D246" s="37"/>
      <c r="E246" s="38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6"/>
      <c r="D247" s="37"/>
      <c r="E247" s="38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6"/>
      <c r="D248" s="37"/>
      <c r="E248" s="38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6"/>
      <c r="D249" s="37"/>
      <c r="E249" s="38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6"/>
      <c r="D250" s="37"/>
      <c r="E250" s="38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6"/>
      <c r="D251" s="37"/>
      <c r="E251" s="38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6"/>
      <c r="D252" s="37"/>
      <c r="E252" s="38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6"/>
      <c r="D253" s="37"/>
      <c r="E253" s="38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6"/>
      <c r="D254" s="37"/>
      <c r="E254" s="38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6"/>
      <c r="D255" s="37"/>
      <c r="E255" s="38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6"/>
      <c r="D256" s="37"/>
      <c r="E256" s="38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6"/>
      <c r="D257" s="37"/>
      <c r="E257" s="38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6"/>
      <c r="D258" s="37"/>
      <c r="E258" s="38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6"/>
      <c r="D259" s="37"/>
      <c r="E259" s="38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6"/>
      <c r="D260" s="37"/>
      <c r="E260" s="38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6"/>
      <c r="D261" s="37"/>
      <c r="E261" s="38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6"/>
      <c r="D262" s="37"/>
      <c r="E262" s="38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6"/>
      <c r="D263" s="37"/>
      <c r="E263" s="38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6"/>
      <c r="D264" s="37"/>
      <c r="E264" s="38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6"/>
      <c r="D265" s="37"/>
      <c r="E265" s="38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6"/>
      <c r="D266" s="37"/>
      <c r="E266" s="38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6"/>
      <c r="D267" s="37"/>
      <c r="E267" s="38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6"/>
      <c r="D268" s="37"/>
      <c r="E268" s="38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6"/>
      <c r="D269" s="37"/>
      <c r="E269" s="38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6"/>
      <c r="D270" s="37"/>
      <c r="E270" s="38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6"/>
      <c r="D271" s="37"/>
      <c r="E271" s="38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6"/>
      <c r="D272" s="37"/>
      <c r="E272" s="38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6"/>
      <c r="D273" s="37"/>
      <c r="E273" s="38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6"/>
      <c r="D274" s="37"/>
      <c r="E274" s="38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6"/>
      <c r="D275" s="37"/>
      <c r="E275" s="38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6"/>
      <c r="D276" s="37"/>
      <c r="E276" s="38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6"/>
      <c r="D277" s="37"/>
      <c r="E277" s="38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6"/>
      <c r="D278" s="37"/>
      <c r="E278" s="38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6"/>
      <c r="D279" s="37"/>
      <c r="E279" s="38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6"/>
      <c r="D280" s="37"/>
      <c r="E280" s="38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6"/>
      <c r="D281" s="37"/>
      <c r="E281" s="38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6"/>
      <c r="D282" s="37"/>
      <c r="E282" s="38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6"/>
      <c r="D283" s="37"/>
      <c r="E283" s="38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6"/>
      <c r="D284" s="37"/>
      <c r="E284" s="38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6"/>
      <c r="D285" s="37"/>
      <c r="E285" s="38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6"/>
      <c r="D286" s="37"/>
      <c r="E286" s="38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6"/>
      <c r="D287" s="37"/>
      <c r="E287" s="38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6"/>
      <c r="D288" s="37"/>
      <c r="E288" s="38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6"/>
      <c r="D289" s="37"/>
      <c r="E289" s="38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6"/>
      <c r="D290" s="37"/>
      <c r="E290" s="38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6"/>
      <c r="D291" s="37"/>
      <c r="E291" s="38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6"/>
      <c r="D292" s="37"/>
      <c r="E292" s="38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6"/>
      <c r="D293" s="37"/>
      <c r="E293" s="38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6"/>
      <c r="D294" s="37"/>
      <c r="E294" s="38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6"/>
      <c r="D295" s="37"/>
      <c r="E295" s="38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6"/>
      <c r="D296" s="37"/>
      <c r="E296" s="38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6"/>
      <c r="D297" s="37"/>
      <c r="E297" s="38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6"/>
      <c r="D298" s="37"/>
      <c r="E298" s="38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6"/>
      <c r="D299" s="37"/>
      <c r="E299" s="38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6"/>
      <c r="D300" s="37"/>
      <c r="E300" s="38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6"/>
      <c r="D301" s="37"/>
      <c r="E301" s="38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