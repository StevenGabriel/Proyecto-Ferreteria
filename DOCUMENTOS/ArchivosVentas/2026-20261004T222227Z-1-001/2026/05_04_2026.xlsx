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<sst xmlns="http://schemas.openxmlformats.org/spreadsheetml/2006/main" count="137" uniqueCount="136">
  <si>
    <t>HOJA DE CALCULO FERRETERIA</t>
  </si>
  <si>
    <t>CODIGO</t>
  </si>
  <si>
    <t>CANTIDAD</t>
  </si>
  <si>
    <t>DESCRIPCION</t>
  </si>
  <si>
    <t>TOTAL</t>
  </si>
  <si>
    <t>HORA</t>
  </si>
  <si>
    <t>CUADRAR</t>
  </si>
  <si>
    <t>tapom fg 1/2</t>
  </si>
  <si>
    <t xml:space="preserve">1/2 mt </t>
  </si>
  <si>
    <t>cañeria</t>
  </si>
  <si>
    <t>MONEDAS</t>
  </si>
  <si>
    <t>CAJA CHICA</t>
  </si>
  <si>
    <t>navaja truper</t>
  </si>
  <si>
    <t>BILLETES 10-20</t>
  </si>
  <si>
    <t>TOTAL VENTAS DIA</t>
  </si>
  <si>
    <t xml:space="preserve">siliciona amerira </t>
  </si>
  <si>
    <t>BILLETES 50-100-200</t>
  </si>
  <si>
    <t>AUMENTO DE DINERO</t>
  </si>
  <si>
    <t xml:space="preserve">carpicola monopol </t>
  </si>
  <si>
    <t>INGRESOS YAPE</t>
  </si>
  <si>
    <t>caja grampas</t>
  </si>
  <si>
    <t>INGRESOS TARJETA</t>
  </si>
  <si>
    <t>brocas fe 5 mm</t>
  </si>
  <si>
    <t>GASTOS VARIOS</t>
  </si>
  <si>
    <t xml:space="preserve">broca  tolsen </t>
  </si>
  <si>
    <t>broca truper</t>
  </si>
  <si>
    <t>DINERO GANADO HOY:</t>
  </si>
  <si>
    <t>CANTIDAD DINERO CAJA:</t>
  </si>
  <si>
    <t>poxilina</t>
  </si>
  <si>
    <t>candado</t>
  </si>
  <si>
    <t>tirafonaso</t>
  </si>
  <si>
    <t>abrazadera 3/4</t>
  </si>
  <si>
    <t>tapom 3/4</t>
  </si>
  <si>
    <t>tapon 2</t>
  </si>
  <si>
    <t>silicona american</t>
  </si>
  <si>
    <t>YAPE MAMÁ</t>
  </si>
  <si>
    <t>YAPE PAPÁ</t>
  </si>
  <si>
    <t xml:space="preserve">carbon </t>
  </si>
  <si>
    <t>medidor de aire total</t>
  </si>
  <si>
    <t>uante tr</t>
  </si>
  <si>
    <t>aerosol bordeaux</t>
  </si>
  <si>
    <t xml:space="preserve">combo tramontia </t>
  </si>
  <si>
    <t>termico bipolar</t>
  </si>
  <si>
    <t>foca incandesente</t>
  </si>
  <si>
    <t>ducha lorenzety</t>
  </si>
  <si>
    <t>foco 20</t>
  </si>
  <si>
    <t>foco 7</t>
  </si>
  <si>
    <t>soquet</t>
  </si>
  <si>
    <t>manguea compretsora turper</t>
  </si>
  <si>
    <t>pislo para copresora</t>
  </si>
  <si>
    <t>inflador pretul</t>
  </si>
  <si>
    <t>disco uyustool</t>
  </si>
  <si>
    <t>broca encastre 12</t>
  </si>
  <si>
    <t>toke</t>
  </si>
  <si>
    <t>5m</t>
  </si>
  <si>
    <t>manguera nivel 1/2</t>
  </si>
  <si>
    <t>tee en pico</t>
  </si>
  <si>
    <t>precinto 16cm</t>
  </si>
  <si>
    <t>bota punta metal 42</t>
  </si>
  <si>
    <t>amoladora totl 900w</t>
  </si>
  <si>
    <t>1kñ</t>
  </si>
  <si>
    <t>electrodo grueso</t>
  </si>
  <si>
    <t>escuadra tr</t>
  </si>
  <si>
    <t>clefa</t>
  </si>
  <si>
    <t>varilla bronce</t>
  </si>
  <si>
    <t>guante</t>
  </si>
  <si>
    <t>dbor 12</t>
  </si>
  <si>
    <t>irwin 10</t>
  </si>
  <si>
    <t>siliocna blanca american</t>
  </si>
  <si>
    <t>juego de lijas</t>
  </si>
  <si>
    <t>dado tork t50</t>
  </si>
  <si>
    <t>alicate pico de loro</t>
  </si>
  <si>
    <t>jjuego llave tork</t>
  </si>
  <si>
    <t>cimta asilnte negra</t>
  </si>
  <si>
    <t>gittia</t>
  </si>
  <si>
    <t>poxipol metalic</t>
  </si>
  <si>
    <t>linterna cabeza</t>
  </si>
  <si>
    <t>clavija shuco</t>
  </si>
  <si>
    <t>regleta 25a</t>
  </si>
  <si>
    <t>pispola para soplete</t>
  </si>
  <si>
    <t>guante azul</t>
  </si>
  <si>
    <t>cinta embalaje 250y</t>
  </si>
  <si>
    <t>broca irwin con 6</t>
  </si>
  <si>
    <t>rodillera</t>
  </si>
  <si>
    <t>m  manguera tamontia</t>
  </si>
  <si>
    <t>candado 50</t>
  </si>
  <si>
    <t>tubo desague 4</t>
  </si>
  <si>
    <t>codo desague 4</t>
  </si>
  <si>
    <t>semicodo desague 4</t>
  </si>
  <si>
    <t>parabon</t>
  </si>
  <si>
    <t>1kl</t>
  </si>
  <si>
    <t>carbuo</t>
  </si>
  <si>
    <t>clavo 45</t>
  </si>
  <si>
    <t>cavo 30</t>
  </si>
  <si>
    <t>repuesto stilete</t>
  </si>
  <si>
    <t>estilete</t>
  </si>
  <si>
    <t>broca irwin 2.5 fierro</t>
  </si>
  <si>
    <t>lija 80</t>
  </si>
  <si>
    <t>lija 220</t>
  </si>
  <si>
    <t>juego de puntas tr</t>
  </si>
  <si>
    <t>cinta aislant</t>
  </si>
  <si>
    <t>silicon blanco</t>
  </si>
  <si>
    <t>rejillas para lavaplatos</t>
  </si>
  <si>
    <t>bandola</t>
  </si>
  <si>
    <t>alicate de aviacion</t>
  </si>
  <si>
    <t>flexo 8m</t>
  </si>
  <si>
    <t>alicate de fuerza</t>
  </si>
  <si>
    <t>alicate de punta</t>
  </si>
  <si>
    <t>pelacable</t>
  </si>
  <si>
    <t>juego llave allem</t>
  </si>
  <si>
    <t>jeugo llave tork</t>
  </si>
  <si>
    <t>pastina blanca</t>
  </si>
  <si>
    <t>silcona blanca</t>
  </si>
  <si>
    <t>canaleador</t>
  </si>
  <si>
    <t>anticorrfosiboe ngro l</t>
  </si>
  <si>
    <t>brocha atlas 2</t>
  </si>
  <si>
    <t>disco luyusto 4</t>
  </si>
  <si>
    <t xml:space="preserve">broca irwin 6 </t>
  </si>
  <si>
    <t>caja de remaches 4,12</t>
  </si>
  <si>
    <t>carpicola 500</t>
  </si>
  <si>
    <t>llave combinada ferrawy 8</t>
  </si>
  <si>
    <t>llave pipa  14</t>
  </si>
  <si>
    <t>dado truper 1/4</t>
  </si>
  <si>
    <t>desarmador tramonia</t>
  </si>
  <si>
    <t>llave chicharaa 10</t>
  </si>
  <si>
    <t>juego de lamiansa</t>
  </si>
  <si>
    <t>cemento tigre  1/4</t>
  </si>
  <si>
    <t>juego timbre inalamvria  dacia</t>
  </si>
  <si>
    <t>adaptador ultra</t>
  </si>
  <si>
    <t>cja clavo 35</t>
  </si>
  <si>
    <t>clavo 16 50</t>
  </si>
  <si>
    <t>clavo 16 64</t>
  </si>
  <si>
    <t>aerosol cafe</t>
  </si>
  <si>
    <t>alc6d15</t>
  </si>
  <si>
    <t>alicate de corte</t>
  </si>
  <si>
    <t>desarmador reversible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</si>
</sst>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10.5</v>
      </c>
      <c r="E8" s="8">
        <v>46117.36331074074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 t="s">
        <v>8</v>
      </c>
      <c r="C9" s="7" t="s">
        <v>9</v>
      </c>
      <c r="D9" s="6">
        <v>5.0</v>
      </c>
      <c r="E9" s="8">
        <v>46117.40171178241</v>
      </c>
      <c r="F9" s="2"/>
      <c r="G9" s="9" t="s">
        <v>10</v>
      </c>
      <c r="H9" s="10">
        <v>214.0</v>
      </c>
      <c r="I9" s="2"/>
      <c r="J9" s="9" t="s">
        <v>11</v>
      </c>
      <c r="K9" s="10">
        <v>463.0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12</v>
      </c>
      <c r="D10" s="6">
        <v>85.0</v>
      </c>
      <c r="E10" s="8">
        <v>46117.401932361114</v>
      </c>
      <c r="F10" s="2"/>
      <c r="G10" s="9" t="s">
        <v>13</v>
      </c>
      <c r="H10" s="10">
        <v>220.0</v>
      </c>
      <c r="I10" s="2"/>
      <c r="J10" s="9" t="s">
        <v>14</v>
      </c>
      <c r="K10" s="11">
        <f>SUM(PRINCIPAL[TOTAL])</f>
        <v>7462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15</v>
      </c>
      <c r="D11" s="6">
        <v>27.0</v>
      </c>
      <c r="E11" s="8">
        <v>46117.41429753472</v>
      </c>
      <c r="F11" s="2"/>
      <c r="G11" s="9" t="s">
        <v>16</v>
      </c>
      <c r="H11" s="10">
        <v>3250.0</v>
      </c>
      <c r="I11" s="2"/>
      <c r="J11" s="9" t="s">
        <v>17</v>
      </c>
      <c r="K11" s="10">
        <v>155.0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18</v>
      </c>
      <c r="D12" s="6">
        <v>42.0</v>
      </c>
      <c r="E12" s="8">
        <v>46117.42280918981</v>
      </c>
      <c r="F12" s="2"/>
      <c r="G12" s="9" t="s">
        <v>19</v>
      </c>
      <c r="H12" s="12">
        <f>SUM(G24:H361)</f>
        <v>4503.5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13.0</v>
      </c>
      <c r="E13" s="8">
        <v>46117.42846509259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4.0</v>
      </c>
      <c r="C14" s="7" t="s">
        <v>22</v>
      </c>
      <c r="D14" s="6">
        <v>60.0</v>
      </c>
      <c r="E14" s="8">
        <v>46117.431253518516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28.0</v>
      </c>
      <c r="E15" s="8">
        <v>46117.4591234375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26.0</v>
      </c>
      <c r="E16" s="8">
        <v>46117.45916878472</v>
      </c>
      <c r="F16" s="2"/>
      <c r="G16" s="15" t="s">
        <v>26</v>
      </c>
      <c r="H16" s="16">
        <f>SUM(H9:H14)</f>
        <v>8187.5</v>
      </c>
      <c r="I16" s="3"/>
      <c r="J16" s="15" t="s">
        <v>27</v>
      </c>
      <c r="K16" s="16">
        <f>SUM(K9:K11)</f>
        <v>8080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38.0</v>
      </c>
      <c r="E17" s="8">
        <v>46117.474701099534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6">
        <v>43427.0</v>
      </c>
      <c r="B18" s="6">
        <v>1.0</v>
      </c>
      <c r="C18" s="7" t="s">
        <v>29</v>
      </c>
      <c r="D18" s="6">
        <v>50.0</v>
      </c>
      <c r="E18" s="8">
        <v>46117.48250006944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107,50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10.0</v>
      </c>
      <c r="C19" s="7" t="s">
        <v>30</v>
      </c>
      <c r="D19" s="6">
        <v>7.0</v>
      </c>
      <c r="E19" s="8">
        <v>46118.34604881944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12.0</v>
      </c>
      <c r="C20" s="7" t="s">
        <v>31</v>
      </c>
      <c r="D20" s="6">
        <v>18.0</v>
      </c>
      <c r="E20" s="8">
        <v>46118.360486481484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4.0</v>
      </c>
      <c r="C21" s="7" t="s">
        <v>32</v>
      </c>
      <c r="D21" s="6">
        <v>14.0</v>
      </c>
      <c r="E21" s="8">
        <v>46118.364983692125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11.0</v>
      </c>
      <c r="E22" s="8">
        <v>46118.36502556713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13.0</v>
      </c>
      <c r="C23" s="7" t="s">
        <v>34</v>
      </c>
      <c r="D23" s="6">
        <v>351.0</v>
      </c>
      <c r="E23" s="8">
        <v>46118.37723755787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20.0</v>
      </c>
      <c r="E24" s="8">
        <v>46118.38711456019</v>
      </c>
      <c r="F24" s="2"/>
      <c r="G24" s="20">
        <v>42.0</v>
      </c>
      <c r="H24" s="20">
        <v>56.0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38</v>
      </c>
      <c r="D25" s="6">
        <v>190.0</v>
      </c>
      <c r="E25" s="8">
        <v>46118.389075694446</v>
      </c>
      <c r="F25" s="2"/>
      <c r="G25" s="20">
        <v>38.0</v>
      </c>
      <c r="H25" s="20">
        <v>350.0</v>
      </c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16.0</v>
      </c>
      <c r="E26" s="8">
        <v>46118.39684295139</v>
      </c>
      <c r="F26" s="2"/>
      <c r="G26" s="21">
        <v>7.0</v>
      </c>
      <c r="H26" s="20">
        <v>236.0</v>
      </c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40</v>
      </c>
      <c r="D27" s="6">
        <v>20.0</v>
      </c>
      <c r="E27" s="8">
        <v>46118.40798578704</v>
      </c>
      <c r="F27" s="2"/>
      <c r="G27" s="20">
        <v>135.0</v>
      </c>
      <c r="H27" s="20">
        <v>100.0</v>
      </c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135.0</v>
      </c>
      <c r="E28" s="8">
        <v>46118.4169703588</v>
      </c>
      <c r="F28" s="2"/>
      <c r="G28" s="20">
        <v>58.5</v>
      </c>
      <c r="H28" s="20">
        <v>420.0</v>
      </c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55.0</v>
      </c>
      <c r="E29" s="8">
        <v>46118.420486574076</v>
      </c>
      <c r="F29" s="2"/>
      <c r="G29" s="20">
        <v>259.0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3.5</v>
      </c>
      <c r="E30" s="8">
        <v>46118.42059987268</v>
      </c>
      <c r="F30" s="2"/>
      <c r="G30" s="20">
        <v>76.0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140.0</v>
      </c>
      <c r="E31" s="8">
        <v>46118.42625280093</v>
      </c>
      <c r="F31" s="2"/>
      <c r="G31" s="20">
        <v>10.0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27.0</v>
      </c>
      <c r="E32" s="8">
        <v>46118.42630021991</v>
      </c>
      <c r="F32" s="2"/>
      <c r="G32" s="20">
        <v>290.0</v>
      </c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2.0</v>
      </c>
      <c r="C33" s="7" t="s">
        <v>46</v>
      </c>
      <c r="D33" s="6">
        <v>22.0</v>
      </c>
      <c r="E33" s="8">
        <v>46118.42877400463</v>
      </c>
      <c r="F33" s="2"/>
      <c r="G33" s="20">
        <v>118.0</v>
      </c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47</v>
      </c>
      <c r="D34" s="6">
        <v>5.0</v>
      </c>
      <c r="E34" s="8">
        <v>46118.42882714121</v>
      </c>
      <c r="F34" s="2"/>
      <c r="G34" s="20">
        <v>27.0</v>
      </c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48</v>
      </c>
      <c r="D35" s="6">
        <v>139.0</v>
      </c>
      <c r="E35" s="8">
        <v>46118.430577534724</v>
      </c>
      <c r="F35" s="2"/>
      <c r="G35" s="20">
        <v>34.0</v>
      </c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49</v>
      </c>
      <c r="D36" s="6">
        <v>52.0</v>
      </c>
      <c r="E36" s="8">
        <v>46118.430675509255</v>
      </c>
      <c r="F36" s="2"/>
      <c r="G36" s="20">
        <v>280.0</v>
      </c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50</v>
      </c>
      <c r="D37" s="6">
        <v>33.0</v>
      </c>
      <c r="E37" s="8">
        <v>46118.430743969904</v>
      </c>
      <c r="F37" s="2"/>
      <c r="G37" s="20">
        <v>334.0</v>
      </c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4.0</v>
      </c>
      <c r="C38" s="7" t="s">
        <v>51</v>
      </c>
      <c r="D38" s="6">
        <v>20.0</v>
      </c>
      <c r="E38" s="8">
        <v>46118.43223356482</v>
      </c>
      <c r="F38" s="2"/>
      <c r="G38" s="20">
        <v>24.0</v>
      </c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52</v>
      </c>
      <c r="D39" s="6">
        <v>56.0</v>
      </c>
      <c r="E39" s="8">
        <v>46118.44262976851</v>
      </c>
      <c r="F39" s="2"/>
      <c r="G39" s="20">
        <v>25.0</v>
      </c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53</v>
      </c>
      <c r="D40" s="6">
        <v>10.0</v>
      </c>
      <c r="E40" s="8">
        <v>46118.450744814814</v>
      </c>
      <c r="F40" s="2"/>
      <c r="G40" s="20">
        <v>324.0</v>
      </c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 t="s">
        <v>54</v>
      </c>
      <c r="C41" s="7" t="s">
        <v>55</v>
      </c>
      <c r="D41" s="6">
        <v>40.0</v>
      </c>
      <c r="E41" s="8">
        <v>46118.456721574075</v>
      </c>
      <c r="F41" s="2"/>
      <c r="G41" s="20">
        <v>328.0</v>
      </c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56</v>
      </c>
      <c r="D42" s="6">
        <v>10.0</v>
      </c>
      <c r="E42" s="8">
        <v>46118.456816122685</v>
      </c>
      <c r="F42" s="2"/>
      <c r="G42" s="20">
        <v>36.0</v>
      </c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57</v>
      </c>
      <c r="D43" s="6">
        <v>26.0</v>
      </c>
      <c r="E43" s="8">
        <v>46118.456977800925</v>
      </c>
      <c r="F43" s="2"/>
      <c r="G43" s="20">
        <v>419.0</v>
      </c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58</v>
      </c>
      <c r="D44" s="6">
        <v>290.0</v>
      </c>
      <c r="E44" s="8">
        <v>46118.45722041666</v>
      </c>
      <c r="F44" s="2"/>
      <c r="G44" s="20">
        <v>68.0</v>
      </c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59</v>
      </c>
      <c r="D45" s="6">
        <v>360.0</v>
      </c>
      <c r="E45" s="8">
        <v>46118.4743125463</v>
      </c>
      <c r="F45" s="2"/>
      <c r="G45" s="20">
        <v>70.0</v>
      </c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 t="s">
        <v>60</v>
      </c>
      <c r="C46" s="7" t="s">
        <v>61</v>
      </c>
      <c r="D46" s="6">
        <v>56.0</v>
      </c>
      <c r="E46" s="8">
        <v>46118.47444722222</v>
      </c>
      <c r="F46" s="2"/>
      <c r="G46" s="20">
        <v>160.0</v>
      </c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62</v>
      </c>
      <c r="D47" s="6">
        <v>135.0</v>
      </c>
      <c r="E47" s="8">
        <v>46118.4745471412</v>
      </c>
      <c r="F47" s="2"/>
      <c r="G47" s="20">
        <v>20.0</v>
      </c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63</v>
      </c>
      <c r="D48" s="6">
        <v>16.0</v>
      </c>
      <c r="E48" s="8">
        <v>46118.47558626157</v>
      </c>
      <c r="F48" s="2"/>
      <c r="G48" s="20">
        <v>159.0</v>
      </c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64</v>
      </c>
      <c r="D49" s="6">
        <v>22.0</v>
      </c>
      <c r="E49" s="8">
        <v>46118.47564027778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6.0</v>
      </c>
      <c r="C50" s="7" t="s">
        <v>65</v>
      </c>
      <c r="D50" s="6">
        <v>48.0</v>
      </c>
      <c r="E50" s="8">
        <v>46118.47567436342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66</v>
      </c>
      <c r="D51" s="6">
        <v>38.0</v>
      </c>
      <c r="E51" s="8">
        <v>46118.47819834491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67</v>
      </c>
      <c r="D52" s="6">
        <v>32.0</v>
      </c>
      <c r="E52" s="8">
        <v>46118.478305729164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68</v>
      </c>
      <c r="D53" s="6">
        <v>27.0</v>
      </c>
      <c r="E53" s="8">
        <v>46118.47840599537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69</v>
      </c>
      <c r="D54" s="6">
        <v>10.0</v>
      </c>
      <c r="E54" s="8">
        <v>46118.482496620374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70</v>
      </c>
      <c r="D55" s="6">
        <v>34.0</v>
      </c>
      <c r="E55" s="8">
        <v>46118.493669814816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71</v>
      </c>
      <c r="D56" s="6">
        <v>65.0</v>
      </c>
      <c r="E56" s="8">
        <v>46118.50181771991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72</v>
      </c>
      <c r="D57" s="6">
        <v>80.0</v>
      </c>
      <c r="E57" s="8">
        <v>46118.50191678241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73</v>
      </c>
      <c r="D58" s="6">
        <v>24.0</v>
      </c>
      <c r="E58" s="8">
        <v>46118.502029236115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74</v>
      </c>
      <c r="D59" s="6">
        <v>10.0</v>
      </c>
      <c r="E59" s="8">
        <v>46118.50210216435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75</v>
      </c>
      <c r="D60" s="6">
        <v>35.0</v>
      </c>
      <c r="E60" s="8">
        <v>46118.50222364583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76</v>
      </c>
      <c r="D61" s="6">
        <v>270.0</v>
      </c>
      <c r="E61" s="8">
        <v>46118.50866604167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77</v>
      </c>
      <c r="D62" s="6">
        <v>80.0</v>
      </c>
      <c r="E62" s="8">
        <v>46118.50884841435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2.0</v>
      </c>
      <c r="C63" s="7" t="s">
        <v>78</v>
      </c>
      <c r="D63" s="6">
        <v>200.0</v>
      </c>
      <c r="E63" s="8">
        <v>46118.5089816088</v>
      </c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79</v>
      </c>
      <c r="D64" s="6">
        <v>52.0</v>
      </c>
      <c r="E64" s="8">
        <v>46118.509055625</v>
      </c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80</v>
      </c>
      <c r="D65" s="6">
        <v>26.0</v>
      </c>
      <c r="E65" s="8">
        <v>46118.53503622685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6.0</v>
      </c>
      <c r="C66" s="7" t="s">
        <v>81</v>
      </c>
      <c r="D66" s="6">
        <v>210.0</v>
      </c>
      <c r="E66" s="8">
        <v>46118.53519353009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82</v>
      </c>
      <c r="D67" s="6">
        <v>20.0</v>
      </c>
      <c r="E67" s="8">
        <v>46118.56073690973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83</v>
      </c>
      <c r="D68" s="6">
        <v>100.0</v>
      </c>
      <c r="E68" s="8">
        <v>46118.5892736574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10.0</v>
      </c>
      <c r="C69" s="7" t="s">
        <v>84</v>
      </c>
      <c r="D69" s="6">
        <v>90.0</v>
      </c>
      <c r="E69" s="8">
        <v>46118.58997778935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85</v>
      </c>
      <c r="D70" s="6">
        <v>49.0</v>
      </c>
      <c r="E70" s="8">
        <v>46118.591534861116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5.0</v>
      </c>
      <c r="C71" s="7" t="s">
        <v>86</v>
      </c>
      <c r="D71" s="6">
        <v>525.0</v>
      </c>
      <c r="E71" s="8">
        <v>46118.59175636574</v>
      </c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87</v>
      </c>
      <c r="D72" s="6">
        <v>38.0</v>
      </c>
      <c r="E72" s="8">
        <v>46118.5919012963</v>
      </c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4.0</v>
      </c>
      <c r="C73" s="7" t="s">
        <v>88</v>
      </c>
      <c r="D73" s="6">
        <v>64.0</v>
      </c>
      <c r="E73" s="8">
        <v>46118.59198842593</v>
      </c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89</v>
      </c>
      <c r="D74" s="6">
        <v>75.0</v>
      </c>
      <c r="E74" s="8">
        <v>46118.59206019676</v>
      </c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 t="s">
        <v>90</v>
      </c>
      <c r="C75" s="7" t="s">
        <v>91</v>
      </c>
      <c r="D75" s="6">
        <v>25.0</v>
      </c>
      <c r="E75" s="8">
        <v>46118.59406640046</v>
      </c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92</v>
      </c>
      <c r="D76" s="6">
        <v>224.0</v>
      </c>
      <c r="E76" s="8">
        <v>46118.609722719906</v>
      </c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93</v>
      </c>
      <c r="D77" s="6">
        <v>74.0</v>
      </c>
      <c r="E77" s="8">
        <v>46118.6097724537</v>
      </c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94</v>
      </c>
      <c r="D78" s="6">
        <v>11.0</v>
      </c>
      <c r="E78" s="8">
        <v>46118.60984921297</v>
      </c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95</v>
      </c>
      <c r="D79" s="6">
        <v>25.0</v>
      </c>
      <c r="E79" s="8">
        <v>46118.60989474537</v>
      </c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2.0</v>
      </c>
      <c r="C80" s="7" t="s">
        <v>96</v>
      </c>
      <c r="D80" s="6">
        <v>24.0</v>
      </c>
      <c r="E80" s="8">
        <v>46118.610058935184</v>
      </c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97</v>
      </c>
      <c r="D81" s="6">
        <v>5.0</v>
      </c>
      <c r="E81" s="8">
        <v>46118.62712586806</v>
      </c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98</v>
      </c>
      <c r="D82" s="6">
        <v>5.0</v>
      </c>
      <c r="E82" s="8">
        <v>46118.62716466435</v>
      </c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99</v>
      </c>
      <c r="D83" s="6">
        <v>25.0</v>
      </c>
      <c r="E83" s="8">
        <v>46118.627226365745</v>
      </c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100</v>
      </c>
      <c r="D84" s="6">
        <v>12.0</v>
      </c>
      <c r="E84" s="8">
        <v>46118.64507650463</v>
      </c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12.0</v>
      </c>
      <c r="C85" s="7" t="s">
        <v>101</v>
      </c>
      <c r="D85" s="6">
        <v>324.0</v>
      </c>
      <c r="E85" s="8">
        <v>46118.64523368055</v>
      </c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2.0</v>
      </c>
      <c r="C86" s="7" t="s">
        <v>102</v>
      </c>
      <c r="D86" s="6">
        <v>16.0</v>
      </c>
      <c r="E86" s="8">
        <v>46118.655522534726</v>
      </c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103</v>
      </c>
      <c r="D87" s="6">
        <v>8.0</v>
      </c>
      <c r="E87" s="8">
        <v>46118.65559513889</v>
      </c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104</v>
      </c>
      <c r="D88" s="6">
        <v>45.0</v>
      </c>
      <c r="E88" s="8">
        <v>46118.657515405095</v>
      </c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105</v>
      </c>
      <c r="D89" s="6">
        <v>33.0</v>
      </c>
      <c r="E89" s="8">
        <v>46118.657582141204</v>
      </c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106</v>
      </c>
      <c r="D90" s="6">
        <v>50.0</v>
      </c>
      <c r="E90" s="8">
        <v>46118.65766465278</v>
      </c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107</v>
      </c>
      <c r="D91" s="6">
        <v>39.0</v>
      </c>
      <c r="E91" s="8">
        <v>46118.65773295139</v>
      </c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108</v>
      </c>
      <c r="D92" s="6">
        <v>80.0</v>
      </c>
      <c r="E92" s="8">
        <v>46118.65779990741</v>
      </c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109</v>
      </c>
      <c r="D93" s="6">
        <v>41.0</v>
      </c>
      <c r="E93" s="8">
        <v>46118.657916516204</v>
      </c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110</v>
      </c>
      <c r="D94" s="6">
        <v>40.0</v>
      </c>
      <c r="E94" s="8">
        <v>46118.65798578704</v>
      </c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111</v>
      </c>
      <c r="D95" s="6">
        <v>23.0</v>
      </c>
      <c r="E95" s="8">
        <v>46118.660927453704</v>
      </c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112</v>
      </c>
      <c r="D96" s="6">
        <v>36.0</v>
      </c>
      <c r="E96" s="8">
        <v>46118.67459445602</v>
      </c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2.0</v>
      </c>
      <c r="C97" s="7" t="s">
        <v>113</v>
      </c>
      <c r="D97" s="6">
        <v>172.0</v>
      </c>
      <c r="E97" s="8">
        <v>46118.69395011574</v>
      </c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114</v>
      </c>
      <c r="D98" s="6">
        <v>67.0</v>
      </c>
      <c r="E98" s="8">
        <v>46118.70816844907</v>
      </c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115</v>
      </c>
      <c r="D99" s="6">
        <v>11.0</v>
      </c>
      <c r="E99" s="8">
        <v>46118.70948899306</v>
      </c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>
        <v>12.0</v>
      </c>
      <c r="C100" s="7" t="s">
        <v>116</v>
      </c>
      <c r="D100" s="6">
        <v>60.0</v>
      </c>
      <c r="E100" s="8">
        <v>46118.709627627315</v>
      </c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6.0</v>
      </c>
      <c r="C101" s="7" t="s">
        <v>117</v>
      </c>
      <c r="D101" s="6">
        <v>120.0</v>
      </c>
      <c r="E101" s="8">
        <v>46118.70982425926</v>
      </c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118</v>
      </c>
      <c r="D102" s="6">
        <v>160.0</v>
      </c>
      <c r="E102" s="8">
        <v>46118.71007936343</v>
      </c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119</v>
      </c>
      <c r="D103" s="6">
        <v>26.0</v>
      </c>
      <c r="E103" s="8">
        <v>46118.71561890046</v>
      </c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120</v>
      </c>
      <c r="D104" s="6">
        <v>8.0</v>
      </c>
      <c r="E104" s="8">
        <v>46118.72862689815</v>
      </c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121</v>
      </c>
      <c r="D105" s="6">
        <v>39.0</v>
      </c>
      <c r="E105" s="8">
        <v>46118.72889417824</v>
      </c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122</v>
      </c>
      <c r="D106" s="6">
        <v>14.0</v>
      </c>
      <c r="E106" s="8">
        <v>46118.72900233796</v>
      </c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123</v>
      </c>
      <c r="D107" s="6">
        <v>20.0</v>
      </c>
      <c r="E107" s="8">
        <v>46118.729160312505</v>
      </c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1.0</v>
      </c>
      <c r="C108" s="7" t="s">
        <v>124</v>
      </c>
      <c r="D108" s="6">
        <v>35.0</v>
      </c>
      <c r="E108" s="8">
        <v>46118.73784498843</v>
      </c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1.0</v>
      </c>
      <c r="C109" s="7" t="s">
        <v>125</v>
      </c>
      <c r="D109" s="6">
        <v>35.0</v>
      </c>
      <c r="E109" s="8">
        <v>46118.73794274306</v>
      </c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1.0</v>
      </c>
      <c r="C110" s="7" t="s">
        <v>126</v>
      </c>
      <c r="D110" s="6">
        <v>75.0</v>
      </c>
      <c r="E110" s="8">
        <v>46118.73802704861</v>
      </c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6">
        <v>1.0</v>
      </c>
      <c r="C111" s="7" t="s">
        <v>127</v>
      </c>
      <c r="D111" s="6">
        <v>85.0</v>
      </c>
      <c r="E111" s="8">
        <v>46118.738198252315</v>
      </c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6">
        <v>1.0</v>
      </c>
      <c r="C112" s="7" t="s">
        <v>128</v>
      </c>
      <c r="D112" s="6">
        <v>5.0</v>
      </c>
      <c r="E112" s="8">
        <v>46118.73964267361</v>
      </c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6">
        <v>1.0</v>
      </c>
      <c r="C113" s="7" t="s">
        <v>129</v>
      </c>
      <c r="D113" s="6">
        <v>84.0</v>
      </c>
      <c r="E113" s="8">
        <v>46118.741575196764</v>
      </c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6">
        <v>1.0</v>
      </c>
      <c r="C114" s="7" t="s">
        <v>92</v>
      </c>
      <c r="D114" s="6">
        <v>105.0</v>
      </c>
      <c r="E114" s="8">
        <v>46118.74164091435</v>
      </c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6">
        <v>1.0</v>
      </c>
      <c r="C115" s="7" t="s">
        <v>130</v>
      </c>
      <c r="D115" s="6">
        <v>100.0</v>
      </c>
      <c r="E115" s="8">
        <v>46118.74173949074</v>
      </c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6">
        <v>1.0</v>
      </c>
      <c r="C116" s="7" t="s">
        <v>131</v>
      </c>
      <c r="D116" s="6">
        <v>130.0</v>
      </c>
      <c r="E116" s="8">
        <v>46118.74184210648</v>
      </c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6">
        <v>1.0</v>
      </c>
      <c r="C117" s="7" t="s">
        <v>132</v>
      </c>
      <c r="D117" s="6">
        <v>20.0</v>
      </c>
      <c r="E117" s="8">
        <v>46118.752637997684</v>
      </c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6" t="s">
        <v>133</v>
      </c>
      <c r="B118" s="6">
        <v>1.0</v>
      </c>
      <c r="C118" s="7" t="s">
        <v>134</v>
      </c>
      <c r="D118" s="6">
        <v>32.0</v>
      </c>
      <c r="E118" s="8">
        <v>46118.7826593287</v>
      </c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6">
        <v>1.0</v>
      </c>
      <c r="C119" s="7" t="s">
        <v>135</v>
      </c>
      <c r="D119" s="6">
        <v>8.0</v>
      </c>
      <c r="E119" s="8">
        <v>46118.78284915509</v>
      </c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