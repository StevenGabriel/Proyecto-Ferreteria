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<sst xmlns="http://schemas.openxmlformats.org/spreadsheetml/2006/main" count="131" uniqueCount="128">
  <si>
    <t>HOJA DE CALCULO FERRETERIA</t>
  </si>
  <si>
    <t>CODIGO</t>
  </si>
  <si>
    <t>CANTIDAD</t>
  </si>
  <si>
    <t>DESCRIPCION</t>
  </si>
  <si>
    <t>TOTAL</t>
  </si>
  <si>
    <t>HORA</t>
  </si>
  <si>
    <t>CUADRAR</t>
  </si>
  <si>
    <t>silicona akfi</t>
  </si>
  <si>
    <t>grifo  fv lavamanos</t>
  </si>
  <si>
    <t>MONEDAS</t>
  </si>
  <si>
    <t>CAJA CHICA</t>
  </si>
  <si>
    <t>mascara de soldar tolse</t>
  </si>
  <si>
    <t>BILLETES 10-20</t>
  </si>
  <si>
    <t>TOTAL VENTAS DIA</t>
  </si>
  <si>
    <t>guane cuero de soldar</t>
  </si>
  <si>
    <t>BILLETES 50-100-200</t>
  </si>
  <si>
    <t>AUMENTO DE DINERO</t>
  </si>
  <si>
    <t>broca encastre tolsen</t>
  </si>
  <si>
    <t>INGRESOS YAPE</t>
  </si>
  <si>
    <t>disco lija 4</t>
  </si>
  <si>
    <t>INGRESOS TARJETA</t>
  </si>
  <si>
    <t>chicotillo astra 40</t>
  </si>
  <si>
    <t>GASTOS VARIOS</t>
  </si>
  <si>
    <t>perno tanque inodoro inox</t>
  </si>
  <si>
    <t>resisencia lorenzeti espiral</t>
  </si>
  <si>
    <t>DINERO GANADO HOY:</t>
  </si>
  <si>
    <t>CANTIDAD DINERO CAJA:</t>
  </si>
  <si>
    <t>per maq red</t>
  </si>
  <si>
    <t>rodillo atlas 15</t>
  </si>
  <si>
    <t>rodillos atlas 9</t>
  </si>
  <si>
    <t>rodillo antigoteo tigre</t>
  </si>
  <si>
    <t>brocaj roja2</t>
  </si>
  <si>
    <t>brocha rojas de 11/2</t>
  </si>
  <si>
    <t>juegoo de llace alen</t>
  </si>
  <si>
    <t>YAPE MAMÁ</t>
  </si>
  <si>
    <t>YAPE PAPÁ</t>
  </si>
  <si>
    <t>juego de llaver tork</t>
  </si>
  <si>
    <t>broca fierro 5,5</t>
  </si>
  <si>
    <t>adaptdor ulytra</t>
  </si>
  <si>
    <t xml:space="preserve">per hex </t>
  </si>
  <si>
    <t>manguera gas</t>
  </si>
  <si>
    <t>abrazadea</t>
  </si>
  <si>
    <t>bisagras</t>
  </si>
  <si>
    <t>espatula</t>
  </si>
  <si>
    <t>pispot</t>
  </si>
  <si>
    <t xml:space="preserve">sintetica </t>
  </si>
  <si>
    <t>caja chinches</t>
  </si>
  <si>
    <t>15 mt</t>
  </si>
  <si>
    <t>hilo 1,5</t>
  </si>
  <si>
    <t>disco norton 14</t>
  </si>
  <si>
    <t>disco norton 7</t>
  </si>
  <si>
    <t>flexo 5m tr</t>
  </si>
  <si>
    <t>grifo itap imi</t>
  </si>
  <si>
    <t>flexo 5m tolsen</t>
  </si>
  <si>
    <t>llave combinada</t>
  </si>
  <si>
    <t>3m</t>
  </si>
  <si>
    <t>malla milimetrica 1m</t>
  </si>
  <si>
    <t>tizas</t>
  </si>
  <si>
    <t>llave 11 con chicharra</t>
  </si>
  <si>
    <t>llave 10 con chicharra</t>
  </si>
  <si>
    <t>debor 3.5 fierro</t>
  </si>
  <si>
    <t>asperson 2l</t>
  </si>
  <si>
    <t>aceite singer</t>
  </si>
  <si>
    <t>30m</t>
  </si>
  <si>
    <t>hilo apra podar 1.5mm</t>
  </si>
  <si>
    <t>libricante zlube</t>
  </si>
  <si>
    <t>resistencia ducha lorensety</t>
  </si>
  <si>
    <t>latex arena</t>
  </si>
  <si>
    <t>grifo itap 1/2</t>
  </si>
  <si>
    <t>teflon</t>
  </si>
  <si>
    <t>m cable enchaquetado</t>
  </si>
  <si>
    <t>10m</t>
  </si>
  <si>
    <t>perlon 4</t>
  </si>
  <si>
    <t>adaptador cpvc 1/2</t>
  </si>
  <si>
    <t>lima 8 tr</t>
  </si>
  <si>
    <t>grampas</t>
  </si>
  <si>
    <t>perno con tuerca</t>
  </si>
  <si>
    <t>silicona estructural egra</t>
  </si>
  <si>
    <t>cepillo acero</t>
  </si>
  <si>
    <t>alargador ultra 20</t>
  </si>
  <si>
    <t>6m</t>
  </si>
  <si>
    <t>alambre 16</t>
  </si>
  <si>
    <t>grifo fv</t>
  </si>
  <si>
    <t>rj45</t>
  </si>
  <si>
    <t>cina embalaje 250</t>
  </si>
  <si>
    <t>broca debor</t>
  </si>
  <si>
    <t>nivel de mano</t>
  </si>
  <si>
    <t>escuadra</t>
  </si>
  <si>
    <t>ducha 4t lorenzety</t>
  </si>
  <si>
    <t>termico 32 x 2</t>
  </si>
  <si>
    <t>guante lana y goma</t>
  </si>
  <si>
    <t>punta tolsen</t>
  </si>
  <si>
    <t>pistola calor tolse</t>
  </si>
  <si>
    <t>niveladores 1mm</t>
  </si>
  <si>
    <t>cuñas</t>
  </si>
  <si>
    <t>calibrador dijital</t>
  </si>
  <si>
    <t>flexo jadever 8m</t>
  </si>
  <si>
    <t>cinta tr 50m</t>
  </si>
  <si>
    <t>aerosol rojo</t>
  </si>
  <si>
    <t>6kl</t>
  </si>
  <si>
    <t>clavo 2 1/2</t>
  </si>
  <si>
    <t>3kl</t>
  </si>
  <si>
    <t>alambre gal 20</t>
  </si>
  <si>
    <t>martillo uyus</t>
  </si>
  <si>
    <t>alicate fuerza tolsen</t>
  </si>
  <si>
    <t>guate oscaria</t>
  </si>
  <si>
    <t>tapa ciega</t>
  </si>
  <si>
    <t>tapa doble maricio</t>
  </si>
  <si>
    <t>tornillos</t>
  </si>
  <si>
    <t>debor fierro 4</t>
  </si>
  <si>
    <t>reduc copla 3/4 a 1/2</t>
  </si>
  <si>
    <t>pistola de calor</t>
  </si>
  <si>
    <t>guantes jadever</t>
  </si>
  <si>
    <t>regal 60cm</t>
  </si>
  <si>
    <t>mascador rojo</t>
  </si>
  <si>
    <t>maleta tr</t>
  </si>
  <si>
    <t>juego llave allen</t>
  </si>
  <si>
    <t>parabo</t>
  </si>
  <si>
    <t>union patente 3/4</t>
  </si>
  <si>
    <t>soquet porcelana</t>
  </si>
  <si>
    <t>grifo itap 3/4</t>
  </si>
  <si>
    <t>jgo desrmad peque</t>
  </si>
  <si>
    <t>resistencia tramont</t>
  </si>
  <si>
    <t xml:space="preserve">siicon akfi u </t>
  </si>
  <si>
    <t>siliocn americans  trams</t>
  </si>
  <si>
    <t>lente truper</t>
  </si>
  <si>
    <t>armella</t>
  </si>
  <si>
    <t>ramplu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</si>
</sst>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34.0</v>
      </c>
      <c r="E8" s="8">
        <v>46075.36733414352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125.0</v>
      </c>
      <c r="E9" s="8">
        <v>46075.37170873843</v>
      </c>
      <c r="F9" s="2"/>
      <c r="G9" s="9" t="s">
        <v>9</v>
      </c>
      <c r="H9" s="10">
        <v>42.0</v>
      </c>
      <c r="I9" s="2"/>
      <c r="J9" s="9" t="s">
        <v>10</v>
      </c>
      <c r="K9" s="10">
        <v>502.0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290.0</v>
      </c>
      <c r="E10" s="8">
        <v>46075.374537372685</v>
      </c>
      <c r="F10" s="2"/>
      <c r="G10" s="9" t="s">
        <v>12</v>
      </c>
      <c r="H10" s="10">
        <v>50.0</v>
      </c>
      <c r="I10" s="2"/>
      <c r="J10" s="9" t="s">
        <v>13</v>
      </c>
      <c r="K10" s="11">
        <f>SUM(PRINCIPAL[TOTAL])</f>
        <v>6780.8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43.0</v>
      </c>
      <c r="E11" s="8">
        <v>46075.37465439815</v>
      </c>
      <c r="F11" s="2"/>
      <c r="G11" s="9" t="s">
        <v>15</v>
      </c>
      <c r="H11" s="10">
        <v>4650.0</v>
      </c>
      <c r="I11" s="2"/>
      <c r="J11" s="9" t="s">
        <v>16</v>
      </c>
      <c r="K11" s="10">
        <v>50.0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40.0</v>
      </c>
      <c r="E12" s="8">
        <v>46075.38033895833</v>
      </c>
      <c r="F12" s="2"/>
      <c r="G12" s="9" t="s">
        <v>18</v>
      </c>
      <c r="H12" s="12">
        <f>SUM(G24:H361)</f>
        <v>2559.5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22.0</v>
      </c>
      <c r="E13" s="8">
        <v>46075.38731543982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17.0</v>
      </c>
      <c r="E14" s="8">
        <v>46075.38739523148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20.0</v>
      </c>
      <c r="E15" s="8">
        <v>46075.38748351852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18.0</v>
      </c>
      <c r="E16" s="8">
        <v>46075.38758587963</v>
      </c>
      <c r="F16" s="2"/>
      <c r="G16" s="15" t="s">
        <v>25</v>
      </c>
      <c r="H16" s="16">
        <f>SUM(H9:H14)</f>
        <v>7301.5</v>
      </c>
      <c r="I16" s="3"/>
      <c r="J16" s="15" t="s">
        <v>26</v>
      </c>
      <c r="K16" s="16">
        <f>SUM(K9:K11)</f>
        <v>7332.8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36.0</v>
      </c>
      <c r="C17" s="7" t="s">
        <v>27</v>
      </c>
      <c r="D17" s="6">
        <v>10.0</v>
      </c>
      <c r="E17" s="8">
        <v>46075.42002841435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38.0</v>
      </c>
      <c r="E18" s="8">
        <v>46075.426343287036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31,30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26.0</v>
      </c>
      <c r="E19" s="8">
        <v>46075.4264755787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37.0</v>
      </c>
      <c r="E20" s="8">
        <v>46075.42665040509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6.0</v>
      </c>
      <c r="E21" s="8">
        <v>46075.42709199074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6.0</v>
      </c>
      <c r="E22" s="8">
        <v>46075.427195717595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42.0</v>
      </c>
      <c r="E23" s="8">
        <v>46075.44666818287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102.0</v>
      </c>
      <c r="E24" s="8">
        <v>46075.44674959491</v>
      </c>
      <c r="F24" s="2"/>
      <c r="G24" s="20">
        <v>125.0</v>
      </c>
      <c r="H24" s="20">
        <v>105.0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17.0</v>
      </c>
      <c r="E25" s="8">
        <v>46075.44687730324</v>
      </c>
      <c r="F25" s="2"/>
      <c r="G25" s="20">
        <v>333.0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8.0</v>
      </c>
      <c r="E26" s="8">
        <v>46075.446980625</v>
      </c>
      <c r="F26" s="2"/>
      <c r="G26" s="22">
        <v>40.0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4.0</v>
      </c>
      <c r="C27" s="7" t="s">
        <v>39</v>
      </c>
      <c r="D27" s="6">
        <v>4.8</v>
      </c>
      <c r="E27" s="8">
        <v>46075.45745046296</v>
      </c>
      <c r="F27" s="2"/>
      <c r="G27" s="20">
        <v>45.0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1.5</v>
      </c>
      <c r="C28" s="7" t="s">
        <v>40</v>
      </c>
      <c r="D28" s="6">
        <v>18.0</v>
      </c>
      <c r="E28" s="8">
        <v>46075.47456956019</v>
      </c>
      <c r="F28" s="2"/>
      <c r="G28" s="20">
        <v>190.0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5.0</v>
      </c>
      <c r="E29" s="8">
        <v>46075.47462238426</v>
      </c>
      <c r="F29" s="2"/>
      <c r="G29" s="20">
        <v>35.0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42</v>
      </c>
      <c r="D30" s="6">
        <v>6.0</v>
      </c>
      <c r="E30" s="8">
        <v>46075.474817256945</v>
      </c>
      <c r="F30" s="2"/>
      <c r="G30" s="20">
        <v>63.0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32</v>
      </c>
      <c r="D31" s="6">
        <v>6.0</v>
      </c>
      <c r="E31" s="8">
        <v>46075.475000810184</v>
      </c>
      <c r="F31" s="2"/>
      <c r="G31" s="20">
        <v>115.0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43</v>
      </c>
      <c r="D32" s="6">
        <v>15.0</v>
      </c>
      <c r="E32" s="8">
        <v>46075.47504798611</v>
      </c>
      <c r="F32" s="2"/>
      <c r="G32" s="20">
        <v>190.0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44</v>
      </c>
      <c r="D33" s="6">
        <v>11.0</v>
      </c>
      <c r="E33" s="8">
        <v>46075.475172164355</v>
      </c>
      <c r="F33" s="2"/>
      <c r="G33" s="20">
        <v>97.0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45</v>
      </c>
      <c r="D34" s="6">
        <v>19.0</v>
      </c>
      <c r="E34" s="8">
        <v>46075.475391423606</v>
      </c>
      <c r="F34" s="2"/>
      <c r="G34" s="20">
        <v>230.0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46</v>
      </c>
      <c r="D35" s="6">
        <v>14.0</v>
      </c>
      <c r="E35" s="8">
        <v>46075.47545619213</v>
      </c>
      <c r="F35" s="2"/>
      <c r="G35" s="20">
        <v>265.0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 t="s">
        <v>47</v>
      </c>
      <c r="C36" s="7" t="s">
        <v>48</v>
      </c>
      <c r="D36" s="6">
        <v>15.0</v>
      </c>
      <c r="E36" s="8">
        <v>46075.49179626157</v>
      </c>
      <c r="F36" s="2"/>
      <c r="G36" s="20">
        <v>487.5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49</v>
      </c>
      <c r="D37" s="6">
        <v>360.0</v>
      </c>
      <c r="E37" s="8">
        <v>46076.363635208334</v>
      </c>
      <c r="F37" s="2"/>
      <c r="G37" s="20">
        <v>93.0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50</v>
      </c>
      <c r="D38" s="6">
        <v>130.0</v>
      </c>
      <c r="E38" s="8">
        <v>46076.36380114583</v>
      </c>
      <c r="F38" s="2"/>
      <c r="G38" s="20">
        <v>11.0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51</v>
      </c>
      <c r="D39" s="6">
        <v>102.0</v>
      </c>
      <c r="E39" s="8">
        <v>46076.36403390046</v>
      </c>
      <c r="F39" s="2"/>
      <c r="G39" s="20">
        <v>120.0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65.0</v>
      </c>
      <c r="E40" s="8">
        <v>46076.36420964121</v>
      </c>
      <c r="F40" s="2"/>
      <c r="G40" s="20">
        <v>15.0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50.0</v>
      </c>
      <c r="E41" s="8">
        <v>46076.36449142361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28.0</v>
      </c>
      <c r="E42" s="8">
        <v>46076.364724467596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17</v>
      </c>
      <c r="D43" s="6">
        <v>30.0</v>
      </c>
      <c r="E43" s="8">
        <v>46076.36510649306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 t="s">
        <v>55</v>
      </c>
      <c r="C44" s="7" t="s">
        <v>56</v>
      </c>
      <c r="D44" s="6">
        <v>60.0</v>
      </c>
      <c r="E44" s="8">
        <v>46076.36527613426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5.0</v>
      </c>
      <c r="C45" s="7" t="s">
        <v>57</v>
      </c>
      <c r="D45" s="6">
        <v>20.0</v>
      </c>
      <c r="E45" s="8">
        <v>46076.36552288194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50.0</v>
      </c>
      <c r="E46" s="8">
        <v>46076.37101671296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42.0</v>
      </c>
      <c r="E47" s="8">
        <v>46076.37117658565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10.0</v>
      </c>
      <c r="E48" s="8">
        <v>46076.37501739583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48.0</v>
      </c>
      <c r="E49" s="8">
        <v>46076.3804780787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15.0</v>
      </c>
      <c r="E50" s="8">
        <v>46076.40971731482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63</v>
      </c>
      <c r="C51" s="7" t="s">
        <v>64</v>
      </c>
      <c r="D51" s="6">
        <v>45.0</v>
      </c>
      <c r="E51" s="8">
        <v>46076.40992868056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65</v>
      </c>
      <c r="D52" s="6">
        <v>190.0</v>
      </c>
      <c r="E52" s="8">
        <v>46076.42203109954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66</v>
      </c>
      <c r="D53" s="6">
        <v>18.0</v>
      </c>
      <c r="E53" s="8">
        <v>46076.42860782407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67</v>
      </c>
      <c r="D54" s="6">
        <v>136.0</v>
      </c>
      <c r="E54" s="8">
        <v>46076.439335902774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68</v>
      </c>
      <c r="D55" s="6">
        <v>83.0</v>
      </c>
      <c r="E55" s="8">
        <v>46076.43992837963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69</v>
      </c>
      <c r="D56" s="6">
        <v>3.0</v>
      </c>
      <c r="E56" s="8">
        <v>46076.43988958333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70</v>
      </c>
      <c r="D57" s="6">
        <v>30.0</v>
      </c>
      <c r="E57" s="8">
        <v>46076.44254736111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 t="s">
        <v>71</v>
      </c>
      <c r="C58" s="7" t="s">
        <v>72</v>
      </c>
      <c r="D58" s="6">
        <v>20.0</v>
      </c>
      <c r="E58" s="8">
        <v>46076.443132789354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3.0</v>
      </c>
      <c r="E59" s="8">
        <v>46076.45399648148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35.0</v>
      </c>
      <c r="E60" s="8">
        <v>46076.45504915509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75</v>
      </c>
      <c r="D61" s="6">
        <v>14.0</v>
      </c>
      <c r="E61" s="8">
        <v>46076.45587376157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4.0</v>
      </c>
      <c r="C62" s="7" t="s">
        <v>76</v>
      </c>
      <c r="D62" s="6">
        <v>4.0</v>
      </c>
      <c r="E62" s="8">
        <v>46076.47541792824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77</v>
      </c>
      <c r="D63" s="6">
        <v>63.0</v>
      </c>
      <c r="E63" s="8">
        <v>46076.47956519676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78</v>
      </c>
      <c r="D64" s="6">
        <v>25.0</v>
      </c>
      <c r="E64" s="8">
        <v>46076.50352171296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79</v>
      </c>
      <c r="D65" s="6">
        <v>115.0</v>
      </c>
      <c r="E65" s="8">
        <v>46076.51508773148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80</v>
      </c>
      <c r="C66" s="7" t="s">
        <v>81</v>
      </c>
      <c r="D66" s="6">
        <v>27.0</v>
      </c>
      <c r="E66" s="8">
        <v>46076.515361342594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256.0</v>
      </c>
      <c r="E67" s="8">
        <v>46076.54346770833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5.0</v>
      </c>
      <c r="C68" s="7" t="s">
        <v>83</v>
      </c>
      <c r="D68" s="6">
        <v>15.0</v>
      </c>
      <c r="E68" s="8">
        <v>46076.549543009256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105.0</v>
      </c>
      <c r="E69" s="8">
        <v>46076.54966063658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85</v>
      </c>
      <c r="D70" s="6">
        <v>38.0</v>
      </c>
      <c r="E70" s="8">
        <v>46076.54992460649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33.0</v>
      </c>
      <c r="E71" s="8">
        <v>46076.55006538195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26.0</v>
      </c>
      <c r="E72" s="8">
        <v>46076.55009212963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88</v>
      </c>
      <c r="D73" s="6">
        <v>175.0</v>
      </c>
      <c r="E73" s="8">
        <v>46076.55194337963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55.0</v>
      </c>
      <c r="E74" s="8">
        <v>46076.552026226855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90</v>
      </c>
      <c r="D75" s="6">
        <v>26.0</v>
      </c>
      <c r="E75" s="8">
        <v>46076.5923515625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91</v>
      </c>
      <c r="D76" s="6">
        <v>33.0</v>
      </c>
      <c r="E76" s="8">
        <v>46076.60196274305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92</v>
      </c>
      <c r="D77" s="6">
        <v>265.0</v>
      </c>
      <c r="E77" s="8">
        <v>46076.6032834375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93</v>
      </c>
      <c r="D78" s="6">
        <v>74.0</v>
      </c>
      <c r="E78" s="8">
        <v>46076.64761263889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94</v>
      </c>
      <c r="D79" s="6">
        <v>88.0</v>
      </c>
      <c r="E79" s="8">
        <v>46076.64785987268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95</v>
      </c>
      <c r="D80" s="6">
        <v>370.0</v>
      </c>
      <c r="E80" s="8">
        <v>46076.67923739583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5.0</v>
      </c>
      <c r="C81" s="7" t="s">
        <v>96</v>
      </c>
      <c r="D81" s="6">
        <v>165.0</v>
      </c>
      <c r="E81" s="8">
        <v>46076.67937696759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97</v>
      </c>
      <c r="D82" s="6">
        <v>194.0</v>
      </c>
      <c r="E82" s="8">
        <v>46076.6798012037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98</v>
      </c>
      <c r="D83" s="6">
        <v>40.0</v>
      </c>
      <c r="E83" s="8">
        <v>46076.67994591435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 t="s">
        <v>99</v>
      </c>
      <c r="C84" s="7" t="s">
        <v>100</v>
      </c>
      <c r="D84" s="6">
        <v>120.0</v>
      </c>
      <c r="E84" s="8">
        <v>46076.68011565972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 t="s">
        <v>101</v>
      </c>
      <c r="C85" s="7" t="s">
        <v>102</v>
      </c>
      <c r="D85" s="6">
        <v>90.0</v>
      </c>
      <c r="E85" s="8">
        <v>46076.68025300926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3.0</v>
      </c>
      <c r="C86" s="7" t="s">
        <v>103</v>
      </c>
      <c r="D86" s="6">
        <v>165.0</v>
      </c>
      <c r="E86" s="8">
        <v>46076.68037883102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2.0</v>
      </c>
      <c r="C87" s="7" t="s">
        <v>104</v>
      </c>
      <c r="D87" s="6">
        <v>146.0</v>
      </c>
      <c r="E87" s="8">
        <v>46076.680504930555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4.0</v>
      </c>
      <c r="C88" s="7" t="s">
        <v>105</v>
      </c>
      <c r="D88" s="6">
        <v>72.0</v>
      </c>
      <c r="E88" s="8">
        <v>46076.6806458912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5.0</v>
      </c>
      <c r="C89" s="7" t="s">
        <v>106</v>
      </c>
      <c r="D89" s="6">
        <v>12.5</v>
      </c>
      <c r="E89" s="8">
        <v>46076.681007974534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6" t="s">
        <v>107</v>
      </c>
      <c r="D90" s="6">
        <v>13.0</v>
      </c>
      <c r="E90" s="23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12.0</v>
      </c>
      <c r="C91" s="7" t="s">
        <v>108</v>
      </c>
      <c r="D91" s="6">
        <v>3.0</v>
      </c>
      <c r="E91" s="8">
        <v>46076.681982615744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109</v>
      </c>
      <c r="D92" s="6">
        <v>13.0</v>
      </c>
      <c r="E92" s="8">
        <v>46076.68228695602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82</v>
      </c>
      <c r="D93" s="6">
        <v>120.0</v>
      </c>
      <c r="E93" s="8">
        <v>46076.68245702546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2.0</v>
      </c>
      <c r="C94" s="7" t="s">
        <v>110</v>
      </c>
      <c r="D94" s="6">
        <v>10.0</v>
      </c>
      <c r="E94" s="8">
        <v>46076.68392616898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111</v>
      </c>
      <c r="D95" s="6">
        <v>240.0</v>
      </c>
      <c r="E95" s="8">
        <v>46076.68510295139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6.0</v>
      </c>
      <c r="C96" s="7" t="s">
        <v>112</v>
      </c>
      <c r="D96" s="6">
        <v>48.0</v>
      </c>
      <c r="E96" s="8">
        <v>46076.685179259264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113</v>
      </c>
      <c r="D97" s="6">
        <v>25.0</v>
      </c>
      <c r="E97" s="8">
        <v>46076.69013989583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114</v>
      </c>
      <c r="D98" s="6">
        <v>4.5</v>
      </c>
      <c r="E98" s="8">
        <v>46076.690218483796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115</v>
      </c>
      <c r="D99" s="6">
        <v>377.0</v>
      </c>
      <c r="E99" s="8">
        <v>46076.69026996528</v>
      </c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116</v>
      </c>
      <c r="D100" s="6">
        <v>81.0</v>
      </c>
      <c r="E100" s="8">
        <v>46076.69040196759</v>
      </c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117</v>
      </c>
      <c r="D101" s="6">
        <v>75.0</v>
      </c>
      <c r="E101" s="8">
        <v>46076.70332033565</v>
      </c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118</v>
      </c>
      <c r="D102" s="6">
        <v>29.0</v>
      </c>
      <c r="E102" s="8">
        <v>46076.717822754625</v>
      </c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119</v>
      </c>
      <c r="D103" s="6">
        <v>10.0</v>
      </c>
      <c r="E103" s="8">
        <v>46076.7222227662</v>
      </c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120</v>
      </c>
      <c r="D104" s="6">
        <v>120.0</v>
      </c>
      <c r="E104" s="8">
        <v>46076.72230898148</v>
      </c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121</v>
      </c>
      <c r="D105" s="6">
        <v>30.0</v>
      </c>
      <c r="E105" s="8">
        <v>46076.73060429398</v>
      </c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2.0</v>
      </c>
      <c r="C106" s="7" t="s">
        <v>122</v>
      </c>
      <c r="D106" s="6">
        <v>70.0</v>
      </c>
      <c r="E106" s="8">
        <v>46076.746486539356</v>
      </c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123</v>
      </c>
      <c r="D107" s="6">
        <v>63.0</v>
      </c>
      <c r="E107" s="8">
        <v>46076.749378900466</v>
      </c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124</v>
      </c>
      <c r="D108" s="6">
        <v>28.0</v>
      </c>
      <c r="E108" s="8">
        <v>46076.75173827546</v>
      </c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125</v>
      </c>
      <c r="D109" s="6">
        <v>15.0</v>
      </c>
      <c r="E109" s="8">
        <v>46076.75630159723</v>
      </c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12.0</v>
      </c>
      <c r="C110" s="7" t="s">
        <v>126</v>
      </c>
      <c r="D110" s="6">
        <v>5.0</v>
      </c>
      <c r="E110" s="8">
        <v>46076.77586605324</v>
      </c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12.0</v>
      </c>
      <c r="C111" s="7" t="s">
        <v>127</v>
      </c>
      <c r="D111" s="6">
        <v>2.0</v>
      </c>
      <c r="E111" s="8">
        <v>46076.7759943287</v>
      </c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3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3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3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3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3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3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3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3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3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3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3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3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3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3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3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3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3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3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3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3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3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3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3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3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3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3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3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3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3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3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3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3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3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3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3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3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3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3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3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3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3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3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3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3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3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3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3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3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3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3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3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3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3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3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3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3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3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3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3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3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3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3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3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3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3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3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3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3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3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3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3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3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3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3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3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3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3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3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3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3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3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3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3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3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3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3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3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3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3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3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3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3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3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3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3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3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3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3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3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3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3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3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3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3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3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3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3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3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3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3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3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3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3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3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3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3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3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3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3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3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3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3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3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3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3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3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3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3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3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3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3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3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3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3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3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3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3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3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3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3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3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3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3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3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3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3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3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3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3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3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3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3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3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3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3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3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3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3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3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3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3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3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3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3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3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3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3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3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3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3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3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3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3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3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3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3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3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3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3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3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3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3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3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3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3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3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3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3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3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3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