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<sst xmlns="http://schemas.openxmlformats.org/spreadsheetml/2006/main" count="92" uniqueCount="88">
  <si>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</si>
  <si>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</si>
  <si>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</si>
  <si>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</si>
  <si>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</si>
  <si>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</si>
  <si>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</si>
  <si>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alargdor corriente 30 m </t>
  </si>
  <si>
    <t>cintacromado</t>
  </si>
  <si>
    <t>MONEDAS</t>
  </si>
  <si>
    <t>CAJA CHICA</t>
  </si>
  <si>
    <t>alargador corrilente 3</t>
  </si>
  <si>
    <t>BILLETES 10-20</t>
  </si>
  <si>
    <t>TOTAL VENTAS DIA</t>
  </si>
  <si>
    <t>bolsita de clavos</t>
  </si>
  <si>
    <t>BILLETES 50-100-200</t>
  </si>
  <si>
    <t>AUMENTO DE DINERO</t>
  </si>
  <si>
    <t>broca encatre 12</t>
  </si>
  <si>
    <t>INGRESOS YAPE</t>
  </si>
  <si>
    <t>tee 1 pvc</t>
  </si>
  <si>
    <t>INGRESOS TARJETA</t>
  </si>
  <si>
    <t>1m</t>
  </si>
  <si>
    <t xml:space="preserve">cañeri 1/2 pvc </t>
  </si>
  <si>
    <t>GASTOS VARIOS</t>
  </si>
  <si>
    <t>sal amoiaco</t>
  </si>
  <si>
    <t>codo 1 rigre</t>
  </si>
  <si>
    <t>DINERO GANADO HOY:</t>
  </si>
  <si>
    <t>CANTIDAD DINERO CAJA:</t>
  </si>
  <si>
    <t>teflon</t>
  </si>
  <si>
    <t>m alambre 16</t>
  </si>
  <si>
    <t>espuma expanciva</t>
  </si>
  <si>
    <t>hilo estaño</t>
  </si>
  <si>
    <t>cina aislante</t>
  </si>
  <si>
    <t>disco co 3</t>
  </si>
  <si>
    <t>medidor laser temperatura</t>
  </si>
  <si>
    <t>YAPE MAMÁ</t>
  </si>
  <si>
    <t>YAPE PAPÁ</t>
  </si>
  <si>
    <t>YAPE</t>
  </si>
  <si>
    <t>llanta burrrito</t>
  </si>
  <si>
    <t>Monto Total YAPE (No tocar):</t>
  </si>
  <si>
    <t xml:space="preserve">disco  </t>
  </si>
  <si>
    <t>estño</t>
  </si>
  <si>
    <t>Monto Total Registrado en aplicacion</t>
  </si>
  <si>
    <t>martillode goma y plastico jadever</t>
  </si>
  <si>
    <t>martillo de goma jadever</t>
  </si>
  <si>
    <t>tubo conduit 3/4</t>
  </si>
  <si>
    <t>silicon transp</t>
  </si>
  <si>
    <t>juego dado</t>
  </si>
  <si>
    <t>alicate de punta</t>
  </si>
  <si>
    <t>lirna rayobak</t>
  </si>
  <si>
    <t>pilas aa</t>
  </si>
  <si>
    <t>PAGOS YAPE</t>
  </si>
  <si>
    <t>DESCRIPCION PAGO</t>
  </si>
  <si>
    <t>silicona trnasparente</t>
  </si>
  <si>
    <t>focos phili</t>
  </si>
  <si>
    <t>broca ceramica 1/4</t>
  </si>
  <si>
    <t>removedor de pintura</t>
  </si>
  <si>
    <t>alargador 5m</t>
  </si>
  <si>
    <t>lija 120</t>
  </si>
  <si>
    <t>yeso</t>
  </si>
  <si>
    <t>escamosita 1/2kl</t>
  </si>
  <si>
    <t>scamocita 1kl</t>
  </si>
  <si>
    <t>grif 1/2</t>
  </si>
  <si>
    <t>ramplu 8</t>
  </si>
  <si>
    <t>adaptador blanco</t>
  </si>
  <si>
    <t>pigmento</t>
  </si>
  <si>
    <t>placa doble marico cafe</t>
  </si>
  <si>
    <t>pie de amigo 1</t>
  </si>
  <si>
    <t>parabon</t>
  </si>
  <si>
    <t>codo desague 2</t>
  </si>
  <si>
    <t>pistola silicona</t>
  </si>
  <si>
    <t>latex marfil</t>
  </si>
  <si>
    <t>masquin 2</t>
  </si>
  <si>
    <t>grampa de 5/26 tr</t>
  </si>
  <si>
    <t>paño de micrifibra</t>
  </si>
  <si>
    <t>adaptadro 3/8</t>
  </si>
  <si>
    <t>sopOPP COFLEX 4</t>
  </si>
  <si>
    <t>AUTOmatica bomba</t>
  </si>
  <si>
    <t>estilete tr</t>
  </si>
  <si>
    <t>silcioan american</t>
  </si>
  <si>
    <t>masquin 11/2</t>
  </si>
  <si>
    <t>disco</t>
  </si>
  <si>
    <t>CANACDEO HERMMEX</t>
  </si>
  <si>
    <t>JUEDGO DE DESARMADO</t>
  </si>
  <si>
    <t>pigmento azul</t>
  </si>
  <si>
    <t>kl carburo</t>
  </si>
  <si>
    <t>codo 2</t>
  </si>
  <si>
    <t>foco led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</si>
</sst>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theme="8"/>
        <bgColor theme="8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5F06"/>
        <bgColor rgb="FFB45F06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6" fontId="5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7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8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9" fontId="11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9" fontId="12" numFmtId="0" xfId="0" applyAlignment="1" applyFill="1" applyFont="1">
      <alignment readingOrder="0" shrinkToFit="0" vertical="center" wrapText="1"/>
    </xf>
    <xf borderId="0" fillId="9" fontId="2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9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200.0</v>
      </c>
      <c r="E8" s="8">
        <v>46297.36748164352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2.0</v>
      </c>
      <c r="C9" s="7" t="s">
        <v>8</v>
      </c>
      <c r="D9" s="6">
        <v>40.0</v>
      </c>
      <c r="E9" s="8">
        <v>46297.36767328704</v>
      </c>
      <c r="F9" s="2"/>
      <c r="G9" s="9" t="s">
        <v>9</v>
      </c>
      <c r="H9" s="10">
        <v>123.5</v>
      </c>
      <c r="I9" s="2"/>
      <c r="J9" s="9" t="s">
        <v>10</v>
      </c>
      <c r="K9" s="10">
        <v>856.5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40.0</v>
      </c>
      <c r="E10" s="8">
        <v>46297.370975949074</v>
      </c>
      <c r="F10" s="2"/>
      <c r="G10" s="9" t="s">
        <v>12</v>
      </c>
      <c r="H10" s="10">
        <v>590.0</v>
      </c>
      <c r="I10" s="2"/>
      <c r="J10" s="9" t="s">
        <v>13</v>
      </c>
      <c r="K10" s="11">
        <f>SUM(PRINCIPAL[TOTAL])</f>
        <v>3645.4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12">
        <v>3.0</v>
      </c>
      <c r="E11" s="8">
        <v>46297.377529351856</v>
      </c>
      <c r="F11" s="2"/>
      <c r="G11" s="9" t="s">
        <v>15</v>
      </c>
      <c r="H11" s="10">
        <v>2300.0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29.0</v>
      </c>
      <c r="E12" s="8">
        <v>46297.38654953704</v>
      </c>
      <c r="F12" s="2"/>
      <c r="G12" s="9" t="s">
        <v>18</v>
      </c>
      <c r="H12" s="13">
        <f>SUM(G24:H361)</f>
        <v>1584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8.0</v>
      </c>
      <c r="E13" s="8">
        <v>46297.388607835645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 t="s">
        <v>21</v>
      </c>
      <c r="C14" s="7" t="s">
        <v>22</v>
      </c>
      <c r="D14" s="6">
        <v>9.0</v>
      </c>
      <c r="E14" s="8">
        <v>46297.38883668982</v>
      </c>
      <c r="F14" s="2"/>
      <c r="G14" s="9" t="s">
        <v>23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24</v>
      </c>
      <c r="D15" s="6">
        <v>45.0</v>
      </c>
      <c r="E15" s="8">
        <v>46297.39083017361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25</v>
      </c>
      <c r="D16" s="6">
        <v>20.0</v>
      </c>
      <c r="E16" s="8">
        <v>46297.40061456019</v>
      </c>
      <c r="F16" s="2"/>
      <c r="G16" s="16" t="s">
        <v>26</v>
      </c>
      <c r="H16" s="17">
        <f>SUM(H9:H14)</f>
        <v>4597.5</v>
      </c>
      <c r="I16" s="3"/>
      <c r="J16" s="16" t="s">
        <v>27</v>
      </c>
      <c r="K16" s="17">
        <f>SUM(K9:K11)</f>
        <v>4501.9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28</v>
      </c>
      <c r="D17" s="6">
        <v>3.0</v>
      </c>
      <c r="E17" s="8">
        <v>46297.40068497685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2.0</v>
      </c>
      <c r="C18" s="7" t="s">
        <v>29</v>
      </c>
      <c r="D18" s="6">
        <v>10.0</v>
      </c>
      <c r="E18" s="8">
        <v>46297.40790831018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95,60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30</v>
      </c>
      <c r="D19" s="6">
        <v>62.0</v>
      </c>
      <c r="E19" s="8">
        <v>46297.40893556713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31</v>
      </c>
      <c r="D20" s="6">
        <v>28.0</v>
      </c>
      <c r="E20" s="8">
        <v>46297.40901837963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16.0</v>
      </c>
      <c r="C21" s="7" t="s">
        <v>32</v>
      </c>
      <c r="D21" s="6">
        <v>218.0</v>
      </c>
      <c r="E21" s="8">
        <v>46297.4182412963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33</v>
      </c>
      <c r="D22" s="6">
        <v>23.0</v>
      </c>
      <c r="E22" s="8">
        <v>46297.430296805556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34</v>
      </c>
      <c r="D23" s="6">
        <v>112.0</v>
      </c>
      <c r="E23" s="8">
        <v>46297.43051471065</v>
      </c>
      <c r="F23" s="2"/>
      <c r="G23" s="20" t="s">
        <v>35</v>
      </c>
      <c r="H23" s="20" t="s">
        <v>36</v>
      </c>
      <c r="I23" s="2"/>
      <c r="J23" s="21" t="s">
        <v>37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38</v>
      </c>
      <c r="D24" s="6">
        <v>115.0</v>
      </c>
      <c r="E24" s="8">
        <v>46297.43152195602</v>
      </c>
      <c r="F24" s="2"/>
      <c r="G24" s="23">
        <v>240.0</v>
      </c>
      <c r="H24" s="24"/>
      <c r="I24" s="2"/>
      <c r="J24" s="25" t="s">
        <v>39</v>
      </c>
      <c r="K24" s="26">
        <f>SUM(INGRESOS_YAPE[])</f>
        <v>1584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40</v>
      </c>
      <c r="D25" s="6">
        <v>199.0</v>
      </c>
      <c r="E25" s="8">
        <v>46297.43582747685</v>
      </c>
      <c r="F25" s="2"/>
      <c r="G25" s="23">
        <v>62.0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 t="s">
        <v>21</v>
      </c>
      <c r="C26" s="7" t="s">
        <v>41</v>
      </c>
      <c r="D26" s="6">
        <v>10.5</v>
      </c>
      <c r="E26" s="8">
        <v>46297.44013869213</v>
      </c>
      <c r="F26" s="2"/>
      <c r="G26" s="27">
        <v>115.0</v>
      </c>
      <c r="H26" s="24"/>
      <c r="I26" s="2"/>
      <c r="J26" s="28" t="s">
        <v>42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43</v>
      </c>
      <c r="D27" s="6">
        <v>46.0</v>
      </c>
      <c r="E27" s="8">
        <v>46297.447535694446</v>
      </c>
      <c r="F27" s="2"/>
      <c r="G27" s="23">
        <v>4.0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44</v>
      </c>
      <c r="D28" s="6">
        <v>23.0</v>
      </c>
      <c r="E28" s="8">
        <v>46297.44763792824</v>
      </c>
      <c r="F28" s="2"/>
      <c r="G28" s="23">
        <v>199.0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2.0</v>
      </c>
      <c r="C29" s="7" t="s">
        <v>45</v>
      </c>
      <c r="D29" s="6">
        <v>19.0</v>
      </c>
      <c r="E29" s="8">
        <v>46297.44926025463</v>
      </c>
      <c r="F29" s="2"/>
      <c r="G29" s="23">
        <v>10.5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1584,00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46</v>
      </c>
      <c r="D30" s="6">
        <v>26.0</v>
      </c>
      <c r="E30" s="8">
        <v>46297.464996712966</v>
      </c>
      <c r="F30" s="2"/>
      <c r="G30" s="23">
        <v>69.0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47</v>
      </c>
      <c r="D31" s="6">
        <v>95.0</v>
      </c>
      <c r="E31" s="8">
        <v>46297.47713561343</v>
      </c>
      <c r="F31" s="2"/>
      <c r="G31" s="23">
        <v>26.0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48</v>
      </c>
      <c r="D32" s="6">
        <v>32.0</v>
      </c>
      <c r="E32" s="8">
        <v>46297.47722335648</v>
      </c>
      <c r="F32" s="2"/>
      <c r="G32" s="23">
        <v>153.0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49</v>
      </c>
      <c r="D33" s="6">
        <v>39.0</v>
      </c>
      <c r="E33" s="8">
        <v>46297.477417372684</v>
      </c>
      <c r="F33" s="2"/>
      <c r="G33" s="23">
        <v>45.0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50</v>
      </c>
      <c r="D34" s="6">
        <v>20.0</v>
      </c>
      <c r="E34" s="8">
        <v>46297.47749168982</v>
      </c>
      <c r="F34" s="2"/>
      <c r="G34" s="23">
        <v>178.5</v>
      </c>
      <c r="H34" s="24"/>
      <c r="I34" s="2"/>
      <c r="J34" s="31" t="s">
        <v>51</v>
      </c>
      <c r="K34" s="31" t="s">
        <v>52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53</v>
      </c>
      <c r="D35" s="6">
        <v>26.0</v>
      </c>
      <c r="E35" s="8">
        <v>46297.47758791667</v>
      </c>
      <c r="F35" s="2"/>
      <c r="G35" s="23">
        <v>8.0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4.0</v>
      </c>
      <c r="C36" s="7" t="s">
        <v>54</v>
      </c>
      <c r="D36" s="33">
        <v>20.0</v>
      </c>
      <c r="E36" s="8">
        <v>46297.48105982639</v>
      </c>
      <c r="F36" s="2"/>
      <c r="G36" s="23">
        <v>136.0</v>
      </c>
      <c r="H36" s="24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55</v>
      </c>
      <c r="D37" s="6">
        <v>45.0</v>
      </c>
      <c r="E37" s="8">
        <v>46297.483288020834</v>
      </c>
      <c r="F37" s="2"/>
      <c r="G37" s="23">
        <v>12.0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56</v>
      </c>
      <c r="D38" s="6">
        <v>55.0</v>
      </c>
      <c r="E38" s="8">
        <v>46297.49742516204</v>
      </c>
      <c r="F38" s="2"/>
      <c r="G38" s="23">
        <v>60.0</v>
      </c>
      <c r="H38" s="24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57</v>
      </c>
      <c r="D39" s="6">
        <v>52.0</v>
      </c>
      <c r="E39" s="8">
        <v>46297.49747084491</v>
      </c>
      <c r="F39" s="2"/>
      <c r="G39" s="23">
        <v>29.0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58</v>
      </c>
      <c r="D40" s="6">
        <v>10.0</v>
      </c>
      <c r="E40" s="8">
        <v>46297.50418299768</v>
      </c>
      <c r="F40" s="2"/>
      <c r="G40" s="23">
        <v>137.0</v>
      </c>
      <c r="H40" s="24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59</v>
      </c>
      <c r="D41" s="6">
        <v>16.0</v>
      </c>
      <c r="E41" s="8">
        <v>46297.50424087963</v>
      </c>
      <c r="F41" s="2"/>
      <c r="G41" s="23">
        <v>100.0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60</v>
      </c>
      <c r="D42" s="6">
        <v>25.0</v>
      </c>
      <c r="E42" s="8">
        <v>46297.50430296296</v>
      </c>
      <c r="F42" s="2"/>
      <c r="G42" s="24"/>
      <c r="H42" s="24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61</v>
      </c>
      <c r="D43" s="6">
        <v>42.0</v>
      </c>
      <c r="E43" s="8">
        <v>46297.5043596412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3.0</v>
      </c>
      <c r="C44" s="7" t="s">
        <v>62</v>
      </c>
      <c r="D44" s="6">
        <v>174.0</v>
      </c>
      <c r="E44" s="8">
        <v>46297.50442658565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6.0</v>
      </c>
      <c r="C45" s="7" t="s">
        <v>63</v>
      </c>
      <c r="D45" s="6">
        <v>1.5</v>
      </c>
      <c r="E45" s="8">
        <v>46297.512843668985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28</v>
      </c>
      <c r="D46" s="6">
        <v>3.0</v>
      </c>
      <c r="E46" s="8">
        <v>46297.50534743056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64</v>
      </c>
      <c r="D47" s="6">
        <v>8.0</v>
      </c>
      <c r="E47" s="8">
        <v>46297.51473685185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65</v>
      </c>
      <c r="D48" s="6">
        <v>10.0</v>
      </c>
      <c r="E48" s="8">
        <v>46297.54104512732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66</v>
      </c>
      <c r="D49" s="6">
        <v>35.5</v>
      </c>
      <c r="E49" s="8">
        <v>46297.55964010417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4.0</v>
      </c>
      <c r="C50" s="7" t="s">
        <v>67</v>
      </c>
      <c r="D50" s="6">
        <v>4.4</v>
      </c>
      <c r="E50" s="8">
        <v>46297.56776644676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68</v>
      </c>
      <c r="D51" s="6">
        <v>72.0</v>
      </c>
      <c r="E51" s="8">
        <v>46297.58838884259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69</v>
      </c>
      <c r="D52" s="6">
        <v>10.0</v>
      </c>
      <c r="E52" s="8">
        <v>46297.584863564814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70</v>
      </c>
      <c r="D53" s="6">
        <v>43.0</v>
      </c>
      <c r="E53" s="8">
        <v>46297.58843603009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71</v>
      </c>
      <c r="D54" s="6">
        <v>136.0</v>
      </c>
      <c r="E54" s="8">
        <v>46297.61968916666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2.0</v>
      </c>
      <c r="C55" s="7" t="s">
        <v>72</v>
      </c>
      <c r="D55" s="6">
        <v>44.0</v>
      </c>
      <c r="E55" s="8">
        <v>46297.62148268519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73</v>
      </c>
      <c r="D56" s="6">
        <v>12.0</v>
      </c>
      <c r="E56" s="8">
        <v>46297.62788425926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74</v>
      </c>
      <c r="D57" s="6">
        <v>60.0</v>
      </c>
      <c r="E57" s="8">
        <v>46297.6314778125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75</v>
      </c>
      <c r="D58" s="6">
        <v>25.0</v>
      </c>
      <c r="E58" s="8">
        <v>46297.64845552083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4.0</v>
      </c>
      <c r="C59" s="7" t="s">
        <v>76</v>
      </c>
      <c r="D59" s="6">
        <v>312.0</v>
      </c>
      <c r="E59" s="8">
        <v>46297.67617873843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77</v>
      </c>
      <c r="D60" s="6">
        <v>229.0</v>
      </c>
      <c r="E60" s="8">
        <v>46297.687088680555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78</v>
      </c>
      <c r="D61" s="6">
        <v>40.0</v>
      </c>
      <c r="E61" s="8">
        <v>46297.68714667824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4.0</v>
      </c>
      <c r="C62" s="7" t="s">
        <v>79</v>
      </c>
      <c r="D62" s="6">
        <v>100.0</v>
      </c>
      <c r="E62" s="8">
        <v>46297.68758048611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80</v>
      </c>
      <c r="D63" s="6">
        <v>25.0</v>
      </c>
      <c r="E63" s="8">
        <v>46297.68763945602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81</v>
      </c>
      <c r="D64" s="6">
        <v>29.0</v>
      </c>
      <c r="E64" s="8">
        <v>46297.694819641205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2.0</v>
      </c>
      <c r="C65" s="7" t="s">
        <v>82</v>
      </c>
      <c r="D65" s="6">
        <v>308.0</v>
      </c>
      <c r="E65" s="8">
        <v>46297.70513732639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48</v>
      </c>
      <c r="D66" s="6">
        <v>43.0</v>
      </c>
      <c r="E66" s="8">
        <v>46297.705570370366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83</v>
      </c>
      <c r="D67" s="6">
        <v>94.0</v>
      </c>
      <c r="E67" s="8">
        <v>46297.70563452547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65</v>
      </c>
      <c r="D68" s="6">
        <v>10.0</v>
      </c>
      <c r="E68" s="8">
        <v>46297.72997837963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84</v>
      </c>
      <c r="D69" s="35">
        <v>10.0</v>
      </c>
      <c r="E69" s="8">
        <v>46297.73014641204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85</v>
      </c>
      <c r="D70" s="6">
        <v>25.0</v>
      </c>
      <c r="E70" s="8">
        <v>46297.75140842593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86</v>
      </c>
      <c r="D71" s="6">
        <v>4.5</v>
      </c>
      <c r="E71" s="8">
        <v>46297.752550335645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1.0</v>
      </c>
      <c r="C72" s="7" t="s">
        <v>87</v>
      </c>
      <c r="D72" s="6">
        <v>12.0</v>
      </c>
      <c r="E72" s="8">
        <v>46297.75896068287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6"/>
      <c r="D73" s="37"/>
      <c r="E73" s="38"/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6"/>
      <c r="D74" s="37"/>
      <c r="E74" s="38"/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6"/>
      <c r="D75" s="37"/>
      <c r="E75" s="38"/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6"/>
      <c r="D76" s="37"/>
      <c r="E76" s="38"/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6"/>
      <c r="D77" s="37"/>
      <c r="E77" s="38"/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6"/>
      <c r="D78" s="37"/>
      <c r="E78" s="38"/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6"/>
      <c r="D79" s="37"/>
      <c r="E79" s="38"/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6"/>
      <c r="D80" s="37"/>
      <c r="E80" s="38"/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6"/>
      <c r="D81" s="37"/>
      <c r="E81" s="38"/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6"/>
      <c r="D82" s="37"/>
      <c r="E82" s="38"/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6"/>
      <c r="D83" s="37"/>
      <c r="E83" s="38"/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6"/>
      <c r="D84" s="37"/>
      <c r="E84" s="38"/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6"/>
      <c r="D85" s="37"/>
      <c r="E85" s="38"/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6"/>
      <c r="D86" s="37"/>
      <c r="E86" s="38"/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6"/>
      <c r="D87" s="37"/>
      <c r="E87" s="38"/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6"/>
      <c r="D88" s="37"/>
      <c r="E88" s="38"/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6"/>
      <c r="D89" s="37"/>
      <c r="E89" s="38"/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6"/>
      <c r="D90" s="37"/>
      <c r="E90" s="38"/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6"/>
      <c r="D91" s="37"/>
      <c r="E91" s="38"/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6"/>
      <c r="D92" s="37"/>
      <c r="E92" s="38"/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6"/>
      <c r="D93" s="37"/>
      <c r="E93" s="38"/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6"/>
      <c r="D94" s="37"/>
      <c r="E94" s="38"/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6"/>
      <c r="D95" s="37"/>
      <c r="E95" s="38"/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6"/>
      <c r="D96" s="37"/>
      <c r="E96" s="38"/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6"/>
      <c r="D97" s="37"/>
      <c r="E97" s="38"/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6"/>
      <c r="D98" s="37"/>
      <c r="E98" s="38"/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6"/>
      <c r="D99" s="37"/>
      <c r="E99" s="38"/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6"/>
      <c r="D100" s="37"/>
      <c r="E100" s="38"/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6"/>
      <c r="D101" s="37"/>
      <c r="E101" s="38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6"/>
      <c r="D102" s="37"/>
      <c r="E102" s="38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6"/>
      <c r="D103" s="37"/>
      <c r="E103" s="38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6"/>
      <c r="D104" s="37"/>
      <c r="E104" s="38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6"/>
      <c r="D105" s="37"/>
      <c r="E105" s="38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6"/>
      <c r="D106" s="37"/>
      <c r="E106" s="38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6"/>
      <c r="D107" s="37"/>
      <c r="E107" s="38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6"/>
      <c r="D108" s="37"/>
      <c r="E108" s="38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6"/>
      <c r="D109" s="37"/>
      <c r="E109" s="38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6"/>
      <c r="D110" s="37"/>
      <c r="E110" s="38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6"/>
      <c r="D111" s="37"/>
      <c r="E111" s="38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6"/>
      <c r="D112" s="37"/>
      <c r="E112" s="38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6"/>
      <c r="D113" s="37"/>
      <c r="E113" s="38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6"/>
      <c r="D114" s="37"/>
      <c r="E114" s="38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6"/>
      <c r="D115" s="37"/>
      <c r="E115" s="38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6"/>
      <c r="D116" s="37"/>
      <c r="E116" s="38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6"/>
      <c r="D117" s="37"/>
      <c r="E117" s="38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6"/>
      <c r="D118" s="37"/>
      <c r="E118" s="38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6"/>
      <c r="D119" s="37"/>
      <c r="E119" s="38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6"/>
      <c r="D120" s="37"/>
      <c r="E120" s="38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6"/>
      <c r="D121" s="37"/>
      <c r="E121" s="38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6"/>
      <c r="D122" s="37"/>
      <c r="E122" s="38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6"/>
      <c r="D123" s="37"/>
      <c r="E123" s="38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6"/>
      <c r="D124" s="37"/>
      <c r="E124" s="38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6"/>
      <c r="D125" s="37"/>
      <c r="E125" s="38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6"/>
      <c r="D126" s="37"/>
      <c r="E126" s="38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6"/>
      <c r="D127" s="37"/>
      <c r="E127" s="38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6"/>
      <c r="D128" s="37"/>
      <c r="E128" s="38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6"/>
      <c r="D129" s="37"/>
      <c r="E129" s="38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6"/>
      <c r="D130" s="37"/>
      <c r="E130" s="38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8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8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8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8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8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8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8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8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8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8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8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8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8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8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8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8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8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8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8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8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8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8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8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8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8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8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8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8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8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8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8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8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8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8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8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8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8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8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8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8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8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8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8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8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8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8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8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8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8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8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8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8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8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8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8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8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8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8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8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8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8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8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8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8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8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8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8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8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8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8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8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8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8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8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8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8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8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8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8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8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8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8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8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8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8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8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8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8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8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8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8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8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8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8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8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8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8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8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8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8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8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8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8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8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8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8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8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8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8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8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8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8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8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8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8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8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8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8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8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8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8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8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8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8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8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8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8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8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8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8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8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8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8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8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8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8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8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8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8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8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8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8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8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8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8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8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8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8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8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8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8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8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8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8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8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8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8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8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8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8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8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8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8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8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8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8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8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8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8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8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7"/>
      <c r="E301" s="38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