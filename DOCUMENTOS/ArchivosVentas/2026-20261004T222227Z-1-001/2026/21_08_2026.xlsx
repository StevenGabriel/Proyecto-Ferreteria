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<sst xmlns="http://schemas.openxmlformats.org/spreadsheetml/2006/main" count="108" uniqueCount="105">
  <si>
    <t>HOJA DE CALCULO FERRETERIA</t>
  </si>
  <si>
    <t>CODIGO</t>
  </si>
  <si>
    <t>CANTIDAD</t>
  </si>
  <si>
    <t>DESCRIPCION</t>
  </si>
  <si>
    <t>TOTAL</t>
  </si>
  <si>
    <t>HORA</t>
  </si>
  <si>
    <t>CUADRAR</t>
  </si>
  <si>
    <t>soporte tire</t>
  </si>
  <si>
    <t>rodillo antigoteo tigre</t>
  </si>
  <si>
    <t>MONEDAS</t>
  </si>
  <si>
    <t>CAJA CHICA</t>
  </si>
  <si>
    <t>1l</t>
  </si>
  <si>
    <t>latex blanco</t>
  </si>
  <si>
    <t>BILLETES 10-20</t>
  </si>
  <si>
    <t>TOTAL VENTAS DIA</t>
  </si>
  <si>
    <t>latex chocolate</t>
  </si>
  <si>
    <t>BILLETES 50-100-200</t>
  </si>
  <si>
    <t>AUMENTO DE DINERO</t>
  </si>
  <si>
    <t>ramplus 6</t>
  </si>
  <si>
    <t>INGRESOS YAPE</t>
  </si>
  <si>
    <t>yeso</t>
  </si>
  <si>
    <t>INGRESOS TARJETA</t>
  </si>
  <si>
    <t>chio 4*30</t>
  </si>
  <si>
    <t>GASTOS VARIOS</t>
  </si>
  <si>
    <t>sierra truepr</t>
  </si>
  <si>
    <t>gramaps truper</t>
  </si>
  <si>
    <t>DINERO GANADO HOY:</t>
  </si>
  <si>
    <t>CANTIDAD DINERO CAJA:</t>
  </si>
  <si>
    <t>debor fierro 1.5</t>
  </si>
  <si>
    <t>teflon</t>
  </si>
  <si>
    <t>2m</t>
  </si>
  <si>
    <t>hilo estaño</t>
  </si>
  <si>
    <t>automatico total</t>
  </si>
  <si>
    <t>candado tr</t>
  </si>
  <si>
    <t>DESTAPA CAÑO TRUPER</t>
  </si>
  <si>
    <t>DADO 1/4 10</t>
  </si>
  <si>
    <t>YAPE MAMÁ</t>
  </si>
  <si>
    <t>YAPE PAPÁ</t>
  </si>
  <si>
    <t>YAPE</t>
  </si>
  <si>
    <t>ALARGADOR CHICHARRA 1/4</t>
  </si>
  <si>
    <t>Monto Total YAPE (No tocar):</t>
  </si>
  <si>
    <t>LLAVE T 14</t>
  </si>
  <si>
    <t>PLOMADA 40</t>
  </si>
  <si>
    <t>Monto Total Registrado en aplicacion</t>
  </si>
  <si>
    <t>CALVO CALAMINA</t>
  </si>
  <si>
    <t>CALVO 3</t>
  </si>
  <si>
    <t>CHAPA TRAVEX</t>
  </si>
  <si>
    <t>RESISTENCI LORENZETE</t>
  </si>
  <si>
    <t>LLAVE DE PASO 1/2 DUKE</t>
  </si>
  <si>
    <t>COPLA 1/2</t>
  </si>
  <si>
    <t>NIPLE1/2</t>
  </si>
  <si>
    <t>SELLAROSCA</t>
  </si>
  <si>
    <t>PAGOS YAPE</t>
  </si>
  <si>
    <t>DESCRIPCION PAGO</t>
  </si>
  <si>
    <t>TEFLON</t>
  </si>
  <si>
    <t>MASQUIN 1</t>
  </si>
  <si>
    <t>LAVANDERIA 1BAVHA</t>
  </si>
  <si>
    <t>BROCA CERAMICA 5</t>
  </si>
  <si>
    <t>FLEXO 10M TOLSEN</t>
  </si>
  <si>
    <t>CANALEADOR</t>
  </si>
  <si>
    <t>RODILLO</t>
  </si>
  <si>
    <t>CEPILLO UYUS</t>
  </si>
  <si>
    <t>SODA CAUSTICA 1/2KL</t>
  </si>
  <si>
    <t>CAUTIN 70W</t>
  </si>
  <si>
    <t>BROCA ENCASTRE 8</t>
  </si>
  <si>
    <t>GUNATE TR</t>
  </si>
  <si>
    <t>GUANTE OSCARIA</t>
  </si>
  <si>
    <t>BROCA 3/8 VIDRIO</t>
  </si>
  <si>
    <t>LENTE TR</t>
  </si>
  <si>
    <t>CABLE PARA CORRIENTE UYUS</t>
  </si>
  <si>
    <t>LIJAS TOLSNE</t>
  </si>
  <si>
    <t>ADAPTADOR KONTAC</t>
  </si>
  <si>
    <t>CASQUETE DOBLE</t>
  </si>
  <si>
    <t>CASQUETE SINPLE</t>
  </si>
  <si>
    <t>MODULOS TOMA</t>
  </si>
  <si>
    <t>CODO 5/8</t>
  </si>
  <si>
    <t>YUBO CONDUIT 5/8</t>
  </si>
  <si>
    <t>RAMPLU 6</t>
  </si>
  <si>
    <t>MANGUERA CON REGULADOR 1M</t>
  </si>
  <si>
    <t>SILICONA SICA TRNAS</t>
  </si>
  <si>
    <t>SILCIONA BLANCA</t>
  </si>
  <si>
    <t>PISTOLAD E SILICONA</t>
  </si>
  <si>
    <t>LLAVE DE PASO 3/4 DUKE</t>
  </si>
  <si>
    <t>CLAVOS 25MM</t>
  </si>
  <si>
    <t>CANDADO TR</t>
  </si>
  <si>
    <t>GRAMPAS UYUS 10MM</t>
  </si>
  <si>
    <t>CODO CPVC 3/4</t>
  </si>
  <si>
    <t>COPLA 3/4 CPVC</t>
  </si>
  <si>
    <t>IDSCO CONCRETO 4</t>
  </si>
  <si>
    <t>YESO</t>
  </si>
  <si>
    <t>LLAVE CRESEN 8</t>
  </si>
  <si>
    <t>JGO DADOS</t>
  </si>
  <si>
    <t>SOQUET PORCELANA</t>
  </si>
  <si>
    <t>1M</t>
  </si>
  <si>
    <t>ALAMBRE 14</t>
  </si>
  <si>
    <t>REGLTA</t>
  </si>
  <si>
    <t>CANDADO CONCLAVE</t>
  </si>
  <si>
    <t>AERSOOS</t>
  </si>
  <si>
    <t>ERMIC SIVCA</t>
  </si>
  <si>
    <t>M ALABRE TIFER 12</t>
  </si>
  <si>
    <t>BROCA 4,5</t>
  </si>
  <si>
    <t>BROCA 2</t>
  </si>
  <si>
    <t>MT PERLON 4</t>
  </si>
  <si>
    <t>PANEL LEDO 18</t>
  </si>
  <si>
    <t>ALDABA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</si>
</sst>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46255.3668169213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33.0</v>
      </c>
      <c r="E9" s="8">
        <v>46255.36692078704</v>
      </c>
      <c r="F9" s="2"/>
      <c r="G9" s="9" t="s">
        <v>9</v>
      </c>
      <c r="H9" s="10">
        <v>109.0</v>
      </c>
      <c r="I9" s="2"/>
      <c r="J9" s="9" t="s">
        <v>10</v>
      </c>
      <c r="K9" s="10">
        <v>632.0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11</v>
      </c>
      <c r="C10" s="7" t="s">
        <v>12</v>
      </c>
      <c r="D10" s="6">
        <v>42.0</v>
      </c>
      <c r="E10" s="8">
        <v>46255.36700571759</v>
      </c>
      <c r="F10" s="2"/>
      <c r="G10" s="9" t="s">
        <v>13</v>
      </c>
      <c r="H10" s="10">
        <v>320.0</v>
      </c>
      <c r="I10" s="2"/>
      <c r="J10" s="9" t="s">
        <v>14</v>
      </c>
      <c r="K10" s="11">
        <f>SUM(PRINCIPAL[TOTAL])</f>
        <v>3753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11</v>
      </c>
      <c r="C11" s="7" t="s">
        <v>15</v>
      </c>
      <c r="D11" s="6">
        <v>30.0</v>
      </c>
      <c r="E11" s="8">
        <v>46255.367124525466</v>
      </c>
      <c r="F11" s="2"/>
      <c r="G11" s="9" t="s">
        <v>16</v>
      </c>
      <c r="H11" s="10">
        <v>2100.0</v>
      </c>
      <c r="I11" s="2"/>
      <c r="J11" s="9" t="s">
        <v>17</v>
      </c>
      <c r="K11" s="10">
        <v>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36.0</v>
      </c>
      <c r="C12" s="7" t="s">
        <v>18</v>
      </c>
      <c r="D12" s="6">
        <v>3.0</v>
      </c>
      <c r="E12" s="8">
        <v>46255.37033523148</v>
      </c>
      <c r="F12" s="2"/>
      <c r="G12" s="9" t="s">
        <v>19</v>
      </c>
      <c r="H12" s="12">
        <f>SUM(G24:H361)</f>
        <v>2038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16.0</v>
      </c>
      <c r="E13" s="8">
        <v>46255.37037921297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36.0</v>
      </c>
      <c r="C14" s="7" t="s">
        <v>22</v>
      </c>
      <c r="D14" s="6">
        <v>7.5</v>
      </c>
      <c r="E14" s="8">
        <v>46255.37048265046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28.0</v>
      </c>
      <c r="E15" s="8">
        <v>46255.3765672338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120.0</v>
      </c>
      <c r="E16" s="8">
        <v>46255.377276134255</v>
      </c>
      <c r="F16" s="2"/>
      <c r="G16" s="15" t="s">
        <v>26</v>
      </c>
      <c r="H16" s="16">
        <f>SUM(H9:H14)</f>
        <v>4567</v>
      </c>
      <c r="I16" s="3"/>
      <c r="J16" s="15" t="s">
        <v>27</v>
      </c>
      <c r="K16" s="16">
        <f>SUM(K9:K11)</f>
        <v>4465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11.0</v>
      </c>
      <c r="E17" s="8">
        <v>46255.3784528588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3.0</v>
      </c>
      <c r="E18" s="8">
        <v>46255.37862503472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102,00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30</v>
      </c>
      <c r="C19" s="7" t="s">
        <v>31</v>
      </c>
      <c r="D19" s="6">
        <v>14.0</v>
      </c>
      <c r="E19" s="8">
        <v>46255.378898807874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248.0</v>
      </c>
      <c r="E20" s="8">
        <v>46255.3941580324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33</v>
      </c>
      <c r="D21" s="6">
        <v>75.0</v>
      </c>
      <c r="E21" s="8">
        <v>46255.392865173606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34</v>
      </c>
      <c r="D22" s="6">
        <v>262.0</v>
      </c>
      <c r="E22" s="8">
        <v>46255.394276886575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6">
        <v>13.0</v>
      </c>
      <c r="E23" s="8">
        <v>46255.40005060185</v>
      </c>
      <c r="F23" s="2"/>
      <c r="G23" s="19" t="s">
        <v>36</v>
      </c>
      <c r="H23" s="19" t="s">
        <v>37</v>
      </c>
      <c r="I23" s="2"/>
      <c r="J23" s="20" t="s">
        <v>38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39</v>
      </c>
      <c r="D24" s="6">
        <v>11.0</v>
      </c>
      <c r="E24" s="8">
        <v>46255.39998263889</v>
      </c>
      <c r="F24" s="2"/>
      <c r="G24" s="22">
        <v>28.0</v>
      </c>
      <c r="H24" s="23"/>
      <c r="I24" s="2"/>
      <c r="J24" s="24" t="s">
        <v>40</v>
      </c>
      <c r="K24" s="25">
        <f>SUM(INGRESOS_YAPE[])</f>
        <v>2038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41</v>
      </c>
      <c r="D25" s="6">
        <v>28.0</v>
      </c>
      <c r="E25" s="8">
        <v>46255.39986763889</v>
      </c>
      <c r="F25" s="2"/>
      <c r="G25" s="22">
        <v>323.0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26">
        <v>28.0</v>
      </c>
      <c r="E26" s="8">
        <v>46255.40700197917</v>
      </c>
      <c r="F26" s="2"/>
      <c r="G26" s="27">
        <v>262.0</v>
      </c>
      <c r="H26" s="23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44</v>
      </c>
      <c r="D27" s="6">
        <v>40.0</v>
      </c>
      <c r="E27" s="8">
        <v>46255.42920326389</v>
      </c>
      <c r="F27" s="2"/>
      <c r="G27" s="22">
        <v>52.0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45</v>
      </c>
      <c r="D28" s="6">
        <v>20.0</v>
      </c>
      <c r="E28" s="8">
        <v>46255.40716822917</v>
      </c>
      <c r="F28" s="2"/>
      <c r="G28" s="22">
        <v>325.0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295.0</v>
      </c>
      <c r="E29" s="8">
        <v>46255.42930618055</v>
      </c>
      <c r="F29" s="2"/>
      <c r="G29" s="22">
        <v>18.0</v>
      </c>
      <c r="H29" s="23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2038,00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30.0</v>
      </c>
      <c r="E30" s="8">
        <v>46255.42941471065</v>
      </c>
      <c r="F30" s="2"/>
      <c r="G30" s="22">
        <v>55.0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4.0</v>
      </c>
      <c r="C31" s="7" t="s">
        <v>48</v>
      </c>
      <c r="D31" s="6">
        <v>96.0</v>
      </c>
      <c r="E31" s="8">
        <v>46255.44674215278</v>
      </c>
      <c r="F31" s="2"/>
      <c r="G31" s="22">
        <v>92.0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4.0</v>
      </c>
      <c r="C32" s="7" t="s">
        <v>49</v>
      </c>
      <c r="D32" s="6">
        <v>14.0</v>
      </c>
      <c r="E32" s="8">
        <v>46255.44669240741</v>
      </c>
      <c r="F32" s="2"/>
      <c r="G32" s="22">
        <v>25.0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4.0</v>
      </c>
      <c r="C33" s="7" t="s">
        <v>50</v>
      </c>
      <c r="D33" s="6">
        <v>8.0</v>
      </c>
      <c r="E33" s="8">
        <v>46255.44705328703</v>
      </c>
      <c r="F33" s="2"/>
      <c r="G33" s="22">
        <v>45.0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20.0</v>
      </c>
      <c r="E34" s="8">
        <v>46255.446973541664</v>
      </c>
      <c r="F34" s="2"/>
      <c r="G34" s="22">
        <v>42.0</v>
      </c>
      <c r="H34" s="23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3.0</v>
      </c>
      <c r="E35" s="8">
        <v>46255.446920532406</v>
      </c>
      <c r="F35" s="2"/>
      <c r="G35" s="22">
        <v>22.0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18.0</v>
      </c>
      <c r="E36" s="8">
        <v>46255.44717688658</v>
      </c>
      <c r="F36" s="2"/>
      <c r="G36" s="22">
        <v>100.0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190.0</v>
      </c>
      <c r="E37" s="8">
        <v>46255.448036319445</v>
      </c>
      <c r="F37" s="2"/>
      <c r="G37" s="22">
        <v>59.0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31.0</v>
      </c>
      <c r="E38" s="8">
        <v>46255.45744939815</v>
      </c>
      <c r="F38" s="2"/>
      <c r="G38" s="22">
        <v>163.0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87.0</v>
      </c>
      <c r="E39" s="8">
        <v>46255.45755315972</v>
      </c>
      <c r="F39" s="2"/>
      <c r="G39" s="22">
        <v>275.0</v>
      </c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92.0</v>
      </c>
      <c r="E40" s="8">
        <v>46255.46922212963</v>
      </c>
      <c r="F40" s="2"/>
      <c r="G40" s="22">
        <v>41.0</v>
      </c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17.0</v>
      </c>
      <c r="E41" s="8">
        <v>46255.471150694444</v>
      </c>
      <c r="F41" s="2"/>
      <c r="G41" s="22">
        <v>77.0</v>
      </c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38.0</v>
      </c>
      <c r="E42" s="8">
        <v>46255.47128607639</v>
      </c>
      <c r="F42" s="2"/>
      <c r="G42" s="22">
        <v>34.0</v>
      </c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25.0</v>
      </c>
      <c r="E43" s="8">
        <v>46255.4715065625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45.0</v>
      </c>
      <c r="E44" s="8">
        <v>46255.471644502315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17.0</v>
      </c>
      <c r="E45" s="8">
        <v>46255.47319260417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18.0</v>
      </c>
      <c r="E46" s="8">
        <v>46255.49154180556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24.0</v>
      </c>
      <c r="E47" s="8">
        <v>46255.49163831018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37.0</v>
      </c>
      <c r="E48" s="8">
        <v>46255.495846770835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26">
        <v>22.0</v>
      </c>
      <c r="E49" s="8">
        <v>46255.502844999995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100.0</v>
      </c>
      <c r="E50" s="8">
        <v>46255.50296824074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21.0</v>
      </c>
      <c r="E51" s="8">
        <v>46255.50394916667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14.0</v>
      </c>
      <c r="E52" s="8">
        <v>46255.519915173616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16.0</v>
      </c>
      <c r="E53" s="8">
        <v>46255.5286370949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14.0</v>
      </c>
      <c r="E54" s="8">
        <v>46255.52886716435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3.0</v>
      </c>
      <c r="C55" s="7" t="s">
        <v>74</v>
      </c>
      <c r="D55" s="6">
        <v>30.0</v>
      </c>
      <c r="E55" s="8">
        <v>46255.52893864583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1.5</v>
      </c>
      <c r="E56" s="8">
        <v>46255.578111192124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76</v>
      </c>
      <c r="D57" s="6">
        <v>14.0</v>
      </c>
      <c r="E57" s="8">
        <v>46255.534106701394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12.0</v>
      </c>
      <c r="C58" s="7" t="s">
        <v>77</v>
      </c>
      <c r="D58" s="6">
        <v>1.5</v>
      </c>
      <c r="E58" s="8">
        <v>46255.533995474536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63.0</v>
      </c>
      <c r="E59" s="8">
        <v>46255.58106967593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79</v>
      </c>
      <c r="D60" s="6">
        <v>84.0</v>
      </c>
      <c r="E60" s="8">
        <v>46255.581182662034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34.0</v>
      </c>
      <c r="E61" s="8">
        <v>46255.597973807875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25.0</v>
      </c>
      <c r="E62" s="8">
        <v>46255.598093252316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34.0</v>
      </c>
      <c r="E63" s="8">
        <v>46255.615192847225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83</v>
      </c>
      <c r="D64" s="6">
        <v>127.0</v>
      </c>
      <c r="E64" s="8">
        <v>46255.62725671296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84</v>
      </c>
      <c r="D65" s="6">
        <v>163.0</v>
      </c>
      <c r="E65" s="8">
        <v>46255.643381145834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85</v>
      </c>
      <c r="D66" s="6">
        <v>24.0</v>
      </c>
      <c r="E66" s="8">
        <v>46255.64503665509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10.0</v>
      </c>
      <c r="E67" s="8">
        <v>46255.65746539352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87</v>
      </c>
      <c r="D68" s="6">
        <v>12.0</v>
      </c>
      <c r="E68" s="8">
        <v>46255.657962638885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24.0</v>
      </c>
      <c r="E69" s="8">
        <v>46255.65853677083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16.0</v>
      </c>
      <c r="E70" s="8">
        <v>46255.65886722222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24</v>
      </c>
      <c r="D71" s="6">
        <v>19.0</v>
      </c>
      <c r="E71" s="8">
        <v>46255.66031481481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43.0</v>
      </c>
      <c r="E72" s="8">
        <v>46255.660731689815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232.0</v>
      </c>
      <c r="E73" s="8">
        <v>46255.660927164354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84</v>
      </c>
      <c r="D74" s="6">
        <v>99.0</v>
      </c>
      <c r="E74" s="8">
        <v>46255.68602597222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10.0</v>
      </c>
      <c r="E75" s="8">
        <v>46255.686728622684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 t="s">
        <v>93</v>
      </c>
      <c r="C76" s="7" t="s">
        <v>94</v>
      </c>
      <c r="D76" s="6">
        <v>6.5</v>
      </c>
      <c r="E76" s="8">
        <v>46255.69960594908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95</v>
      </c>
      <c r="D77" s="6">
        <v>77.0</v>
      </c>
      <c r="E77" s="8">
        <v>46255.714366782406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96</v>
      </c>
      <c r="D78" s="6">
        <v>26.0</v>
      </c>
      <c r="E78" s="8">
        <v>46255.72245376157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20.0</v>
      </c>
      <c r="E79" s="8">
        <v>46255.722511898144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55.0</v>
      </c>
      <c r="E80" s="8">
        <v>46255.72257601852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99</v>
      </c>
      <c r="D81" s="6">
        <v>5.0</v>
      </c>
      <c r="E81" s="8">
        <v>46255.73071391204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100</v>
      </c>
      <c r="D82" s="6">
        <v>20.0</v>
      </c>
      <c r="E82" s="8">
        <v>46255.73094193287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101</v>
      </c>
      <c r="D83" s="6">
        <v>14.0</v>
      </c>
      <c r="E83" s="8">
        <v>46255.7360540625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10.0</v>
      </c>
      <c r="C84" s="7" t="s">
        <v>102</v>
      </c>
      <c r="D84" s="6">
        <v>20.0</v>
      </c>
      <c r="E84" s="8">
        <v>46255.73631261574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103</v>
      </c>
      <c r="D85" s="6">
        <v>98.0</v>
      </c>
      <c r="E85" s="8">
        <v>46255.74683246527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104</v>
      </c>
      <c r="D86" s="6">
        <v>6.0</v>
      </c>
      <c r="E86" s="8">
        <v>46255.75251366898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