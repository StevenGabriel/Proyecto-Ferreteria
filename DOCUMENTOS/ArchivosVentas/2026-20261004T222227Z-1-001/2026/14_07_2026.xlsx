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<sst xmlns="http://schemas.openxmlformats.org/spreadsheetml/2006/main" count="122" uniqueCount="120">
  <si>
    <t>HOJA DE CALCULO FERRETERIA</t>
  </si>
  <si>
    <t>CODIGO</t>
  </si>
  <si>
    <t>CANTIDAD</t>
  </si>
  <si>
    <t>DESCRIPCION</t>
  </si>
  <si>
    <t>TOTAL</t>
  </si>
  <si>
    <t>HORA</t>
  </si>
  <si>
    <t>CUADRAR</t>
  </si>
  <si>
    <t>guantes asatex</t>
  </si>
  <si>
    <t>PERNO CARROCERO 1/4X2/12</t>
  </si>
  <si>
    <t>MONEDAS</t>
  </si>
  <si>
    <t>CAJA CHICA</t>
  </si>
  <si>
    <t>ÉRO CAR 1/4 X 3</t>
  </si>
  <si>
    <t>BILLETES 10-20</t>
  </si>
  <si>
    <t>TOTAL VENTAS DIA</t>
  </si>
  <si>
    <t>ARANDELA</t>
  </si>
  <si>
    <t>BILLETES 50-100-200</t>
  </si>
  <si>
    <t>AUMENTO DE DINERO</t>
  </si>
  <si>
    <t>yee tramontian</t>
  </si>
  <si>
    <t>INGRESOS YAPE</t>
  </si>
  <si>
    <t>AUTOPERFORANTE 12 X 2</t>
  </si>
  <si>
    <t>INGRESOS TARJETA</t>
  </si>
  <si>
    <t>PUNTA DADO 8MM</t>
  </si>
  <si>
    <t>GASTOS VARIOS</t>
  </si>
  <si>
    <t>DEBO FIERRO 4</t>
  </si>
  <si>
    <t>casco masther</t>
  </si>
  <si>
    <t>DINERO GANADO HOY:</t>
  </si>
  <si>
    <t>CANTIDAD DINERO CAJA:</t>
  </si>
  <si>
    <t>grispeadora uyustool</t>
  </si>
  <si>
    <t>brocha rojas11/2</t>
  </si>
  <si>
    <t>brocha rojs 2</t>
  </si>
  <si>
    <t>rst rillo  tramontia</t>
  </si>
  <si>
    <t>broca concreto  8</t>
  </si>
  <si>
    <t>CANDADO HERMEX</t>
  </si>
  <si>
    <t>SILICONA MAERCA</t>
  </si>
  <si>
    <t>YAPE MAMÁ</t>
  </si>
  <si>
    <t>YAPE PAPÁ</t>
  </si>
  <si>
    <t>YAPE</t>
  </si>
  <si>
    <t>LLAVE COMBINADS FERRAWY</t>
  </si>
  <si>
    <t>Monto Total YAPE (No tocar):</t>
  </si>
  <si>
    <t>PICAPORTE 2</t>
  </si>
  <si>
    <t>TRBASIL</t>
  </si>
  <si>
    <t>Monto Total Registrado en aplicacion</t>
  </si>
  <si>
    <t>CHICOTILLO 4QCM</t>
  </si>
  <si>
    <t>PERNOS 3/8X31/2</t>
  </si>
  <si>
    <t>CEMENTO BLANCO</t>
  </si>
  <si>
    <t>PALANCA BAÑO</t>
  </si>
  <si>
    <t>FLAPER</t>
  </si>
  <si>
    <t>HIDROPISTOLA</t>
  </si>
  <si>
    <t>PICO</t>
  </si>
  <si>
    <t>ADAPTADOR DE RIEGO</t>
  </si>
  <si>
    <t>PAGOS YAPE</t>
  </si>
  <si>
    <t>DESCRIPCION PAGO</t>
  </si>
  <si>
    <t>ADAPTADOR PVC</t>
  </si>
  <si>
    <t>MT SOGA 8</t>
  </si>
  <si>
    <t>AEROSOL NEGRO</t>
  </si>
  <si>
    <t>CUBRECABLE 20 X 10</t>
  </si>
  <si>
    <t>BROCA 6</t>
  </si>
  <si>
    <t>2M</t>
  </si>
  <si>
    <t>ALUBAN 10CM</t>
  </si>
  <si>
    <t>SOPAPA LAVAPLATOS</t>
  </si>
  <si>
    <t>SIFON DOBLE</t>
  </si>
  <si>
    <t>ESPATULA</t>
  </si>
  <si>
    <t>SIERRA NICHOLSON</t>
  </si>
  <si>
    <t>CLAVO 11/2</t>
  </si>
  <si>
    <t>DESARMADOR</t>
  </si>
  <si>
    <t>PISTOLA SILICONA TOTAL</t>
  </si>
  <si>
    <t>PISTOLA SILIOCNA UYUS</t>
  </si>
  <si>
    <t>MASCARA 3M</t>
  </si>
  <si>
    <t>FITRO 3M</t>
  </si>
  <si>
    <t>tapon 1*/2 m</t>
  </si>
  <si>
    <t>tapon 1/2 h</t>
  </si>
  <si>
    <t>chicotillo 70</t>
  </si>
  <si>
    <t>kl alambre amarre</t>
  </si>
  <si>
    <t>tee 1/2 tigre</t>
  </si>
  <si>
    <t>codo 1/2 t</t>
  </si>
  <si>
    <t>codo 3/4 t</t>
  </si>
  <si>
    <t>nipla 1/2t</t>
  </si>
  <si>
    <t>teflon</t>
  </si>
  <si>
    <t>reduccion 3/4 x 1/2</t>
  </si>
  <si>
    <t>grifo 1/2</t>
  </si>
  <si>
    <t>nipla 3/4</t>
  </si>
  <si>
    <t>3kl</t>
  </si>
  <si>
    <t>cemento</t>
  </si>
  <si>
    <t>pernos 6x1/2</t>
  </si>
  <si>
    <t>punta taladro</t>
  </si>
  <si>
    <t>pegatanke pvc</t>
  </si>
  <si>
    <t>rodillo 5cm</t>
  </si>
  <si>
    <t>debor fierro 7</t>
  </si>
  <si>
    <t>grifo 1/2 economico</t>
  </si>
  <si>
    <t xml:space="preserve">adaptdor </t>
  </si>
  <si>
    <t>pico de tramaotn</t>
  </si>
  <si>
    <t>pico tramkotna</t>
  </si>
  <si>
    <t>chip 3.5 x 45</t>
  </si>
  <si>
    <t>clavo 5</t>
  </si>
  <si>
    <t>silicona banca</t>
  </si>
  <si>
    <t>silicona trnasparente</t>
  </si>
  <si>
    <t xml:space="preserve">reduccion  </t>
  </si>
  <si>
    <t>niplr</t>
  </si>
  <si>
    <t>reversib</t>
  </si>
  <si>
    <t>5 mt</t>
  </si>
  <si>
    <t>tubo 2</t>
  </si>
  <si>
    <t>SOQUET</t>
  </si>
  <si>
    <t>JALADORES</t>
  </si>
  <si>
    <t>PLACA SCHENERE DOBLE</t>
  </si>
  <si>
    <t>MODULOS TOMA</t>
  </si>
  <si>
    <t>FOCO TRAMONTANA</t>
  </si>
  <si>
    <t>TIRAFOFNAS</t>
  </si>
  <si>
    <t>ALUBANDA</t>
  </si>
  <si>
    <t>1,/2</t>
  </si>
  <si>
    <t>MANGURA NIVEL</t>
  </si>
  <si>
    <t>UNION PATNETE 1 TGRE</t>
  </si>
  <si>
    <t>SODA CAUSTICA</t>
  </si>
  <si>
    <t>MALLA SODADA</t>
  </si>
  <si>
    <t>BROCA FIERRO 3</t>
  </si>
  <si>
    <t>TORNILLO Y ARADELAS</t>
  </si>
  <si>
    <t xml:space="preserve">HIDROGPIETLA </t>
  </si>
  <si>
    <t>ADAPTADOR</t>
  </si>
  <si>
    <t>ADPTADIR</t>
  </si>
  <si>
    <t xml:space="preserve">CONECTOR </t>
  </si>
  <si>
    <t>MAGUERA 1/2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</si>
</sst>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7.0</v>
      </c>
      <c r="C8" s="7" t="s">
        <v>7</v>
      </c>
      <c r="D8" s="6">
        <v>91.0</v>
      </c>
      <c r="E8" s="8">
        <v>46217.350231759265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24.0</v>
      </c>
      <c r="C9" s="7" t="s">
        <v>8</v>
      </c>
      <c r="D9" s="6">
        <v>48.0</v>
      </c>
      <c r="E9" s="8">
        <v>46217.374017256945</v>
      </c>
      <c r="F9" s="2"/>
      <c r="G9" s="9" t="s">
        <v>9</v>
      </c>
      <c r="H9" s="10">
        <v>166.5</v>
      </c>
      <c r="I9" s="2"/>
      <c r="J9" s="9" t="s">
        <v>10</v>
      </c>
      <c r="K9" s="10">
        <v>862.5</v>
      </c>
      <c r="L9" s="2"/>
      <c r="M9" s="2"/>
      <c r="N9" s="2"/>
      <c r="O9" s="2"/>
      <c r="P9" s="2"/>
      <c r="Q9" s="2"/>
    </row>
    <row r="10" ht="22.5" customHeight="1">
      <c r="A10" s="6"/>
      <c r="B10" s="6">
        <v>6.0</v>
      </c>
      <c r="C10" s="7" t="s">
        <v>11</v>
      </c>
      <c r="D10" s="6">
        <v>15.0</v>
      </c>
      <c r="E10" s="8">
        <v>46217.374121712965</v>
      </c>
      <c r="F10" s="2"/>
      <c r="G10" s="9" t="s">
        <v>12</v>
      </c>
      <c r="H10" s="10">
        <v>270.0</v>
      </c>
      <c r="I10" s="2"/>
      <c r="J10" s="9" t="s">
        <v>13</v>
      </c>
      <c r="K10" s="11">
        <f>SUM(PRINCIPAL[TOTAL])</f>
        <v>2625.5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30.0</v>
      </c>
      <c r="C11" s="7" t="s">
        <v>14</v>
      </c>
      <c r="D11" s="6">
        <v>10.0</v>
      </c>
      <c r="E11" s="8">
        <v>46217.38453876157</v>
      </c>
      <c r="F11" s="2"/>
      <c r="G11" s="9" t="s">
        <v>15</v>
      </c>
      <c r="H11" s="10">
        <v>1950.0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12.0</v>
      </c>
      <c r="E12" s="8">
        <v>46217.384584803236</v>
      </c>
      <c r="F12" s="2"/>
      <c r="G12" s="9" t="s">
        <v>18</v>
      </c>
      <c r="H12" s="12">
        <f>SUM(G24:H361)</f>
        <v>549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60.0</v>
      </c>
      <c r="C13" s="7" t="s">
        <v>19</v>
      </c>
      <c r="D13" s="6">
        <v>70.0</v>
      </c>
      <c r="E13" s="8">
        <v>46217.394129259264</v>
      </c>
      <c r="F13" s="2"/>
      <c r="G13" s="9" t="s">
        <v>20</v>
      </c>
      <c r="H13" s="10">
        <v>204.0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7.0</v>
      </c>
      <c r="E14" s="8">
        <v>46217.3942384838</v>
      </c>
      <c r="F14" s="2"/>
      <c r="G14" s="9" t="s">
        <v>22</v>
      </c>
      <c r="H14" s="10">
        <v>387.0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14.0</v>
      </c>
      <c r="E15" s="8">
        <v>46217.394333703705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38.0</v>
      </c>
      <c r="E16" s="8">
        <v>46217.40163778936</v>
      </c>
      <c r="F16" s="2"/>
      <c r="G16" s="15" t="s">
        <v>25</v>
      </c>
      <c r="H16" s="16">
        <f>SUM(H9:H14)</f>
        <v>3526.5</v>
      </c>
      <c r="I16" s="3"/>
      <c r="J16" s="15" t="s">
        <v>26</v>
      </c>
      <c r="K16" s="16">
        <f>SUM(K9:K11)</f>
        <v>3488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64.0</v>
      </c>
      <c r="E17" s="8">
        <v>46217.40172384259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6.0</v>
      </c>
      <c r="E18" s="8">
        <v>46217.41754376158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6.0</v>
      </c>
      <c r="E19" s="8">
        <v>46217.417623506946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23.0</v>
      </c>
      <c r="E20" s="8">
        <v>46217.42688810185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18.0</v>
      </c>
      <c r="E21" s="8">
        <v>46217.42703716435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82.0</v>
      </c>
      <c r="E22" s="8">
        <v>46217.43438082176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26.0</v>
      </c>
      <c r="E23" s="8">
        <v>46217.434439895835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10.0</v>
      </c>
      <c r="E24" s="8">
        <v>46217.442260613425</v>
      </c>
      <c r="F24" s="2"/>
      <c r="G24" s="22">
        <v>91.0</v>
      </c>
      <c r="H24" s="23"/>
      <c r="I24" s="2"/>
      <c r="J24" s="24" t="s">
        <v>38</v>
      </c>
      <c r="K24" s="25">
        <f>SUM(INGRESOS_YAPE[])</f>
        <v>549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39</v>
      </c>
      <c r="D25" s="6">
        <v>12.0</v>
      </c>
      <c r="E25" s="8">
        <v>46217.44444356482</v>
      </c>
      <c r="F25" s="2"/>
      <c r="G25" s="22">
        <v>73.0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45.0</v>
      </c>
      <c r="E26" s="8">
        <v>46217.44877342593</v>
      </c>
      <c r="F26" s="2"/>
      <c r="G26" s="26">
        <v>102.0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53.0</v>
      </c>
      <c r="E27" s="8">
        <v>46217.452059456016</v>
      </c>
      <c r="F27" s="2"/>
      <c r="G27" s="22">
        <v>18.0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43</v>
      </c>
      <c r="D28" s="6">
        <v>12.0</v>
      </c>
      <c r="E28" s="8">
        <v>46217.46222541667</v>
      </c>
      <c r="F28" s="2"/>
      <c r="G28" s="22">
        <v>16.0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12.0</v>
      </c>
      <c r="E29" s="8">
        <v>46217.46230170139</v>
      </c>
      <c r="F29" s="2"/>
      <c r="G29" s="22">
        <v>20.0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549,00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19.0</v>
      </c>
      <c r="E30" s="8">
        <v>46217.4639559375</v>
      </c>
      <c r="F30" s="2"/>
      <c r="G30" s="22">
        <v>102.0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8.0</v>
      </c>
      <c r="E31" s="8">
        <v>46217.46398940972</v>
      </c>
      <c r="F31" s="2"/>
      <c r="G31" s="22">
        <v>52.0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79.0</v>
      </c>
      <c r="E32" s="8">
        <v>46217.47277491898</v>
      </c>
      <c r="F32" s="2"/>
      <c r="G32" s="22">
        <v>19.0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7.0</v>
      </c>
      <c r="E33" s="8">
        <v>46217.472855740736</v>
      </c>
      <c r="F33" s="2"/>
      <c r="G33" s="22">
        <v>2.0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12.0</v>
      </c>
      <c r="E34" s="8">
        <v>46217.4729446412</v>
      </c>
      <c r="F34" s="2"/>
      <c r="G34" s="22">
        <v>54.0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52</v>
      </c>
      <c r="D35" s="6">
        <v>7.0</v>
      </c>
      <c r="E35" s="8">
        <v>46217.48605380787</v>
      </c>
      <c r="F35" s="2"/>
      <c r="G35" s="23"/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53</v>
      </c>
      <c r="D36" s="6">
        <v>18.0</v>
      </c>
      <c r="E36" s="8">
        <v>46217.486399340276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3.0</v>
      </c>
      <c r="C37" s="7" t="s">
        <v>54</v>
      </c>
      <c r="D37" s="6">
        <v>60.0</v>
      </c>
      <c r="E37" s="8">
        <v>46217.486805520835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55</v>
      </c>
      <c r="D38" s="6">
        <v>16.0</v>
      </c>
      <c r="E38" s="8">
        <v>46217.487124861116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17.0</v>
      </c>
      <c r="E39" s="8">
        <v>46217.48993805556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 t="s">
        <v>57</v>
      </c>
      <c r="C40" s="7" t="s">
        <v>58</v>
      </c>
      <c r="D40" s="6">
        <v>26.0</v>
      </c>
      <c r="E40" s="8">
        <v>46217.491071550925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59</v>
      </c>
      <c r="D41" s="6">
        <v>60.0</v>
      </c>
      <c r="E41" s="8">
        <v>46217.4912137963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65.0</v>
      </c>
      <c r="E42" s="8">
        <v>46217.49131486111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21.0</v>
      </c>
      <c r="E43" s="8">
        <v>46217.49141394676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62</v>
      </c>
      <c r="D44" s="6">
        <v>15.0</v>
      </c>
      <c r="E44" s="8">
        <v>46217.491525624995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63</v>
      </c>
      <c r="D45" s="6">
        <v>20.0</v>
      </c>
      <c r="E45" s="8">
        <v>46217.49162908565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64</v>
      </c>
      <c r="D46" s="6">
        <v>52.0</v>
      </c>
      <c r="E46" s="8">
        <v>46217.49494071759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65</v>
      </c>
      <c r="D47" s="6">
        <v>78.0</v>
      </c>
      <c r="E47" s="8">
        <v>46217.497863321754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24.0</v>
      </c>
      <c r="E48" s="8">
        <v>46217.49888122686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67</v>
      </c>
      <c r="D49" s="6">
        <v>125.0</v>
      </c>
      <c r="E49" s="8">
        <v>46217.49905184028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85.0</v>
      </c>
      <c r="E50" s="8">
        <v>46217.499281446755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1.0</v>
      </c>
      <c r="E51" s="8">
        <v>46217.541568113425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2.5</v>
      </c>
      <c r="E52" s="8">
        <v>46217.53637825232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58.0</v>
      </c>
      <c r="E53" s="8">
        <v>46217.53630547454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19.0</v>
      </c>
      <c r="E54" s="8">
        <v>46217.54168064815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5.5</v>
      </c>
      <c r="E55" s="8">
        <v>46217.55393313657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74</v>
      </c>
      <c r="D56" s="6">
        <v>12.0</v>
      </c>
      <c r="E56" s="8">
        <v>46217.5540256713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5.5</v>
      </c>
      <c r="E57" s="8">
        <v>46217.55407972222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2.0</v>
      </c>
      <c r="E58" s="8">
        <v>46217.55432686342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3.0</v>
      </c>
      <c r="C59" s="7" t="s">
        <v>77</v>
      </c>
      <c r="D59" s="6">
        <v>9.0</v>
      </c>
      <c r="E59" s="8">
        <v>46217.55441702546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78</v>
      </c>
      <c r="D60" s="6">
        <v>2.0</v>
      </c>
      <c r="E60" s="8">
        <v>46217.55464954861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79</v>
      </c>
      <c r="D61" s="6">
        <v>98.0</v>
      </c>
      <c r="E61" s="8">
        <v>46217.55477351852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3.0</v>
      </c>
      <c r="E62" s="8">
        <v>46217.555693437505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 t="s">
        <v>81</v>
      </c>
      <c r="C63" s="7" t="s">
        <v>82</v>
      </c>
      <c r="D63" s="33">
        <v>10.0</v>
      </c>
      <c r="E63" s="8">
        <v>46217.555769976854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12.0</v>
      </c>
      <c r="C64" s="7" t="s">
        <v>83</v>
      </c>
      <c r="D64" s="33">
        <v>2.0</v>
      </c>
      <c r="E64" s="8">
        <v>46217.55840512732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84</v>
      </c>
      <c r="D65" s="6">
        <v>4.0</v>
      </c>
      <c r="E65" s="8">
        <v>46217.56902236112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38.0</v>
      </c>
      <c r="E66" s="8">
        <v>46217.57583230324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18.0</v>
      </c>
      <c r="E67" s="8">
        <v>46217.598585879634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24.0</v>
      </c>
      <c r="E68" s="8">
        <v>46217.601010115744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30.0</v>
      </c>
      <c r="E69" s="8">
        <v>46217.60320601852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78</v>
      </c>
      <c r="D70" s="6">
        <v>2.0</v>
      </c>
      <c r="E70" s="8">
        <v>46217.60326310185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8.0</v>
      </c>
      <c r="E71" s="8">
        <v>46217.60912109954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90</v>
      </c>
      <c r="D72" s="6">
        <v>16.0</v>
      </c>
      <c r="E72" s="8">
        <v>46217.60917644676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11.0</v>
      </c>
      <c r="E73" s="8">
        <v>46217.60925767361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24.0</v>
      </c>
      <c r="C74" s="7" t="s">
        <v>92</v>
      </c>
      <c r="D74" s="6">
        <v>11.0</v>
      </c>
      <c r="E74" s="8">
        <v>46217.643840833334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24.0</v>
      </c>
      <c r="E75" s="8">
        <v>46217.65503594908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94</v>
      </c>
      <c r="D76" s="6">
        <v>39.0</v>
      </c>
      <c r="E76" s="8">
        <v>46217.65967429398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95</v>
      </c>
      <c r="D77" s="6">
        <v>39.0</v>
      </c>
      <c r="E77" s="8">
        <v>46217.659734050925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96</v>
      </c>
      <c r="D78" s="6">
        <v>3.0</v>
      </c>
      <c r="E78" s="8">
        <v>46217.71942408565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97</v>
      </c>
      <c r="D79" s="6">
        <v>2.0</v>
      </c>
      <c r="E79" s="8">
        <v>46217.71952138889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98</v>
      </c>
      <c r="D80" s="6">
        <v>10.0</v>
      </c>
      <c r="E80" s="8">
        <v>46217.71982706018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6.0</v>
      </c>
      <c r="C81" s="7" t="s">
        <v>92</v>
      </c>
      <c r="D81" s="6">
        <v>2.5</v>
      </c>
      <c r="E81" s="8">
        <v>46217.720115937496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 t="s">
        <v>99</v>
      </c>
      <c r="C82" s="7" t="s">
        <v>100</v>
      </c>
      <c r="D82" s="6">
        <v>54.0</v>
      </c>
      <c r="E82" s="8">
        <v>46217.72843020833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3.0</v>
      </c>
      <c r="C83" s="7" t="s">
        <v>101</v>
      </c>
      <c r="D83" s="6">
        <v>15.0</v>
      </c>
      <c r="E83" s="8">
        <v>46217.74265454861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20.0</v>
      </c>
      <c r="C84" s="7" t="s">
        <v>102</v>
      </c>
      <c r="D84" s="6">
        <v>160.0</v>
      </c>
      <c r="E84" s="8">
        <v>46217.74364356481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103</v>
      </c>
      <c r="D85" s="6">
        <v>15.5</v>
      </c>
      <c r="E85" s="8">
        <v>46217.74997002315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104</v>
      </c>
      <c r="D86" s="6">
        <v>20.0</v>
      </c>
      <c r="E86" s="8">
        <v>46217.75004208334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2.0</v>
      </c>
      <c r="C87" s="7" t="s">
        <v>105</v>
      </c>
      <c r="D87" s="6">
        <v>35.0</v>
      </c>
      <c r="E87" s="8">
        <v>46217.750113449074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48.0</v>
      </c>
      <c r="C88" s="7" t="s">
        <v>106</v>
      </c>
      <c r="D88" s="6">
        <v>52.0</v>
      </c>
      <c r="E88" s="8">
        <v>46217.7503062037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2.0</v>
      </c>
      <c r="C89" s="7" t="s">
        <v>107</v>
      </c>
      <c r="D89" s="6">
        <v>26.0</v>
      </c>
      <c r="E89" s="8">
        <v>46217.75042655093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 t="s">
        <v>108</v>
      </c>
      <c r="C90" s="7" t="s">
        <v>109</v>
      </c>
      <c r="D90" s="6">
        <v>3.0</v>
      </c>
      <c r="E90" s="8">
        <v>46217.75627856482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110</v>
      </c>
      <c r="D91" s="6">
        <v>20.0</v>
      </c>
      <c r="E91" s="8">
        <v>46217.75634753473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111</v>
      </c>
      <c r="D92" s="6">
        <v>22.0</v>
      </c>
      <c r="E92" s="8">
        <v>46217.75716320601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112</v>
      </c>
      <c r="D93" s="6">
        <v>40.0</v>
      </c>
      <c r="E93" s="8">
        <v>46217.76009039352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113</v>
      </c>
      <c r="D94" s="6">
        <v>10.0</v>
      </c>
      <c r="E94" s="8">
        <v>46217.76016766204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12.0</v>
      </c>
      <c r="C95" s="7" t="s">
        <v>114</v>
      </c>
      <c r="D95" s="6">
        <v>6.0</v>
      </c>
      <c r="E95" s="8">
        <v>46217.76026292824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115</v>
      </c>
      <c r="D96" s="6">
        <v>77.0</v>
      </c>
      <c r="E96" s="8">
        <v>46217.77227659722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116</v>
      </c>
      <c r="D97" s="6">
        <v>16.0</v>
      </c>
      <c r="E97" s="8">
        <v>46217.772307465275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117</v>
      </c>
      <c r="D98" s="6">
        <v>9.0</v>
      </c>
      <c r="E98" s="8">
        <v>46217.77235172453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118</v>
      </c>
      <c r="D99" s="6">
        <v>6.0</v>
      </c>
      <c r="E99" s="8">
        <v>46217.77257734953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4.0</v>
      </c>
      <c r="C100" s="7" t="s">
        <v>119</v>
      </c>
      <c r="D100" s="6">
        <v>40.0</v>
      </c>
      <c r="E100" s="8">
        <v>46217.77264321759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