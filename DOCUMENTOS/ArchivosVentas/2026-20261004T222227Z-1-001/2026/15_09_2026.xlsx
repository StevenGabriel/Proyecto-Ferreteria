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<sst xmlns="http://schemas.openxmlformats.org/spreadsheetml/2006/main" count="92" uniqueCount="89">
  <si>
    <t>HOJA DE CALCULO FERRETERIA</t>
  </si>
  <si>
    <t>CODIGO</t>
  </si>
  <si>
    <t>CANTIDAD</t>
  </si>
  <si>
    <t>DESCRIPCION</t>
  </si>
  <si>
    <t>TOTAL</t>
  </si>
  <si>
    <t>HORA</t>
  </si>
  <si>
    <t>CUADRAR</t>
  </si>
  <si>
    <t>chpa pado bañ</t>
  </si>
  <si>
    <t>termico sica 25</t>
  </si>
  <si>
    <t>MONEDAS</t>
  </si>
  <si>
    <t>CAJA CHICA</t>
  </si>
  <si>
    <t>fresa truper</t>
  </si>
  <si>
    <t>BILLETES 10-20</t>
  </si>
  <si>
    <t>TOTAL VENTAS DIA</t>
  </si>
  <si>
    <t>ramplu 5</t>
  </si>
  <si>
    <t>BILLETES 50-100-200</t>
  </si>
  <si>
    <t>AUMENTO DE DINERO</t>
  </si>
  <si>
    <t>chip</t>
  </si>
  <si>
    <t>INGRESOS YAPE</t>
  </si>
  <si>
    <t>perlon 4</t>
  </si>
  <si>
    <t>INGRESOS TARJETA</t>
  </si>
  <si>
    <t>cinta embalaje</t>
  </si>
  <si>
    <t>GASTOS VARIOS</t>
  </si>
  <si>
    <t xml:space="preserve">tenaza </t>
  </si>
  <si>
    <t>guante asatex</t>
  </si>
  <si>
    <t>DINERO GANADO HOY:</t>
  </si>
  <si>
    <t>CANTIDAD DINERO CAJA:</t>
  </si>
  <si>
    <t>choclera</t>
  </si>
  <si>
    <t>ogre</t>
  </si>
  <si>
    <t>1 kg</t>
  </si>
  <si>
    <t>electrodo</t>
  </si>
  <si>
    <t>par bisaga</t>
  </si>
  <si>
    <t>riel telescop 3,5 x 40</t>
  </si>
  <si>
    <t>repuesto cuchillas</t>
  </si>
  <si>
    <t xml:space="preserve">cuchillas </t>
  </si>
  <si>
    <t>YAPE MAMÁ</t>
  </si>
  <si>
    <t>YAPE PAPÁ</t>
  </si>
  <si>
    <t>YAPE</t>
  </si>
  <si>
    <t>dado 8mm</t>
  </si>
  <si>
    <t>Monto Total YAPE (No tocar):</t>
  </si>
  <si>
    <t>llave yee</t>
  </si>
  <si>
    <t>Monto Total Registrado en aplicacion</t>
  </si>
  <si>
    <t>pistola de riego tr</t>
  </si>
  <si>
    <t>llave combinada 10</t>
  </si>
  <si>
    <t>llave combinada 12</t>
  </si>
  <si>
    <t>escastre 12</t>
  </si>
  <si>
    <t>borca fierro 10</t>
  </si>
  <si>
    <t>calvija hembra</t>
  </si>
  <si>
    <t>ALARGADOR CRRLIENTE</t>
  </si>
  <si>
    <t>PAGOS YAPE</t>
  </si>
  <si>
    <t>DESCRIPCION PAGO</t>
  </si>
  <si>
    <t>espu,a expanciva</t>
  </si>
  <si>
    <t>guante ferrawy</t>
  </si>
  <si>
    <t>calvo 1</t>
  </si>
  <si>
    <t>broca fierro 2,5</t>
  </si>
  <si>
    <t>circular tr</t>
  </si>
  <si>
    <t>flexo 3m tr</t>
  </si>
  <si>
    <t>1kl</t>
  </si>
  <si>
    <t>clavo 2</t>
  </si>
  <si>
    <t>adaptador ultra</t>
  </si>
  <si>
    <t>arandela</t>
  </si>
  <si>
    <t>20m</t>
  </si>
  <si>
    <t>perlon 10</t>
  </si>
  <si>
    <t>candado hr</t>
  </si>
  <si>
    <t>grifo eko 1/2</t>
  </si>
  <si>
    <t>teflon</t>
  </si>
  <si>
    <t>arco mecanico</t>
  </si>
  <si>
    <t>clavo 1</t>
  </si>
  <si>
    <t>cemtnoc ola</t>
  </si>
  <si>
    <t>roldadna</t>
  </si>
  <si>
    <t>combo 2kl</t>
  </si>
  <si>
    <t>combo 1/2kl</t>
  </si>
  <si>
    <t>escamosita 1/2</t>
  </si>
  <si>
    <t>FLEXO 5,5</t>
  </si>
  <si>
    <t>MARTILLO CAHPERO</t>
  </si>
  <si>
    <t>soda caustica</t>
  </si>
  <si>
    <t>ALAMBRE GALVANIZA</t>
  </si>
  <si>
    <t>MANGUERA DOERTWS</t>
  </si>
  <si>
    <t>PIE DE AMIGO</t>
  </si>
  <si>
    <t>ADAPTADOR KONTAK</t>
  </si>
  <si>
    <t>JUEGO DE ACOPLES 1/2</t>
  </si>
  <si>
    <t>CMBO JADEVER</t>
  </si>
  <si>
    <t>M HULE</t>
  </si>
  <si>
    <t>BURLETE 80 CM</t>
  </si>
  <si>
    <t>CAJA GRMKPAS</t>
  </si>
  <si>
    <t>ESCUADRA TRUPER</t>
  </si>
  <si>
    <t>adaptador</t>
  </si>
  <si>
    <t>m lija</t>
  </si>
  <si>
    <t>jaladores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</si>
</sst>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E69138"/>
        <bgColor rgb="FFE6913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280.0</v>
      </c>
      <c r="E8" s="8">
        <v>46280.34687480324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49.0</v>
      </c>
      <c r="E9" s="8">
        <v>46280.35041633101</v>
      </c>
      <c r="F9" s="2"/>
      <c r="G9" s="9" t="s">
        <v>9</v>
      </c>
      <c r="H9" s="10">
        <v>57.5</v>
      </c>
      <c r="I9" s="2"/>
      <c r="J9" s="9" t="s">
        <v>10</v>
      </c>
      <c r="K9" s="10">
        <v>411.5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75.0</v>
      </c>
      <c r="E10" s="8">
        <v>46280.352648078704</v>
      </c>
      <c r="F10" s="2"/>
      <c r="G10" s="9" t="s">
        <v>12</v>
      </c>
      <c r="H10" s="10">
        <v>130.0</v>
      </c>
      <c r="I10" s="2"/>
      <c r="J10" s="9" t="s">
        <v>13</v>
      </c>
      <c r="K10" s="11">
        <f>SUM(PRINCIPAL[TOTAL])</f>
        <v>5091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6.0</v>
      </c>
      <c r="C11" s="7" t="s">
        <v>14</v>
      </c>
      <c r="D11" s="6">
        <v>0.5</v>
      </c>
      <c r="E11" s="8">
        <v>46280.36743025463</v>
      </c>
      <c r="F11" s="2"/>
      <c r="G11" s="9" t="s">
        <v>15</v>
      </c>
      <c r="H11" s="10">
        <v>3700.0</v>
      </c>
      <c r="I11" s="2"/>
      <c r="J11" s="9" t="s">
        <v>16</v>
      </c>
      <c r="K11" s="10">
        <v>300.0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6.0</v>
      </c>
      <c r="C12" s="7" t="s">
        <v>17</v>
      </c>
      <c r="D12" s="6">
        <v>1.0</v>
      </c>
      <c r="E12" s="8">
        <v>46280.36888980324</v>
      </c>
      <c r="F12" s="2"/>
      <c r="G12" s="9" t="s">
        <v>18</v>
      </c>
      <c r="H12" s="12">
        <f>SUM(G24:H361)</f>
        <v>2095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5.0</v>
      </c>
      <c r="E13" s="8">
        <v>46280.3673124537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6.0</v>
      </c>
      <c r="E14" s="8">
        <v>46280.36896439815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120.0</v>
      </c>
      <c r="E15" s="8">
        <v>46280.37039736111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13.0</v>
      </c>
      <c r="E16" s="8">
        <v>46280.37046814815</v>
      </c>
      <c r="F16" s="2"/>
      <c r="G16" s="15" t="s">
        <v>25</v>
      </c>
      <c r="H16" s="16">
        <f>SUM(H9:H14)</f>
        <v>5982.5</v>
      </c>
      <c r="I16" s="3"/>
      <c r="J16" s="15" t="s">
        <v>26</v>
      </c>
      <c r="K16" s="16">
        <f>SUM(K9:K11)</f>
        <v>5802.5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35.0</v>
      </c>
      <c r="E17" s="8">
        <v>46280.373342754625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5.0</v>
      </c>
      <c r="E18" s="8">
        <v>46280.37337751157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180,00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29</v>
      </c>
      <c r="C19" s="7" t="s">
        <v>30</v>
      </c>
      <c r="D19" s="6">
        <v>50.0</v>
      </c>
      <c r="E19" s="8">
        <v>46280.40458894676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12.0</v>
      </c>
      <c r="E20" s="8">
        <v>46280.40477670138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18">
        <v>27.0</v>
      </c>
      <c r="E21" s="8">
        <v>46280.41093362268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19.0</v>
      </c>
      <c r="E22" s="8">
        <v>46280.42537456019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48.0</v>
      </c>
      <c r="E23" s="8">
        <v>46280.42539108796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9.0</v>
      </c>
      <c r="E24" s="8">
        <v>46280.44500206018</v>
      </c>
      <c r="F24" s="2"/>
      <c r="G24" s="23">
        <v>280.0</v>
      </c>
      <c r="H24" s="24"/>
      <c r="I24" s="2"/>
      <c r="J24" s="25" t="s">
        <v>39</v>
      </c>
      <c r="K24" s="26">
        <f>SUM(INGRESOS_YAPE[])</f>
        <v>2095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27">
        <v>29.0</v>
      </c>
      <c r="E25" s="8">
        <v>46280.44510394676</v>
      </c>
      <c r="F25" s="2"/>
      <c r="G25" s="23">
        <v>49.0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27</v>
      </c>
      <c r="D26" s="6">
        <v>35.0</v>
      </c>
      <c r="E26" s="8">
        <v>46280.4502721875</v>
      </c>
      <c r="F26" s="2"/>
      <c r="G26" s="28">
        <v>6.0</v>
      </c>
      <c r="H26" s="24"/>
      <c r="I26" s="2"/>
      <c r="J26" s="29" t="s">
        <v>41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54.0</v>
      </c>
      <c r="E27" s="8">
        <v>46280.45304417824</v>
      </c>
      <c r="F27" s="2"/>
      <c r="G27" s="23">
        <v>120.0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11.0</v>
      </c>
      <c r="E28" s="8">
        <v>46280.455240868054</v>
      </c>
      <c r="F28" s="2"/>
      <c r="G28" s="23">
        <v>38.0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12.0</v>
      </c>
      <c r="E29" s="8">
        <v>46280.45511927083</v>
      </c>
      <c r="F29" s="2"/>
      <c r="G29" s="23">
        <v>35.0</v>
      </c>
      <c r="H29" s="24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2095,00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27">
        <v>124.0</v>
      </c>
      <c r="E30" s="8">
        <v>46280.45927936342</v>
      </c>
      <c r="F30" s="2"/>
      <c r="G30" s="23">
        <v>23.0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87.0</v>
      </c>
      <c r="E31" s="8">
        <v>46280.45922114584</v>
      </c>
      <c r="F31" s="2"/>
      <c r="G31" s="23">
        <v>856.0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11.0</v>
      </c>
      <c r="E32" s="8">
        <v>46280.46070377315</v>
      </c>
      <c r="F32" s="2"/>
      <c r="G32" s="23">
        <v>68.0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21</v>
      </c>
      <c r="D33" s="6">
        <v>18.0</v>
      </c>
      <c r="E33" s="8">
        <v>46280.46523202547</v>
      </c>
      <c r="F33" s="2"/>
      <c r="G33" s="23">
        <v>193.0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40.0</v>
      </c>
      <c r="E34" s="8">
        <v>46280.473237997685</v>
      </c>
      <c r="F34" s="2"/>
      <c r="G34" s="23">
        <v>189.0</v>
      </c>
      <c r="H34" s="24"/>
      <c r="I34" s="2"/>
      <c r="J34" s="32" t="s">
        <v>49</v>
      </c>
      <c r="K34" s="32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51</v>
      </c>
      <c r="D35" s="6">
        <v>160.0</v>
      </c>
      <c r="E35" s="8">
        <v>46280.484068148144</v>
      </c>
      <c r="F35" s="2"/>
      <c r="G35" s="23">
        <v>42.0</v>
      </c>
      <c r="H35" s="24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52</v>
      </c>
      <c r="D36" s="6">
        <v>40.0</v>
      </c>
      <c r="E36" s="8">
        <v>46280.52252737268</v>
      </c>
      <c r="F36" s="2"/>
      <c r="G36" s="23">
        <v>25.0</v>
      </c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20.0</v>
      </c>
      <c r="E37" s="8">
        <v>46280.546441701386</v>
      </c>
      <c r="F37" s="2"/>
      <c r="G37" s="23">
        <v>166.0</v>
      </c>
      <c r="H37" s="24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15.0</v>
      </c>
      <c r="E38" s="8">
        <v>46280.55659388889</v>
      </c>
      <c r="F38" s="2"/>
      <c r="G38" s="23">
        <v>5.0</v>
      </c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1468.0</v>
      </c>
      <c r="E39" s="8">
        <v>46280.56219087963</v>
      </c>
      <c r="F39" s="2"/>
      <c r="G39" s="24"/>
      <c r="H39" s="24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32.0</v>
      </c>
      <c r="E40" s="8">
        <v>46280.56235407408</v>
      </c>
      <c r="F40" s="2"/>
      <c r="G40" s="24"/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 t="s">
        <v>57</v>
      </c>
      <c r="C41" s="7" t="s">
        <v>58</v>
      </c>
      <c r="D41" s="6">
        <v>24.0</v>
      </c>
      <c r="E41" s="8">
        <v>46280.57397121528</v>
      </c>
      <c r="F41" s="2"/>
      <c r="G41" s="24"/>
      <c r="H41" s="24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6.0</v>
      </c>
      <c r="E42" s="8">
        <v>46280.583753125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12.0</v>
      </c>
      <c r="C43" s="7" t="s">
        <v>60</v>
      </c>
      <c r="D43" s="27">
        <v>3.5</v>
      </c>
      <c r="E43" s="8">
        <v>46280.60861148148</v>
      </c>
      <c r="F43" s="2"/>
      <c r="G43" s="24"/>
      <c r="H43" s="24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 t="s">
        <v>61</v>
      </c>
      <c r="C44" s="7" t="s">
        <v>62</v>
      </c>
      <c r="D44" s="6">
        <v>130.0</v>
      </c>
      <c r="E44" s="8">
        <v>46280.6188974074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145.0</v>
      </c>
      <c r="E45" s="8">
        <v>46280.61913086806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64</v>
      </c>
      <c r="D46" s="6">
        <v>500.0</v>
      </c>
      <c r="E46" s="8">
        <v>46280.619233414356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65</v>
      </c>
      <c r="D47" s="6">
        <v>3.0</v>
      </c>
      <c r="E47" s="8">
        <v>46280.61953736111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78.0</v>
      </c>
      <c r="E48" s="8">
        <v>46280.61983980324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57</v>
      </c>
      <c r="C49" s="7" t="s">
        <v>67</v>
      </c>
      <c r="D49" s="6">
        <v>20.0</v>
      </c>
      <c r="E49" s="8">
        <v>46280.63167148148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30.0</v>
      </c>
      <c r="E50" s="8">
        <v>46280.65755208333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68.0</v>
      </c>
      <c r="E51" s="8">
        <v>46280.66016659723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129.0</v>
      </c>
      <c r="E52" s="8">
        <v>46280.66948686342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64.0</v>
      </c>
      <c r="E53" s="8">
        <v>46280.667307766205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25.0</v>
      </c>
      <c r="E54" s="8">
        <v>46280.675540509255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75.0</v>
      </c>
      <c r="E55" s="8">
        <v>46280.683257743054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114.0</v>
      </c>
      <c r="E56" s="8">
        <v>46280.68317780092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42.0</v>
      </c>
      <c r="E57" s="8">
        <v>46280.694229409724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7.0</v>
      </c>
      <c r="C58" s="7" t="s">
        <v>76</v>
      </c>
      <c r="D58" s="6">
        <v>210.0</v>
      </c>
      <c r="E58" s="8">
        <v>46280.696885694444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4.0</v>
      </c>
      <c r="C59" s="7" t="s">
        <v>77</v>
      </c>
      <c r="D59" s="6">
        <v>32.0</v>
      </c>
      <c r="E59" s="8">
        <v>46280.70512922454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78</v>
      </c>
      <c r="D60" s="6">
        <v>6.0</v>
      </c>
      <c r="E60" s="8">
        <v>46280.72784987268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79</v>
      </c>
      <c r="D61" s="6">
        <v>15.0</v>
      </c>
      <c r="E61" s="8">
        <v>46280.73587643518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30.0</v>
      </c>
      <c r="E62" s="8">
        <v>46280.746416643524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25.0</v>
      </c>
      <c r="E63" s="8">
        <v>46280.746821747685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82</v>
      </c>
      <c r="D64" s="6">
        <v>20.0</v>
      </c>
      <c r="E64" s="8">
        <v>46280.75413234954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49.0</v>
      </c>
      <c r="E65" s="8">
        <v>46280.754218587965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15.0</v>
      </c>
      <c r="E66" s="8">
        <v>46280.76214438658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166.0</v>
      </c>
      <c r="E67" s="8">
        <v>46280.76246300926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7.0</v>
      </c>
      <c r="E68" s="8">
        <v>46280.77263651621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0.5</v>
      </c>
      <c r="C69" s="7" t="s">
        <v>87</v>
      </c>
      <c r="D69" s="6">
        <v>5.0</v>
      </c>
      <c r="E69" s="8">
        <v>46280.783363229166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9.0</v>
      </c>
      <c r="C70" s="7" t="s">
        <v>88</v>
      </c>
      <c r="D70" s="6">
        <v>144.0</v>
      </c>
      <c r="E70" s="8">
        <v>46280.78350780092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5"/>
      <c r="D71" s="36"/>
      <c r="E71" s="37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5"/>
      <c r="D72" s="36"/>
      <c r="E72" s="37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5"/>
      <c r="D73" s="36"/>
      <c r="E73" s="37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5"/>
      <c r="D74" s="36"/>
      <c r="E74" s="37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5"/>
      <c r="D75" s="36"/>
      <c r="E75" s="37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5"/>
      <c r="D76" s="36"/>
      <c r="E76" s="37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5"/>
      <c r="D77" s="36"/>
      <c r="E77" s="37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5"/>
      <c r="D78" s="36"/>
      <c r="E78" s="37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5"/>
      <c r="D79" s="36"/>
      <c r="E79" s="37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7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