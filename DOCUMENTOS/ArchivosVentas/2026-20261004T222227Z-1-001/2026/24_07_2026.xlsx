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<sst xmlns="http://schemas.openxmlformats.org/spreadsheetml/2006/main" count="108" uniqueCount="104">
  <si>
    <t>HOJA DE CALCULO FERRETERIA</t>
  </si>
  <si>
    <t>CODIGO</t>
  </si>
  <si>
    <t>CANTIDAD</t>
  </si>
  <si>
    <t>DESCRIPCION</t>
  </si>
  <si>
    <t>TOTAL</t>
  </si>
  <si>
    <t>HORA</t>
  </si>
  <si>
    <t>CUADRAR</t>
  </si>
  <si>
    <t>broca6 fierro</t>
  </si>
  <si>
    <t>brocha fierro 10</t>
  </si>
  <si>
    <t>MONEDAS</t>
  </si>
  <si>
    <t>CAJA CHICA</t>
  </si>
  <si>
    <t>bicolor</t>
  </si>
  <si>
    <t>BILLETES 10-20</t>
  </si>
  <si>
    <t>TOTAL VENTAS DIA</t>
  </si>
  <si>
    <t>guate rt</t>
  </si>
  <si>
    <t>BILLETES 50-100-200</t>
  </si>
  <si>
    <t>AUMENTO DE DINERO</t>
  </si>
  <si>
    <t>8,5m</t>
  </si>
  <si>
    <t>manguera 1/2 forte</t>
  </si>
  <si>
    <t>INGRESOS YAPE</t>
  </si>
  <si>
    <t>adaptador 1/2</t>
  </si>
  <si>
    <t>INGRESOS TARJETA</t>
  </si>
  <si>
    <t>grifo eko 1/2</t>
  </si>
  <si>
    <t>GASTOS VARIOS</t>
  </si>
  <si>
    <t>regulador gas</t>
  </si>
  <si>
    <t>abrazadea 5/8</t>
  </si>
  <si>
    <t>DINERO GANADO HOY:</t>
  </si>
  <si>
    <t>CANTIDAD DINERO CAJA:</t>
  </si>
  <si>
    <t>silicona blaca</t>
  </si>
  <si>
    <t>copla pvvc 3/4</t>
  </si>
  <si>
    <t>pie de amgio</t>
  </si>
  <si>
    <t>pie de amigo</t>
  </si>
  <si>
    <t>ramplus 6</t>
  </si>
  <si>
    <t>chip 4*30</t>
  </si>
  <si>
    <t>adaptador rapido 1/2</t>
  </si>
  <si>
    <t>YAPE MAMÁ</t>
  </si>
  <si>
    <t>YAPE PAPÁ</t>
  </si>
  <si>
    <t>YAPE</t>
  </si>
  <si>
    <t>pico 1/2</t>
  </si>
  <si>
    <t>Monto Total YAPE (No tocar):</t>
  </si>
  <si>
    <t>juego llaces alen</t>
  </si>
  <si>
    <t>a40</t>
  </si>
  <si>
    <t>Monto Total Registrado en aplicacion</t>
  </si>
  <si>
    <t>juego de ganchos</t>
  </si>
  <si>
    <t xml:space="preserve">desarmador clato </t>
  </si>
  <si>
    <t>desarmacdot tr</t>
  </si>
  <si>
    <t>clavo 40mm</t>
  </si>
  <si>
    <t>clavo 25mm</t>
  </si>
  <si>
    <t>carbon 476</t>
  </si>
  <si>
    <t>sopapa lavaplatos</t>
  </si>
  <si>
    <t>grifo plastico botellon</t>
  </si>
  <si>
    <t>PAGOS YAPE</t>
  </si>
  <si>
    <t>DESCRIPCION PAGO</t>
  </si>
  <si>
    <t>filtro</t>
  </si>
  <si>
    <t>adaptadr 1/2</t>
  </si>
  <si>
    <t>adaptador de pila 1/2</t>
  </si>
  <si>
    <t>ramplu 8</t>
  </si>
  <si>
    <t>chip 5x5</t>
  </si>
  <si>
    <t>8m</t>
  </si>
  <si>
    <t>soga plastica 5/32</t>
  </si>
  <si>
    <t>pomada soldar</t>
  </si>
  <si>
    <t>3m</t>
  </si>
  <si>
    <t>manguera 3/4</t>
  </si>
  <si>
    <t>lima redonda 6</t>
  </si>
  <si>
    <t>llave pipa 8</t>
  </si>
  <si>
    <t>espuma expanciv</t>
  </si>
  <si>
    <t>10m</t>
  </si>
  <si>
    <t>perlon 3</t>
  </si>
  <si>
    <t>codo 1/2 tigre</t>
  </si>
  <si>
    <t>silciona sika trans</t>
  </si>
  <si>
    <t>silicona bla sika</t>
  </si>
  <si>
    <t>ramplu 10</t>
  </si>
  <si>
    <t>tirafondo 5/16x21/2</t>
  </si>
  <si>
    <t>pegatanke negro</t>
  </si>
  <si>
    <t>chip 4.5x35</t>
  </si>
  <si>
    <t>2m</t>
  </si>
  <si>
    <t>mala milimatrica</t>
  </si>
  <si>
    <t>6m</t>
  </si>
  <si>
    <t>manguera nivel 3/8</t>
  </si>
  <si>
    <t>SILICONA BLANCA</t>
  </si>
  <si>
    <t>PRESINTO</t>
  </si>
  <si>
    <t>RJ.45</t>
  </si>
  <si>
    <t>DISCO FLAP</t>
  </si>
  <si>
    <t>disco plto</t>
  </si>
  <si>
    <t>broca 6 concreto</t>
  </si>
  <si>
    <t>ramplu 6</t>
  </si>
  <si>
    <t>chp 4 x 25</t>
  </si>
  <si>
    <t>bipolar 16</t>
  </si>
  <si>
    <t>cubrecable 10x10</t>
  </si>
  <si>
    <t>toma sobreponer</t>
  </si>
  <si>
    <t>tapa plastica</t>
  </si>
  <si>
    <t>dado 12 uyus</t>
  </si>
  <si>
    <t>arandelas</t>
  </si>
  <si>
    <t>disco galeta norton</t>
  </si>
  <si>
    <t>sika 1</t>
  </si>
  <si>
    <t>armellas</t>
  </si>
  <si>
    <t>pistola para soldar uyus</t>
  </si>
  <si>
    <t>precinto 20cm</t>
  </si>
  <si>
    <t>pica 4</t>
  </si>
  <si>
    <t>pica de 2</t>
  </si>
  <si>
    <t>1 kg</t>
  </si>
  <si>
    <t>clavo belbra</t>
  </si>
  <si>
    <t>toma schn</t>
  </si>
  <si>
    <t>per hex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</si>
</sst>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17.0</v>
      </c>
      <c r="E8" s="8">
        <v>46227.37410508102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52.0</v>
      </c>
      <c r="E9" s="8">
        <v>46227.37421650463</v>
      </c>
      <c r="F9" s="2"/>
      <c r="G9" s="9" t="s">
        <v>9</v>
      </c>
      <c r="H9" s="10">
        <v>130.0</v>
      </c>
      <c r="I9" s="2"/>
      <c r="J9" s="9" t="s">
        <v>10</v>
      </c>
      <c r="K9" s="10">
        <v>379.5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3.5</v>
      </c>
      <c r="E10" s="8">
        <v>46227.37782451389</v>
      </c>
      <c r="F10" s="2"/>
      <c r="G10" s="9" t="s">
        <v>12</v>
      </c>
      <c r="H10" s="10">
        <v>410.0</v>
      </c>
      <c r="I10" s="2"/>
      <c r="J10" s="9" t="s">
        <v>13</v>
      </c>
      <c r="K10" s="11">
        <f>SUM(PRINCIPAL[TOTAL])</f>
        <v>2469.5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18.0</v>
      </c>
      <c r="E11" s="8">
        <v>46227.37787020834</v>
      </c>
      <c r="F11" s="2"/>
      <c r="G11" s="9" t="s">
        <v>15</v>
      </c>
      <c r="H11" s="10">
        <v>1550.0</v>
      </c>
      <c r="I11" s="2"/>
      <c r="J11" s="9" t="s">
        <v>16</v>
      </c>
      <c r="K11" s="10">
        <v>30.0</v>
      </c>
      <c r="L11" s="2"/>
      <c r="M11" s="2"/>
      <c r="N11" s="2"/>
      <c r="O11" s="2"/>
      <c r="P11" s="2"/>
      <c r="Q11" s="2"/>
    </row>
    <row r="12" ht="22.5" customHeight="1">
      <c r="A12" s="6"/>
      <c r="B12" s="6" t="s">
        <v>17</v>
      </c>
      <c r="C12" s="7" t="s">
        <v>18</v>
      </c>
      <c r="D12" s="6">
        <v>68.0</v>
      </c>
      <c r="E12" s="8">
        <v>46227.38543414352</v>
      </c>
      <c r="F12" s="2"/>
      <c r="G12" s="9" t="s">
        <v>19</v>
      </c>
      <c r="H12" s="12">
        <f>SUM(G24:H361)</f>
        <v>807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8.0</v>
      </c>
      <c r="E13" s="8">
        <v>46227.385497083334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120.0</v>
      </c>
      <c r="E14" s="8">
        <v>46227.38813865741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38.0</v>
      </c>
      <c r="E15" s="8">
        <v>46227.38825921297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2.0</v>
      </c>
      <c r="E16" s="8">
        <v>46227.38833574074</v>
      </c>
      <c r="F16" s="2"/>
      <c r="G16" s="15" t="s">
        <v>26</v>
      </c>
      <c r="H16" s="16">
        <f>SUM(H9:H14)</f>
        <v>2897</v>
      </c>
      <c r="I16" s="3"/>
      <c r="J16" s="15" t="s">
        <v>27</v>
      </c>
      <c r="K16" s="16">
        <f>SUM(K9:K11)</f>
        <v>2879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26.0</v>
      </c>
      <c r="E17" s="8">
        <v>46227.39659592592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3.0</v>
      </c>
      <c r="E18" s="8">
        <v>46227.39714075231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18,00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3.0</v>
      </c>
      <c r="E19" s="8">
        <v>46227.41732435185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6.0</v>
      </c>
      <c r="C20" s="7" t="s">
        <v>31</v>
      </c>
      <c r="D20" s="6">
        <v>6.0</v>
      </c>
      <c r="E20" s="8">
        <v>46227.417386597226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6.0</v>
      </c>
      <c r="C21" s="7" t="s">
        <v>32</v>
      </c>
      <c r="D21" s="6">
        <v>0.5</v>
      </c>
      <c r="E21" s="8">
        <v>46227.41744518519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12.0</v>
      </c>
      <c r="C22" s="7" t="s">
        <v>33</v>
      </c>
      <c r="D22" s="6">
        <v>2.5</v>
      </c>
      <c r="E22" s="8">
        <v>46227.41755586806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34</v>
      </c>
      <c r="D23" s="6">
        <v>24.0</v>
      </c>
      <c r="E23" s="8">
        <v>46227.460714016204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3.0</v>
      </c>
      <c r="C24" s="7" t="s">
        <v>38</v>
      </c>
      <c r="D24" s="6">
        <v>21.0</v>
      </c>
      <c r="E24" s="8">
        <v>46227.46055253472</v>
      </c>
      <c r="F24" s="2"/>
      <c r="G24" s="22">
        <v>40.0</v>
      </c>
      <c r="H24" s="23"/>
      <c r="I24" s="2"/>
      <c r="J24" s="24" t="s">
        <v>39</v>
      </c>
      <c r="K24" s="25">
        <f>SUM(INGRESOS_YAPE[])</f>
        <v>807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67.0</v>
      </c>
      <c r="E25" s="8">
        <v>46227.47912427083</v>
      </c>
      <c r="F25" s="2"/>
      <c r="G25" s="22">
        <v>12.0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31.0</v>
      </c>
      <c r="E26" s="8">
        <v>46227.49206209491</v>
      </c>
      <c r="F26" s="2"/>
      <c r="G26" s="26">
        <v>45.0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61.0</v>
      </c>
      <c r="E27" s="8">
        <v>46227.49217469907</v>
      </c>
      <c r="F27" s="2"/>
      <c r="G27" s="22">
        <v>344.0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32.0</v>
      </c>
      <c r="E28" s="8">
        <v>46227.49242800926</v>
      </c>
      <c r="F28" s="2"/>
      <c r="G28" s="22">
        <v>12.0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31.0</v>
      </c>
      <c r="E29" s="8">
        <v>46227.50529126158</v>
      </c>
      <c r="F29" s="2"/>
      <c r="G29" s="22">
        <v>82.0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807,00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46</v>
      </c>
      <c r="D30" s="6">
        <v>210.0</v>
      </c>
      <c r="E30" s="8">
        <v>46227.50878591435</v>
      </c>
      <c r="F30" s="2"/>
      <c r="G30" s="22">
        <v>41.0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47</v>
      </c>
      <c r="D31" s="6">
        <v>134.0</v>
      </c>
      <c r="E31" s="8">
        <v>46227.50892357639</v>
      </c>
      <c r="F31" s="2"/>
      <c r="G31" s="22">
        <v>12.0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22.0</v>
      </c>
      <c r="E32" s="8">
        <v>46227.509010231486</v>
      </c>
      <c r="F32" s="2"/>
      <c r="G32" s="22">
        <v>28.0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49</v>
      </c>
      <c r="D33" s="6">
        <v>60.0</v>
      </c>
      <c r="E33" s="8">
        <v>46227.50909034722</v>
      </c>
      <c r="F33" s="2"/>
      <c r="G33" s="22">
        <v>157.0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17.0</v>
      </c>
      <c r="E34" s="8">
        <v>46227.51399950232</v>
      </c>
      <c r="F34" s="2"/>
      <c r="G34" s="22">
        <v>9.0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25.0</v>
      </c>
      <c r="E35" s="8">
        <v>46227.52254208333</v>
      </c>
      <c r="F35" s="2"/>
      <c r="G35" s="22">
        <v>25.0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8.0</v>
      </c>
      <c r="E36" s="8">
        <v>46227.52263152778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55</v>
      </c>
      <c r="D37" s="6">
        <v>14.0</v>
      </c>
      <c r="E37" s="8">
        <v>46227.522770497686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6.0</v>
      </c>
      <c r="C38" s="7" t="s">
        <v>56</v>
      </c>
      <c r="D38" s="6">
        <v>1.0</v>
      </c>
      <c r="E38" s="8">
        <v>46227.52550553241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6.0</v>
      </c>
      <c r="C39" s="7" t="s">
        <v>57</v>
      </c>
      <c r="D39" s="6">
        <v>2.0</v>
      </c>
      <c r="E39" s="8">
        <v>46227.525715069445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 t="s">
        <v>58</v>
      </c>
      <c r="C40" s="7" t="s">
        <v>59</v>
      </c>
      <c r="D40" s="6">
        <v>12.0</v>
      </c>
      <c r="E40" s="8">
        <v>46227.532964259255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15.0</v>
      </c>
      <c r="E41" s="8">
        <v>46227.54198232639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 t="s">
        <v>61</v>
      </c>
      <c r="C42" s="7" t="s">
        <v>62</v>
      </c>
      <c r="D42" s="6">
        <v>42.0</v>
      </c>
      <c r="E42" s="8">
        <v>46227.54402266204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29.0</v>
      </c>
      <c r="E43" s="8">
        <v>46227.545342303245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27.0</v>
      </c>
      <c r="E44" s="8">
        <v>46227.57556111111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65</v>
      </c>
      <c r="D45" s="6">
        <v>57.0</v>
      </c>
      <c r="E45" s="8">
        <v>46227.576621747685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66</v>
      </c>
      <c r="C46" s="7" t="s">
        <v>67</v>
      </c>
      <c r="D46" s="6">
        <v>15.0</v>
      </c>
      <c r="E46" s="8">
        <v>46227.57676467593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68</v>
      </c>
      <c r="D47" s="6">
        <v>8.0</v>
      </c>
      <c r="E47" s="8">
        <v>46227.580429733796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69</v>
      </c>
      <c r="D48" s="6">
        <v>40.0</v>
      </c>
      <c r="E48" s="8">
        <v>46227.5895062037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40.0</v>
      </c>
      <c r="E49" s="8">
        <v>46227.58958542824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6.0</v>
      </c>
      <c r="C50" s="7" t="s">
        <v>71</v>
      </c>
      <c r="D50" s="6">
        <v>2.0</v>
      </c>
      <c r="E50" s="8">
        <v>46227.60821196759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6.0</v>
      </c>
      <c r="C51" s="7" t="s">
        <v>72</v>
      </c>
      <c r="D51" s="6">
        <v>6.5</v>
      </c>
      <c r="E51" s="8">
        <v>46227.60839354167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73</v>
      </c>
      <c r="D52" s="6">
        <v>82.0</v>
      </c>
      <c r="E52" s="8">
        <v>46227.608533645835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6.0</v>
      </c>
      <c r="C53" s="7" t="s">
        <v>74</v>
      </c>
      <c r="D53" s="6">
        <v>1.5</v>
      </c>
      <c r="E53" s="8">
        <v>46227.611743773145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75</v>
      </c>
      <c r="C54" s="7" t="s">
        <v>76</v>
      </c>
      <c r="D54" s="6">
        <v>40.0</v>
      </c>
      <c r="E54" s="8">
        <v>46227.611854930554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77</v>
      </c>
      <c r="C55" s="7" t="s">
        <v>78</v>
      </c>
      <c r="D55" s="6">
        <v>39.0</v>
      </c>
      <c r="E55" s="8">
        <v>46227.61334790509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79</v>
      </c>
      <c r="D56" s="6">
        <v>126.0</v>
      </c>
      <c r="E56" s="8">
        <v>46227.62008306713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80</v>
      </c>
      <c r="D57" s="6">
        <v>28.0</v>
      </c>
      <c r="E57" s="8">
        <v>46227.627174953705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81</v>
      </c>
      <c r="D58" s="33">
        <v>6.0</v>
      </c>
      <c r="E58" s="8">
        <v>46227.63116304398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82</v>
      </c>
      <c r="D59" s="6">
        <v>12.0</v>
      </c>
      <c r="E59" s="8">
        <v>46227.63676738426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83</v>
      </c>
      <c r="D60" s="6">
        <v>28.0</v>
      </c>
      <c r="E60" s="8">
        <v>46227.64150429398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84</v>
      </c>
      <c r="D61" s="6">
        <v>18.0</v>
      </c>
      <c r="E61" s="8">
        <v>46227.6452571875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18.0</v>
      </c>
      <c r="C62" s="7" t="s">
        <v>85</v>
      </c>
      <c r="D62" s="6">
        <v>1.5</v>
      </c>
      <c r="E62" s="8">
        <v>46227.646510949075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12.0</v>
      </c>
      <c r="C63" s="7" t="s">
        <v>86</v>
      </c>
      <c r="D63" s="6">
        <v>2.5</v>
      </c>
      <c r="E63" s="8">
        <v>46227.646660300925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 t="s">
        <v>66</v>
      </c>
      <c r="C64" s="7" t="s">
        <v>87</v>
      </c>
      <c r="D64" s="6">
        <v>115.0</v>
      </c>
      <c r="E64" s="8">
        <v>46227.64684103009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6.0</v>
      </c>
      <c r="C65" s="7" t="s">
        <v>74</v>
      </c>
      <c r="D65" s="6">
        <v>1.5</v>
      </c>
      <c r="E65" s="8">
        <v>46227.64698082176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88</v>
      </c>
      <c r="D66" s="6">
        <v>12.0</v>
      </c>
      <c r="E66" s="8">
        <v>46227.64738228009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89</v>
      </c>
      <c r="D67" s="6">
        <v>8.0</v>
      </c>
      <c r="E67" s="8">
        <v>46227.64747144676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90</v>
      </c>
      <c r="D68" s="6">
        <v>60.0</v>
      </c>
      <c r="E68" s="8">
        <v>46227.67079899306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91</v>
      </c>
      <c r="D69" s="33">
        <v>14.0</v>
      </c>
      <c r="E69" s="8">
        <v>46227.67433417824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10.0</v>
      </c>
      <c r="C70" s="7" t="s">
        <v>92</v>
      </c>
      <c r="D70" s="33">
        <v>6.5</v>
      </c>
      <c r="E70" s="8">
        <v>46227.674403819445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93</v>
      </c>
      <c r="D71" s="6">
        <v>9.0</v>
      </c>
      <c r="E71" s="8">
        <v>46227.67667891204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94</v>
      </c>
      <c r="D72" s="6">
        <v>27.0</v>
      </c>
      <c r="E72" s="8">
        <v>46227.67928831019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95</v>
      </c>
      <c r="D73" s="6">
        <v>2.0</v>
      </c>
      <c r="E73" s="8">
        <v>46227.688177881944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95</v>
      </c>
      <c r="D74" s="6">
        <v>2.0</v>
      </c>
      <c r="E74" s="8">
        <v>46227.68821694444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96</v>
      </c>
      <c r="D75" s="33">
        <v>239.0</v>
      </c>
      <c r="E75" s="8">
        <v>46227.70340140046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97</v>
      </c>
      <c r="D76" s="6">
        <v>25.0</v>
      </c>
      <c r="E76" s="8">
        <v>46227.706481875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98</v>
      </c>
      <c r="D77" s="6">
        <v>42.0</v>
      </c>
      <c r="E77" s="8">
        <v>46227.72454268519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99</v>
      </c>
      <c r="D78" s="6">
        <v>42.0</v>
      </c>
      <c r="E78" s="8">
        <v>46227.72466258102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 t="s">
        <v>100</v>
      </c>
      <c r="C79" s="7" t="s">
        <v>101</v>
      </c>
      <c r="D79" s="6">
        <v>20.0</v>
      </c>
      <c r="E79" s="8">
        <v>46227.74651546296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48</v>
      </c>
      <c r="D80" s="6">
        <v>24.0</v>
      </c>
      <c r="E80" s="8">
        <v>46227.74943653935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102</v>
      </c>
      <c r="D81" s="6">
        <v>10.0</v>
      </c>
      <c r="E81" s="8">
        <v>46227.75044743056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2.0</v>
      </c>
      <c r="C82" s="7" t="s">
        <v>103</v>
      </c>
      <c r="D82" s="6">
        <v>5.0</v>
      </c>
      <c r="E82" s="8">
        <v>46227.773418888886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