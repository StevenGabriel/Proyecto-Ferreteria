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<sst xmlns="http://schemas.openxmlformats.org/spreadsheetml/2006/main" count="120" uniqueCount="117">
  <si>
    <t>HOJA DE CALCULO FERRETERIA</t>
  </si>
  <si>
    <t>CODIGO</t>
  </si>
  <si>
    <t>CANTIDAD</t>
  </si>
  <si>
    <t>DESCRIPCION</t>
  </si>
  <si>
    <t>TOTAL</t>
  </si>
  <si>
    <t>HORA</t>
  </si>
  <si>
    <t>CUADRAR</t>
  </si>
  <si>
    <t>esquinero yeso</t>
  </si>
  <si>
    <t>carbon 172</t>
  </si>
  <si>
    <t>MONEDAS</t>
  </si>
  <si>
    <t>CAJA CHICA</t>
  </si>
  <si>
    <t>caja rectangular</t>
  </si>
  <si>
    <t>BILLETES 10-20</t>
  </si>
  <si>
    <t>TOTAL VENTAS DIA</t>
  </si>
  <si>
    <t>5m</t>
  </si>
  <si>
    <t>lija 120</t>
  </si>
  <si>
    <t>BILLETES 50-100-200</t>
  </si>
  <si>
    <t>AUMENTO DE DINERO</t>
  </si>
  <si>
    <t>clavo 3/4</t>
  </si>
  <si>
    <t>INGRESOS YAPE</t>
  </si>
  <si>
    <t>pie de amigo</t>
  </si>
  <si>
    <t>INGRESOS TARJETA</t>
  </si>
  <si>
    <t>gotita</t>
  </si>
  <si>
    <t>GASTOS VARIOS</t>
  </si>
  <si>
    <t>chinche</t>
  </si>
  <si>
    <t>aldaba</t>
  </si>
  <si>
    <t>DINERO GANADO HOY:</t>
  </si>
  <si>
    <t>CANTIDAD DINERO CAJA:</t>
  </si>
  <si>
    <t>desarmador reversible</t>
  </si>
  <si>
    <t>teflon</t>
  </si>
  <si>
    <t>wd40</t>
  </si>
  <si>
    <t>2.5m</t>
  </si>
  <si>
    <t>malla milometrica 1m</t>
  </si>
  <si>
    <t>6m</t>
  </si>
  <si>
    <t>manguera nivel 5/16</t>
  </si>
  <si>
    <t>ducha lorenzety</t>
  </si>
  <si>
    <t>alicate punta</t>
  </si>
  <si>
    <t>YAPE MAMÁ</t>
  </si>
  <si>
    <t>YAPE PAPÁ</t>
  </si>
  <si>
    <t>YAPE</t>
  </si>
  <si>
    <t>modulo toma cafe</t>
  </si>
  <si>
    <t>Monto Total YAPE (No tocar):</t>
  </si>
  <si>
    <t>clavo 25mm</t>
  </si>
  <si>
    <t>clavo 45mm</t>
  </si>
  <si>
    <t>Monto Total Registrado en aplicacion</t>
  </si>
  <si>
    <t>hoja de cepillo tr</t>
  </si>
  <si>
    <t>2par</t>
  </si>
  <si>
    <t>bisagra 3.5 royal</t>
  </si>
  <si>
    <t>6par</t>
  </si>
  <si>
    <t>riel telescopica 35cm</t>
  </si>
  <si>
    <t>picaporte</t>
  </si>
  <si>
    <t>broca de madera 4</t>
  </si>
  <si>
    <t>chip 5x80</t>
  </si>
  <si>
    <t>ramplu 7</t>
  </si>
  <si>
    <t>PAGOS YAPE</t>
  </si>
  <si>
    <t>DESCRIPCION PAGO</t>
  </si>
  <si>
    <t>llave pipa 10</t>
  </si>
  <si>
    <t>silicona negra</t>
  </si>
  <si>
    <t>pistola siliocna</t>
  </si>
  <si>
    <t>punta para inflar</t>
  </si>
  <si>
    <t>llave combinada 15</t>
  </si>
  <si>
    <t>sellador pared blanco</t>
  </si>
  <si>
    <t>guante</t>
  </si>
  <si>
    <t>guante ferrawi</t>
  </si>
  <si>
    <t>alicate sacabocado</t>
  </si>
  <si>
    <t>pistola para pinasr</t>
  </si>
  <si>
    <t>grifo plastico</t>
  </si>
  <si>
    <t>slicona transparente</t>
  </si>
  <si>
    <t>reversible</t>
  </si>
  <si>
    <t>yute</t>
  </si>
  <si>
    <t>wd 40</t>
  </si>
  <si>
    <t>picporte</t>
  </si>
  <si>
    <t>raspador</t>
  </si>
  <si>
    <t>repueo de raspador</t>
  </si>
  <si>
    <t>disco concreto 7</t>
  </si>
  <si>
    <t>dobre contacto 3/4</t>
  </si>
  <si>
    <t>mascarillas</t>
  </si>
  <si>
    <t>filto antipolvo</t>
  </si>
  <si>
    <t>marcarilla de un filtro</t>
  </si>
  <si>
    <t>escamosita 1/2kl</t>
  </si>
  <si>
    <t>carpicol 75ml</t>
  </si>
  <si>
    <t>silicoan americna</t>
  </si>
  <si>
    <t>1par</t>
  </si>
  <si>
    <t>bisagras</t>
  </si>
  <si>
    <t>tuvo led 120cm</t>
  </si>
  <si>
    <t>masa corrida</t>
  </si>
  <si>
    <t>latex blaco</t>
  </si>
  <si>
    <t>pigmento amarillo</t>
  </si>
  <si>
    <t>armellas</t>
  </si>
  <si>
    <t>chip 4x40</t>
  </si>
  <si>
    <t>autoperforantes</t>
  </si>
  <si>
    <t>gafas</t>
  </si>
  <si>
    <t>kg alambre</t>
  </si>
  <si>
    <t>clavo</t>
  </si>
  <si>
    <t xml:space="preserve">masquin </t>
  </si>
  <si>
    <t>precinto</t>
  </si>
  <si>
    <t>candado</t>
  </si>
  <si>
    <t>ciinta embaleja</t>
  </si>
  <si>
    <t>cinta cromada</t>
  </si>
  <si>
    <t>disoc fierro 4</t>
  </si>
  <si>
    <t>disco panadino</t>
  </si>
  <si>
    <t>disco desbaste</t>
  </si>
  <si>
    <t>llave pipa8</t>
  </si>
  <si>
    <t>stilete truper</t>
  </si>
  <si>
    <t>broca ierro deboer 3</t>
  </si>
  <si>
    <t>punta philipo</t>
  </si>
  <si>
    <t>rtv</t>
  </si>
  <si>
    <t>codo</t>
  </si>
  <si>
    <t>adaptador hm</t>
  </si>
  <si>
    <t>0,5 mt</t>
  </si>
  <si>
    <t>cañeria</t>
  </si>
  <si>
    <t xml:space="preserve">adaptador  </t>
  </si>
  <si>
    <t>adaptador</t>
  </si>
  <si>
    <t>tapa astra</t>
  </si>
  <si>
    <t>cubre cable 20*10</t>
  </si>
  <si>
    <t>juego de llaves alem</t>
  </si>
  <si>
    <t>juedo de llaves torc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</si>
</sst>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1" fillId="9" fontId="5" numFmtId="0" xfId="0" applyAlignment="1" applyBorder="1" applyFill="1" applyFont="1">
      <alignment horizontal="center" readingOrder="0" shrinkToFit="0" vertical="center" wrapText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3.0</v>
      </c>
      <c r="C8" s="7" t="s">
        <v>7</v>
      </c>
      <c r="D8" s="6">
        <v>90.0</v>
      </c>
      <c r="E8" s="8">
        <v>46199.359879895834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28.0</v>
      </c>
      <c r="E9" s="8">
        <v>46199.3638175463</v>
      </c>
      <c r="F9" s="2"/>
      <c r="G9" s="9" t="s">
        <v>9</v>
      </c>
      <c r="H9" s="10">
        <v>53.5</v>
      </c>
      <c r="I9" s="2"/>
      <c r="J9" s="9" t="s">
        <v>10</v>
      </c>
      <c r="K9" s="10">
        <v>735.5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4.0</v>
      </c>
      <c r="E10" s="8">
        <v>46199.36824113426</v>
      </c>
      <c r="F10" s="2"/>
      <c r="G10" s="9" t="s">
        <v>12</v>
      </c>
      <c r="H10" s="10">
        <v>370.0</v>
      </c>
      <c r="I10" s="2"/>
      <c r="J10" s="9" t="s">
        <v>13</v>
      </c>
      <c r="K10" s="11">
        <f>SUM(PRINCIPAL[TOTAL])</f>
        <v>3242.5</v>
      </c>
      <c r="L10" s="2"/>
      <c r="M10" s="2"/>
      <c r="N10" s="2"/>
      <c r="O10" s="2"/>
      <c r="P10" s="2"/>
      <c r="Q10" s="2"/>
    </row>
    <row r="11" ht="22.5" customHeight="1">
      <c r="A11" s="6"/>
      <c r="B11" s="6" t="s">
        <v>14</v>
      </c>
      <c r="C11" s="7" t="s">
        <v>15</v>
      </c>
      <c r="D11" s="6">
        <v>50.0</v>
      </c>
      <c r="E11" s="8">
        <v>46199.3970000463</v>
      </c>
      <c r="F11" s="2"/>
      <c r="G11" s="9" t="s">
        <v>16</v>
      </c>
      <c r="H11" s="10">
        <v>2450.0</v>
      </c>
      <c r="I11" s="2"/>
      <c r="J11" s="9" t="s">
        <v>17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18</v>
      </c>
      <c r="D12" s="6">
        <v>52.0</v>
      </c>
      <c r="E12" s="8">
        <v>46199.40490862269</v>
      </c>
      <c r="F12" s="2"/>
      <c r="G12" s="9" t="s">
        <v>19</v>
      </c>
      <c r="H12" s="12">
        <f>SUM(G24:H361)</f>
        <v>1158.5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5.0</v>
      </c>
      <c r="C13" s="7" t="s">
        <v>20</v>
      </c>
      <c r="D13" s="6">
        <v>90.0</v>
      </c>
      <c r="E13" s="8">
        <v>46199.42502502315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11.0</v>
      </c>
      <c r="E14" s="8">
        <v>46199.427677789354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7.0</v>
      </c>
      <c r="E15" s="8">
        <v>46199.427738287035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5.0</v>
      </c>
      <c r="E16" s="8">
        <v>46199.42778087963</v>
      </c>
      <c r="F16" s="2"/>
      <c r="G16" s="15" t="s">
        <v>26</v>
      </c>
      <c r="H16" s="16">
        <f>SUM(H9:H14)</f>
        <v>4032</v>
      </c>
      <c r="I16" s="3"/>
      <c r="J16" s="15" t="s">
        <v>27</v>
      </c>
      <c r="K16" s="16">
        <f>SUM(K9:K11)</f>
        <v>3978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10.0</v>
      </c>
      <c r="E17" s="8">
        <v>46199.42789178241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29</v>
      </c>
      <c r="D18" s="6">
        <v>5.0</v>
      </c>
      <c r="E18" s="8">
        <v>46199.427944201394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54,00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95.0</v>
      </c>
      <c r="E19" s="8">
        <v>46199.44580534722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 t="s">
        <v>31</v>
      </c>
      <c r="C20" s="7" t="s">
        <v>32</v>
      </c>
      <c r="D20" s="6">
        <v>46.5</v>
      </c>
      <c r="E20" s="8">
        <v>46199.46693594907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 t="s">
        <v>33</v>
      </c>
      <c r="C21" s="7" t="s">
        <v>34</v>
      </c>
      <c r="D21" s="6">
        <v>30.0</v>
      </c>
      <c r="E21" s="8">
        <v>46199.47240842592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35</v>
      </c>
      <c r="D22" s="6">
        <v>155.0</v>
      </c>
      <c r="E22" s="8">
        <v>46199.4814644213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36</v>
      </c>
      <c r="D23" s="6">
        <v>28.0</v>
      </c>
      <c r="E23" s="8">
        <v>46199.48205622685</v>
      </c>
      <c r="F23" s="2"/>
      <c r="G23" s="19" t="s">
        <v>37</v>
      </c>
      <c r="H23" s="19" t="s">
        <v>38</v>
      </c>
      <c r="I23" s="2"/>
      <c r="J23" s="20" t="s">
        <v>39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40</v>
      </c>
      <c r="D24" s="6">
        <v>10.0</v>
      </c>
      <c r="E24" s="8">
        <v>46199.48216332176</v>
      </c>
      <c r="F24" s="2"/>
      <c r="G24" s="22">
        <v>52.0</v>
      </c>
      <c r="H24" s="23"/>
      <c r="I24" s="2"/>
      <c r="J24" s="24" t="s">
        <v>41</v>
      </c>
      <c r="K24" s="25">
        <f>SUM(INGRESOS_YAPE[])</f>
        <v>1158.5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42</v>
      </c>
      <c r="D25" s="6">
        <v>63.0</v>
      </c>
      <c r="E25" s="8">
        <v>46199.48407559028</v>
      </c>
      <c r="F25" s="2"/>
      <c r="G25" s="22">
        <v>30.0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43</v>
      </c>
      <c r="D26" s="6">
        <v>112.0</v>
      </c>
      <c r="E26" s="8">
        <v>46199.48423152778</v>
      </c>
      <c r="F26" s="2"/>
      <c r="G26" s="26">
        <v>155.0</v>
      </c>
      <c r="H26" s="23"/>
      <c r="I26" s="2"/>
      <c r="J26" s="27" t="s">
        <v>44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45</v>
      </c>
      <c r="D27" s="29">
        <v>67.0</v>
      </c>
      <c r="E27" s="8">
        <v>46199.48436299768</v>
      </c>
      <c r="F27" s="2"/>
      <c r="G27" s="22">
        <v>242.0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 t="s">
        <v>46</v>
      </c>
      <c r="C28" s="7" t="s">
        <v>47</v>
      </c>
      <c r="D28" s="29">
        <v>16.0</v>
      </c>
      <c r="E28" s="8">
        <v>46199.484922118056</v>
      </c>
      <c r="F28" s="2"/>
      <c r="G28" s="22">
        <v>138.0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 t="s">
        <v>48</v>
      </c>
      <c r="C29" s="7" t="s">
        <v>49</v>
      </c>
      <c r="D29" s="29">
        <v>138.0</v>
      </c>
      <c r="E29" s="8">
        <v>46199.4892121875</v>
      </c>
      <c r="F29" s="2"/>
      <c r="G29" s="22">
        <v>43.0</v>
      </c>
      <c r="H29" s="23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1158,50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50</v>
      </c>
      <c r="D30" s="6">
        <v>38.0</v>
      </c>
      <c r="E30" s="8">
        <v>46199.50039107639</v>
      </c>
      <c r="F30" s="2"/>
      <c r="G30" s="22">
        <v>1.0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51</v>
      </c>
      <c r="D31" s="6">
        <v>6.5</v>
      </c>
      <c r="E31" s="8">
        <v>46199.50668467593</v>
      </c>
      <c r="F31" s="2"/>
      <c r="G31" s="22">
        <v>29.0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49</v>
      </c>
      <c r="D32" s="29">
        <v>25.0</v>
      </c>
      <c r="E32" s="8">
        <v>46199.50676761574</v>
      </c>
      <c r="F32" s="2"/>
      <c r="G32" s="22">
        <v>83.0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4.0</v>
      </c>
      <c r="C33" s="7" t="s">
        <v>52</v>
      </c>
      <c r="D33" s="6">
        <v>3.0</v>
      </c>
      <c r="E33" s="8">
        <v>46199.50691465278</v>
      </c>
      <c r="F33" s="2"/>
      <c r="G33" s="22">
        <v>130.0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4.0</v>
      </c>
      <c r="C34" s="7" t="s">
        <v>53</v>
      </c>
      <c r="D34" s="6">
        <v>0.5</v>
      </c>
      <c r="E34" s="8">
        <v>46199.507041875</v>
      </c>
      <c r="F34" s="2"/>
      <c r="G34" s="22">
        <v>26.0</v>
      </c>
      <c r="H34" s="23"/>
      <c r="I34" s="2"/>
      <c r="J34" s="31" t="s">
        <v>54</v>
      </c>
      <c r="K34" s="31" t="s">
        <v>55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56</v>
      </c>
      <c r="D35" s="6">
        <v>30.0</v>
      </c>
      <c r="E35" s="8">
        <v>46199.513855324076</v>
      </c>
      <c r="F35" s="2"/>
      <c r="G35" s="22">
        <v>121.0</v>
      </c>
      <c r="H35" s="23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57</v>
      </c>
      <c r="D36" s="6">
        <v>26.0</v>
      </c>
      <c r="E36" s="8">
        <v>46199.51391724537</v>
      </c>
      <c r="F36" s="2"/>
      <c r="G36" s="22">
        <v>76.0</v>
      </c>
      <c r="H36" s="23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58</v>
      </c>
      <c r="D37" s="6">
        <v>17.0</v>
      </c>
      <c r="E37" s="8">
        <v>46199.514058437504</v>
      </c>
      <c r="F37" s="2"/>
      <c r="G37" s="22">
        <v>16.5</v>
      </c>
      <c r="H37" s="23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59</v>
      </c>
      <c r="D38" s="6">
        <v>1.0</v>
      </c>
      <c r="E38" s="8">
        <v>46199.51656377315</v>
      </c>
      <c r="F38" s="2"/>
      <c r="G38" s="22">
        <v>16.0</v>
      </c>
      <c r="H38" s="23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60</v>
      </c>
      <c r="D39" s="6">
        <v>23.0</v>
      </c>
      <c r="E39" s="8">
        <v>46199.52280034722</v>
      </c>
      <c r="F39" s="2"/>
      <c r="G39" s="23"/>
      <c r="H39" s="23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61</v>
      </c>
      <c r="D40" s="6">
        <v>110.0</v>
      </c>
      <c r="E40" s="8">
        <v>46199.56159232639</v>
      </c>
      <c r="F40" s="2"/>
      <c r="G40" s="23"/>
      <c r="H40" s="23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62</v>
      </c>
      <c r="D41" s="6">
        <v>15.0</v>
      </c>
      <c r="E41" s="8">
        <v>46199.57794185185</v>
      </c>
      <c r="F41" s="2"/>
      <c r="G41" s="23"/>
      <c r="H41" s="23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63</v>
      </c>
      <c r="D42" s="6">
        <v>14.0</v>
      </c>
      <c r="E42" s="8">
        <v>46199.57812883102</v>
      </c>
      <c r="F42" s="2"/>
      <c r="G42" s="23"/>
      <c r="H42" s="23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64</v>
      </c>
      <c r="D43" s="29">
        <v>83.0</v>
      </c>
      <c r="E43" s="8">
        <v>46199.58265523148</v>
      </c>
      <c r="F43" s="2"/>
      <c r="G43" s="23"/>
      <c r="H43" s="23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65</v>
      </c>
      <c r="D44" s="6">
        <v>344.0</v>
      </c>
      <c r="E44" s="8">
        <v>46199.5854679051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66</v>
      </c>
      <c r="D45" s="6">
        <v>15.0</v>
      </c>
      <c r="E45" s="8">
        <v>46199.58942798611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67</v>
      </c>
      <c r="D46" s="6">
        <v>26.0</v>
      </c>
      <c r="E46" s="8">
        <v>46199.599105810186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68</v>
      </c>
      <c r="D47" s="6">
        <v>8.0</v>
      </c>
      <c r="E47" s="8">
        <v>46199.6132537963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3.0</v>
      </c>
      <c r="C48" s="7" t="s">
        <v>69</v>
      </c>
      <c r="D48" s="6">
        <v>18.0</v>
      </c>
      <c r="E48" s="8">
        <v>46199.645185416666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70</v>
      </c>
      <c r="D49" s="6">
        <v>90.0</v>
      </c>
      <c r="E49" s="8">
        <v>46199.64549216435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71</v>
      </c>
      <c r="D50" s="6">
        <v>10.0</v>
      </c>
      <c r="E50" s="8">
        <v>46199.64552131944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72</v>
      </c>
      <c r="D51" s="6">
        <v>20.0</v>
      </c>
      <c r="E51" s="8">
        <v>46199.64556606481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73</v>
      </c>
      <c r="D52" s="6">
        <v>10.0</v>
      </c>
      <c r="E52" s="8">
        <v>46199.64561599537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74</v>
      </c>
      <c r="D53" s="6">
        <v>106.0</v>
      </c>
      <c r="E53" s="8">
        <v>46199.647946516205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75</v>
      </c>
      <c r="D54" s="6">
        <v>15.0</v>
      </c>
      <c r="E54" s="8">
        <v>46199.648072199074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76</v>
      </c>
      <c r="D55" s="6">
        <v>6.0</v>
      </c>
      <c r="E55" s="8">
        <v>46199.64816002315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77</v>
      </c>
      <c r="D56" s="6">
        <v>22.0</v>
      </c>
      <c r="E56" s="8">
        <v>46199.6482828125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78</v>
      </c>
      <c r="D57" s="6">
        <v>80.0</v>
      </c>
      <c r="E57" s="8">
        <v>46199.64878909722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29</v>
      </c>
      <c r="D58" s="6">
        <v>2.5</v>
      </c>
      <c r="E58" s="8">
        <v>46199.6489733912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79</v>
      </c>
      <c r="D59" s="6">
        <v>22.0</v>
      </c>
      <c r="E59" s="8">
        <v>46199.649088564816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7.0</v>
      </c>
      <c r="C60" s="7" t="s">
        <v>20</v>
      </c>
      <c r="D60" s="6">
        <v>7.0</v>
      </c>
      <c r="E60" s="8">
        <v>46199.667428726854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80</v>
      </c>
      <c r="D61" s="6">
        <v>8.0</v>
      </c>
      <c r="E61" s="8">
        <v>46199.667615983795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81</v>
      </c>
      <c r="D62" s="6">
        <v>26.0</v>
      </c>
      <c r="E62" s="8">
        <v>46199.682172395835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 t="s">
        <v>82</v>
      </c>
      <c r="C63" s="7" t="s">
        <v>83</v>
      </c>
      <c r="D63" s="29">
        <v>16.0</v>
      </c>
      <c r="E63" s="8">
        <v>46199.691467743054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84</v>
      </c>
      <c r="D64" s="6">
        <v>24.0</v>
      </c>
      <c r="E64" s="8">
        <v>46199.69168953704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85</v>
      </c>
      <c r="D65" s="6">
        <v>29.0</v>
      </c>
      <c r="E65" s="8">
        <v>46199.69176556713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86</v>
      </c>
      <c r="D66" s="6">
        <v>42.0</v>
      </c>
      <c r="E66" s="8">
        <v>46199.69182298611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87</v>
      </c>
      <c r="D67" s="6">
        <v>10.0</v>
      </c>
      <c r="E67" s="8">
        <v>46199.69234291666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2.0</v>
      </c>
      <c r="C68" s="7" t="s">
        <v>88</v>
      </c>
      <c r="D68" s="6">
        <v>0.7</v>
      </c>
      <c r="E68" s="8">
        <v>46199.69253020833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12.0</v>
      </c>
      <c r="C69" s="7" t="s">
        <v>89</v>
      </c>
      <c r="D69" s="6">
        <v>2.8</v>
      </c>
      <c r="E69" s="8">
        <v>46199.692629074074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6.0</v>
      </c>
      <c r="C70" s="7" t="s">
        <v>90</v>
      </c>
      <c r="D70" s="6">
        <v>1.0</v>
      </c>
      <c r="E70" s="8">
        <v>46199.692760833335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2.0</v>
      </c>
      <c r="C71" s="7" t="s">
        <v>91</v>
      </c>
      <c r="D71" s="6">
        <v>52.0</v>
      </c>
      <c r="E71" s="8">
        <v>46199.70173010416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92</v>
      </c>
      <c r="D72" s="6">
        <v>38.0</v>
      </c>
      <c r="E72" s="8">
        <v>46199.70193109954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93</v>
      </c>
      <c r="D73" s="6">
        <v>24.0</v>
      </c>
      <c r="E73" s="8">
        <v>46199.70200284722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6.0</v>
      </c>
      <c r="C74" s="7" t="s">
        <v>94</v>
      </c>
      <c r="D74" s="6">
        <v>78.0</v>
      </c>
      <c r="E74" s="8">
        <v>46199.70454900463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6.0</v>
      </c>
      <c r="C75" s="7" t="s">
        <v>95</v>
      </c>
      <c r="D75" s="6">
        <v>99.0</v>
      </c>
      <c r="E75" s="8">
        <v>46199.70451480324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96</v>
      </c>
      <c r="D76" s="6">
        <v>22.0</v>
      </c>
      <c r="E76" s="8">
        <v>46199.70646202547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97</v>
      </c>
      <c r="D77" s="6">
        <v>10.0</v>
      </c>
      <c r="E77" s="8">
        <v>46199.70651391204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98</v>
      </c>
      <c r="D78" s="6">
        <v>17.0</v>
      </c>
      <c r="E78" s="8">
        <v>46199.706562060186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10.0</v>
      </c>
      <c r="C79" s="7" t="s">
        <v>99</v>
      </c>
      <c r="D79" s="6">
        <v>40.0</v>
      </c>
      <c r="E79" s="8">
        <v>46199.7079515625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2.0</v>
      </c>
      <c r="C80" s="7" t="s">
        <v>100</v>
      </c>
      <c r="D80" s="6">
        <v>24.0</v>
      </c>
      <c r="E80" s="8">
        <v>46199.70809695602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101</v>
      </c>
      <c r="D81" s="6">
        <v>12.0</v>
      </c>
      <c r="E81" s="8">
        <v>46199.708171990744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102</v>
      </c>
      <c r="D82" s="6">
        <v>27.0</v>
      </c>
      <c r="E82" s="8">
        <v>46199.715190057876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4.0</v>
      </c>
      <c r="C83" s="7" t="s">
        <v>103</v>
      </c>
      <c r="D83" s="6">
        <v>44.0</v>
      </c>
      <c r="E83" s="8">
        <v>46199.71792728009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2.0</v>
      </c>
      <c r="C84" s="7" t="s">
        <v>104</v>
      </c>
      <c r="D84" s="6">
        <v>20.0</v>
      </c>
      <c r="E84" s="8">
        <v>46199.741186851854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105</v>
      </c>
      <c r="D85" s="6">
        <v>4.0</v>
      </c>
      <c r="E85" s="8">
        <v>46199.74128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106</v>
      </c>
      <c r="D86" s="6">
        <v>21.0</v>
      </c>
      <c r="E86" s="8">
        <v>46199.75469667824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107</v>
      </c>
      <c r="D87" s="6">
        <v>3.5</v>
      </c>
      <c r="E87" s="8">
        <v>46199.75595673611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108</v>
      </c>
      <c r="D88" s="6">
        <v>3.5</v>
      </c>
      <c r="E88" s="8">
        <v>46199.756187754625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 t="s">
        <v>109</v>
      </c>
      <c r="C89" s="7" t="s">
        <v>110</v>
      </c>
      <c r="D89" s="6">
        <v>4.0</v>
      </c>
      <c r="E89" s="8">
        <v>46199.756707141205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111</v>
      </c>
      <c r="D90" s="6">
        <v>5.0</v>
      </c>
      <c r="E90" s="8">
        <v>46199.75706246527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112</v>
      </c>
      <c r="D91" s="6">
        <v>13.0</v>
      </c>
      <c r="E91" s="8">
        <v>46199.757232557866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113</v>
      </c>
      <c r="D92" s="6">
        <v>55.0</v>
      </c>
      <c r="E92" s="8">
        <v>46199.760569826394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2.0</v>
      </c>
      <c r="C93" s="7" t="s">
        <v>114</v>
      </c>
      <c r="D93" s="6">
        <v>16.0</v>
      </c>
      <c r="E93" s="8">
        <v>46199.763098599535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115</v>
      </c>
      <c r="D94" s="6">
        <v>80.0</v>
      </c>
      <c r="E94" s="8">
        <v>46199.77301101852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116</v>
      </c>
      <c r="D95" s="6">
        <v>65.0</v>
      </c>
      <c r="E95" s="8">
        <v>46199.77317685186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