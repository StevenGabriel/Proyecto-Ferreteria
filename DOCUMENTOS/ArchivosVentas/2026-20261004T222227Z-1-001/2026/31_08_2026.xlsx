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<sst xmlns="http://schemas.openxmlformats.org/spreadsheetml/2006/main" count="128" uniqueCount="121">
  <si>
    <t>HOJA DE CALCULO FERRETERIA</t>
  </si>
  <si>
    <t>CODIGO</t>
  </si>
  <si>
    <t>CANTIDAD</t>
  </si>
  <si>
    <t>DESCRIPCION</t>
  </si>
  <si>
    <t>TOTAL</t>
  </si>
  <si>
    <t>HORA</t>
  </si>
  <si>
    <t>CUADRAR</t>
  </si>
  <si>
    <t>flexo hadever</t>
  </si>
  <si>
    <t>cemento cola inox</t>
  </si>
  <si>
    <t>MONEDAS</t>
  </si>
  <si>
    <t>CAJA CHICA</t>
  </si>
  <si>
    <t>palo d ombo</t>
  </si>
  <si>
    <t>BILLETES 10-20</t>
  </si>
  <si>
    <t>TOTAL VENTAS DIA</t>
  </si>
  <si>
    <t>perno</t>
  </si>
  <si>
    <t>BILLETES 50-100-200</t>
  </si>
  <si>
    <t>AUMENTO DE DINERO</t>
  </si>
  <si>
    <t>plastico 1.5m</t>
  </si>
  <si>
    <t>INGRESOS YAPE</t>
  </si>
  <si>
    <t>disco ceramica uyus</t>
  </si>
  <si>
    <t>INGRESOS TARJETA</t>
  </si>
  <si>
    <t>llave de amoladrora</t>
  </si>
  <si>
    <t>GASTOS VARIOS</t>
  </si>
  <si>
    <t>masa acrilica</t>
  </si>
  <si>
    <t>broha 11/2 atlas</t>
  </si>
  <si>
    <t>DINERO GANADO HOY:</t>
  </si>
  <si>
    <t>CANTIDAD DINERO CAJA:</t>
  </si>
  <si>
    <t>broca irwin cocnerto 6</t>
  </si>
  <si>
    <t>broca irwin cocnerto 5</t>
  </si>
  <si>
    <t>ramplu 5</t>
  </si>
  <si>
    <t>broca cobalt 4,5</t>
  </si>
  <si>
    <t>bisagra rino</t>
  </si>
  <si>
    <t>6doc</t>
  </si>
  <si>
    <t>chip 4x30</t>
  </si>
  <si>
    <t>flotador 3/4</t>
  </si>
  <si>
    <t>YAPE MAMÁ</t>
  </si>
  <si>
    <t>YAPE PAPÁ</t>
  </si>
  <si>
    <t>YAPE</t>
  </si>
  <si>
    <t>codo 3/4 tigre</t>
  </si>
  <si>
    <t>Monto Total YAPE (No tocar):</t>
  </si>
  <si>
    <t>teflon</t>
  </si>
  <si>
    <t>llave stilson 10</t>
  </si>
  <si>
    <t>Monto Total Registrado en aplicacion</t>
  </si>
  <si>
    <t>chapa travex 700</t>
  </si>
  <si>
    <t>debor fierro 9</t>
  </si>
  <si>
    <t>broca irwin fierro 8</t>
  </si>
  <si>
    <t>regleta dos ultra</t>
  </si>
  <si>
    <t>abrazadera redonda</t>
  </si>
  <si>
    <t>placa 25a 4entradas</t>
  </si>
  <si>
    <t>placa shuco</t>
  </si>
  <si>
    <t>modulo shuco blaca</t>
  </si>
  <si>
    <t>PAGOS YAPE</t>
  </si>
  <si>
    <t>DESCRIPCION PAGO</t>
  </si>
  <si>
    <t>clavija 15a</t>
  </si>
  <si>
    <t>ramplu 6</t>
  </si>
  <si>
    <t>chi 4x40</t>
  </si>
  <si>
    <t>1/2m</t>
  </si>
  <si>
    <t>bipolar 14</t>
  </si>
  <si>
    <t>grido fv</t>
  </si>
  <si>
    <t>clefa 100ml</t>
  </si>
  <si>
    <t>tensor tr</t>
  </si>
  <si>
    <t>adaptadro 1/2</t>
  </si>
  <si>
    <t>codo desague 2</t>
  </si>
  <si>
    <t>desagur 2</t>
  </si>
  <si>
    <t>ESCAMOCITA</t>
  </si>
  <si>
    <t>CHAELCO REFEC</t>
  </si>
  <si>
    <t>ADAPTDOR CORRIENTE</t>
  </si>
  <si>
    <t>CLAVO 50MM</t>
  </si>
  <si>
    <t>PLACA TRIPLE</t>
  </si>
  <si>
    <t>MOPDULO TOM</t>
  </si>
  <si>
    <t>MODULO INTERRUPTOR</t>
  </si>
  <si>
    <t>GUANTE DOBLE GOMA</t>
  </si>
  <si>
    <t>MEDIDO DE PSROCN</t>
  </si>
  <si>
    <t>DESARMADOR REVERSIBLE</t>
  </si>
  <si>
    <t>RODAPIE 11/2</t>
  </si>
  <si>
    <t>GRAMPA 25MM</t>
  </si>
  <si>
    <t>GRAMPA 19MM</t>
  </si>
  <si>
    <t>CLAVO 64MM</t>
  </si>
  <si>
    <t>CINTA EMBALAJE</t>
  </si>
  <si>
    <t>4M</t>
  </si>
  <si>
    <t>PLASTICO CRISTAL</t>
  </si>
  <si>
    <t>AEROSOL NEGRO MATE</t>
  </si>
  <si>
    <t>LIJA AGUA</t>
  </si>
  <si>
    <t>TAPO 3/4 PVC</t>
  </si>
  <si>
    <t>PAR BIARA 11/2</t>
  </si>
  <si>
    <t>CCHIP 3X126</t>
  </si>
  <si>
    <t>ARMELLA</t>
  </si>
  <si>
    <t>TESADOR</t>
  </si>
  <si>
    <t>1 KG</t>
  </si>
  <si>
    <t>ALAMBRE GALV</t>
  </si>
  <si>
    <t>ARNIZ</t>
  </si>
  <si>
    <t>DUCHA</t>
  </si>
  <si>
    <t>RESISENCIA</t>
  </si>
  <si>
    <t>DESARMADR</t>
  </si>
  <si>
    <t>BROCHA</t>
  </si>
  <si>
    <t>RODILLO ATLAS</t>
  </si>
  <si>
    <t>CANDOO HERME</t>
  </si>
  <si>
    <t>TUERCAS</t>
  </si>
  <si>
    <t xml:space="preserve">SILICONA AMERICAN </t>
  </si>
  <si>
    <t>LIJA 80</t>
  </si>
  <si>
    <t>LIJA100</t>
  </si>
  <si>
    <t>MASA acrilica</t>
  </si>
  <si>
    <t>TIZA</t>
  </si>
  <si>
    <t>LIJA 240</t>
  </si>
  <si>
    <t>LIJA 220</t>
  </si>
  <si>
    <t>CLAVO  TRUPER</t>
  </si>
  <si>
    <t>SILCOAN AKFI</t>
  </si>
  <si>
    <t>SILICONA AKFI</t>
  </si>
  <si>
    <t>SILIOCON APOLUFUR</t>
  </si>
  <si>
    <t>DUCHA LORENZER</t>
  </si>
  <si>
    <t>SICON AMERICAN</t>
  </si>
  <si>
    <t>DESARMADO TURPEA</t>
  </si>
  <si>
    <t>DESARMDOR TRUPER</t>
  </si>
  <si>
    <t>SIERRA MECANICA TRUER</t>
  </si>
  <si>
    <t>DISCO COPA 4</t>
  </si>
  <si>
    <t>M SOGA PERLON</t>
  </si>
  <si>
    <t>WINCHA  TOLSE</t>
  </si>
  <si>
    <t>GOMA GARR</t>
  </si>
  <si>
    <t>BISAGRA PISPOT</t>
  </si>
  <si>
    <t>TEFLON</t>
  </si>
  <si>
    <t>CONECTOR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</si>
</sst>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21.0</v>
      </c>
      <c r="E8" s="8">
        <v>46265.38597376157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/v>
      </c>
      <c r="E9" s="8">
        <v>46265.386054884264</v>
      </c>
      <c r="F9" s="2"/>
      <c r="G9" s="9" t="s">
        <v>9</v>
      </c>
      <c r="H9" s="10">
        <v>82.5</v>
      </c>
      <c r="I9" s="2"/>
      <c r="J9" s="9" t="s">
        <v>10</v>
      </c>
      <c r="K9" s="10">
        <v>630.0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1">
        <v>15.0</v>
      </c>
      <c r="E10" s="8">
        <v>46265.391120995366</v>
      </c>
      <c r="F10" s="2"/>
      <c r="G10" s="9" t="s">
        <v>12</v>
      </c>
      <c r="H10" s="10">
        <v>370.0</v>
      </c>
      <c r="I10" s="2"/>
      <c r="J10" s="9" t="s">
        <v>13</v>
      </c>
      <c r="K10" s="12">
        <f>SUM(PRINCIPAL[TOTAL])</f>
        <v>5665.5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11">
        <v>0.5</v>
      </c>
      <c r="E11" s="8">
        <v>46265.394573171296</v>
      </c>
      <c r="F11" s="2"/>
      <c r="G11" s="9" t="s">
        <v>15</v>
      </c>
      <c r="H11" s="10">
        <v>2650.0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10.0</v>
      </c>
      <c r="C12" s="7" t="s">
        <v>17</v>
      </c>
      <c r="D12" s="6">
        <v>90.0</v>
      </c>
      <c r="E12" s="8">
        <v>46265.414791296294</v>
      </c>
      <c r="F12" s="2"/>
      <c r="G12" s="9" t="s">
        <v>18</v>
      </c>
      <c r="H12" s="13">
        <f>SUM(G24:H361)</f>
        <v>3393.5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6">
        <v>29.0</v>
      </c>
      <c r="E13" s="8">
        <v>46265.4259952662</v>
      </c>
      <c r="F13" s="2"/>
      <c r="G13" s="9" t="s">
        <v>20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11">
        <v>13.0</v>
      </c>
      <c r="E14" s="8">
        <v>46265.426152789354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6">
        <v>36.0</v>
      </c>
      <c r="E15" s="8">
        <v>46265.43473872685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2.0</v>
      </c>
      <c r="C16" s="7" t="s">
        <v>24</v>
      </c>
      <c r="D16" s="6">
        <v>18.0</v>
      </c>
      <c r="E16" s="8">
        <v>46265.449790416664</v>
      </c>
      <c r="F16" s="2"/>
      <c r="G16" s="16" t="s">
        <v>25</v>
      </c>
      <c r="H16" s="17">
        <f>SUM(H9:H14)</f>
        <v>6496</v>
      </c>
      <c r="I16" s="3"/>
      <c r="J16" s="16" t="s">
        <v>26</v>
      </c>
      <c r="K16" s="17">
        <f>SUM(K9:K11)</f>
        <v>6295.5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2.0</v>
      </c>
      <c r="C17" s="7" t="s">
        <v>27</v>
      </c>
      <c r="D17" s="6">
        <v>44.0</v>
      </c>
      <c r="E17" s="8">
        <v>46265.456797997685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2.0</v>
      </c>
      <c r="C18" s="7" t="s">
        <v>28</v>
      </c>
      <c r="D18" s="6">
        <v>42.0</v>
      </c>
      <c r="E18" s="8">
        <v>46265.456999699076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200,50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36.0</v>
      </c>
      <c r="C19" s="7" t="s">
        <v>29</v>
      </c>
      <c r="D19" s="6">
        <v>3.0</v>
      </c>
      <c r="E19" s="8">
        <v>46265.457085601854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6">
        <v>15.0</v>
      </c>
      <c r="E20" s="8">
        <v>46265.46444571759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5.0</v>
      </c>
      <c r="C21" s="7" t="s">
        <v>31</v>
      </c>
      <c r="D21" s="6">
        <v>140.0</v>
      </c>
      <c r="E21" s="8">
        <v>46265.50030609954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 t="s">
        <v>32</v>
      </c>
      <c r="C22" s="7" t="s">
        <v>33</v>
      </c>
      <c r="D22" s="6">
        <v>15.0</v>
      </c>
      <c r="E22" s="8">
        <v>46265.50040267361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34</v>
      </c>
      <c r="D23" s="6">
        <v>135.0</v>
      </c>
      <c r="E23" s="8">
        <v>46265.50055527777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38</v>
      </c>
      <c r="D24" s="6">
        <v>5.5</v>
      </c>
      <c r="E24" s="8">
        <v>46265.5006594213</v>
      </c>
      <c r="F24" s="2"/>
      <c r="G24" s="23">
        <v>90.0</v>
      </c>
      <c r="H24" s="24"/>
      <c r="I24" s="2"/>
      <c r="J24" s="25" t="s">
        <v>39</v>
      </c>
      <c r="K24" s="26">
        <f>SUM(INGRESOS_YAPE[])</f>
        <v>3393.5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40</v>
      </c>
      <c r="D25" s="6">
        <v>2.5</v>
      </c>
      <c r="E25" s="8">
        <v>46265.500710312495</v>
      </c>
      <c r="F25" s="2"/>
      <c r="G25" s="23">
        <v>29.0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41</v>
      </c>
      <c r="D26" s="6">
        <v>35.0</v>
      </c>
      <c r="E26" s="8">
        <v>46265.500826180556</v>
      </c>
      <c r="F26" s="2"/>
      <c r="G26" s="27">
        <v>13.0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43</v>
      </c>
      <c r="D27" s="6">
        <v>275.0</v>
      </c>
      <c r="E27" s="8">
        <v>46265.50919069444</v>
      </c>
      <c r="F27" s="2"/>
      <c r="G27" s="23">
        <v>15.0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44</v>
      </c>
      <c r="D28" s="6">
        <v>56.0</v>
      </c>
      <c r="E28" s="8">
        <v>46265.51492377315</v>
      </c>
      <c r="F28" s="2"/>
      <c r="G28" s="23">
        <v>178.0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45</v>
      </c>
      <c r="D29" s="6">
        <v>57.0</v>
      </c>
      <c r="E29" s="8">
        <v>46265.514951053236</v>
      </c>
      <c r="F29" s="2"/>
      <c r="G29" s="23">
        <v>275.0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3393,50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46</v>
      </c>
      <c r="D30" s="6">
        <v>16.0</v>
      </c>
      <c r="E30" s="8">
        <v>46265.515062418985</v>
      </c>
      <c r="F30" s="2"/>
      <c r="G30" s="23">
        <v>28.0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4.0</v>
      </c>
      <c r="C31" s="7" t="s">
        <v>47</v>
      </c>
      <c r="D31" s="6">
        <v>12.0</v>
      </c>
      <c r="E31" s="8">
        <v>46265.51513789352</v>
      </c>
      <c r="F31" s="2"/>
      <c r="G31" s="23">
        <v>172.5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48</v>
      </c>
      <c r="D32" s="6">
        <v>99.0</v>
      </c>
      <c r="E32" s="8">
        <v>46265.518971840276</v>
      </c>
      <c r="F32" s="2"/>
      <c r="G32" s="23">
        <v>75.0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49</v>
      </c>
      <c r="D33" s="6">
        <v>10.0</v>
      </c>
      <c r="E33" s="8">
        <v>46265.519100335645</v>
      </c>
      <c r="F33" s="2"/>
      <c r="G33" s="23">
        <v>17.0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50</v>
      </c>
      <c r="D34" s="6">
        <v>36.0</v>
      </c>
      <c r="E34" s="8">
        <v>46265.51921474537</v>
      </c>
      <c r="F34" s="2"/>
      <c r="G34" s="23">
        <v>60.0</v>
      </c>
      <c r="H34" s="24"/>
      <c r="I34" s="2"/>
      <c r="J34" s="31" t="s">
        <v>51</v>
      </c>
      <c r="K34" s="31" t="s">
        <v>52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53</v>
      </c>
      <c r="D35" s="6">
        <v>15.0</v>
      </c>
      <c r="E35" s="8">
        <v>46265.51937390046</v>
      </c>
      <c r="F35" s="2"/>
      <c r="G35" s="23">
        <v>8.0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12.0</v>
      </c>
      <c r="C36" s="7" t="s">
        <v>54</v>
      </c>
      <c r="D36" s="6">
        <v>1.0</v>
      </c>
      <c r="E36" s="8">
        <v>46265.51951431713</v>
      </c>
      <c r="F36" s="2"/>
      <c r="G36" s="23">
        <v>251.0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12.0</v>
      </c>
      <c r="C37" s="7" t="s">
        <v>55</v>
      </c>
      <c r="D37" s="6">
        <v>3.0</v>
      </c>
      <c r="E37" s="8">
        <v>46265.51959229167</v>
      </c>
      <c r="F37" s="2"/>
      <c r="G37" s="23">
        <v>4.0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 t="s">
        <v>56</v>
      </c>
      <c r="C38" s="7" t="s">
        <v>57</v>
      </c>
      <c r="D38" s="6">
        <v>8.5</v>
      </c>
      <c r="E38" s="8">
        <v>46265.51980841435</v>
      </c>
      <c r="F38" s="2"/>
      <c r="G38" s="23">
        <v>90.0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58</v>
      </c>
      <c r="D39" s="6">
        <v>75.0</v>
      </c>
      <c r="E39" s="8">
        <v>46265.55227627315</v>
      </c>
      <c r="F39" s="2"/>
      <c r="G39" s="23">
        <v>26.0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59</v>
      </c>
      <c r="D40" s="6">
        <v>17.0</v>
      </c>
      <c r="E40" s="8">
        <v>46265.55818597222</v>
      </c>
      <c r="F40" s="2"/>
      <c r="G40" s="23">
        <v>1352.0</v>
      </c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2.0</v>
      </c>
      <c r="C41" s="7" t="s">
        <v>60</v>
      </c>
      <c r="D41" s="6">
        <v>36.0</v>
      </c>
      <c r="E41" s="8">
        <v>46265.57132855324</v>
      </c>
      <c r="F41" s="2"/>
      <c r="G41" s="23">
        <v>510.0</v>
      </c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2.0</v>
      </c>
      <c r="C42" s="7" t="s">
        <v>60</v>
      </c>
      <c r="D42" s="6">
        <v>24.0</v>
      </c>
      <c r="E42" s="8">
        <v>46265.57138548611</v>
      </c>
      <c r="F42" s="2"/>
      <c r="G42" s="23">
        <v>200.0</v>
      </c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61</v>
      </c>
      <c r="D43" s="6">
        <v>2.5</v>
      </c>
      <c r="E43" s="8">
        <v>46265.579262280095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62</v>
      </c>
      <c r="D44" s="6">
        <v>5.0</v>
      </c>
      <c r="E44" s="8">
        <v>46265.579233020835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 t="s">
        <v>56</v>
      </c>
      <c r="C45" s="7" t="s">
        <v>63</v>
      </c>
      <c r="D45" s="6">
        <v>6.5</v>
      </c>
      <c r="E45" s="8">
        <v>46265.57912862269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8</v>
      </c>
      <c r="D46" s="6">
        <v>31.0</v>
      </c>
      <c r="E46" s="8">
        <v>46265.60254015046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64</v>
      </c>
      <c r="D47" s="6">
        <v>25.0</v>
      </c>
      <c r="E47" s="8">
        <v>46265.62362438657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3.0</v>
      </c>
      <c r="C48" s="7" t="s">
        <v>65</v>
      </c>
      <c r="D48" s="6">
        <v>60.0</v>
      </c>
      <c r="E48" s="8">
        <v>46265.624596759255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66</v>
      </c>
      <c r="D49" s="6">
        <v>8.0</v>
      </c>
      <c r="E49" s="8">
        <v>46265.62470755787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67</v>
      </c>
      <c r="D50" s="6">
        <v>145.0</v>
      </c>
      <c r="E50" s="8">
        <v>46265.64467811343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68</v>
      </c>
      <c r="D51" s="6">
        <v>10.0</v>
      </c>
      <c r="E51" s="8">
        <v>46265.646823229166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2.0</v>
      </c>
      <c r="C52" s="7" t="s">
        <v>69</v>
      </c>
      <c r="D52" s="6">
        <v>10.0</v>
      </c>
      <c r="E52" s="8">
        <v>46265.64692328704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70</v>
      </c>
      <c r="D53" s="6">
        <v>20.0</v>
      </c>
      <c r="E53" s="8">
        <v>46265.64701005787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71</v>
      </c>
      <c r="D54" s="6">
        <v>17.0</v>
      </c>
      <c r="E54" s="8">
        <v>46265.64784884259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6">
        <v>1.0</v>
      </c>
      <c r="B55" s="6">
        <v>1.0</v>
      </c>
      <c r="C55" s="7" t="s">
        <v>72</v>
      </c>
      <c r="D55" s="6">
        <v>96.0</v>
      </c>
      <c r="E55" s="8">
        <v>46265.659954953706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2.0</v>
      </c>
      <c r="C56" s="7" t="s">
        <v>73</v>
      </c>
      <c r="D56" s="6">
        <v>26.0</v>
      </c>
      <c r="E56" s="8">
        <v>46265.671086145834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2.0</v>
      </c>
      <c r="C57" s="7" t="s">
        <v>73</v>
      </c>
      <c r="D57" s="6">
        <v>16.0</v>
      </c>
      <c r="E57" s="8">
        <v>46265.67120592593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19.0</v>
      </c>
      <c r="C58" s="7" t="s">
        <v>74</v>
      </c>
      <c r="D58" s="6">
        <v>209.0</v>
      </c>
      <c r="E58" s="8">
        <v>46265.671377060185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75</v>
      </c>
      <c r="D59" s="6">
        <v>150.0</v>
      </c>
      <c r="E59" s="8">
        <v>46265.681786354166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76</v>
      </c>
      <c r="D60" s="6">
        <v>120.0</v>
      </c>
      <c r="E60" s="8">
        <v>46265.68189940973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67</v>
      </c>
      <c r="D61" s="6">
        <v>165.0</v>
      </c>
      <c r="E61" s="8">
        <v>46265.68195042824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77</v>
      </c>
      <c r="D62" s="6">
        <v>126.0</v>
      </c>
      <c r="E62" s="8">
        <v>46265.68202864584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78</v>
      </c>
      <c r="D63" s="6">
        <v>10.0</v>
      </c>
      <c r="E63" s="8">
        <v>46265.68224809028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 t="s">
        <v>79</v>
      </c>
      <c r="C64" s="7" t="s">
        <v>80</v>
      </c>
      <c r="D64" s="6">
        <v>32.0</v>
      </c>
      <c r="E64" s="8">
        <v>46265.682438125004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81</v>
      </c>
      <c r="D65" s="6">
        <v>20.0</v>
      </c>
      <c r="E65" s="8">
        <v>46265.68261498843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82</v>
      </c>
      <c r="D66" s="6">
        <v>5.0</v>
      </c>
      <c r="E66" s="8">
        <v>46265.68266167824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83</v>
      </c>
      <c r="D67" s="6">
        <v>3.0</v>
      </c>
      <c r="E67" s="8">
        <v>46265.68273241898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84</v>
      </c>
      <c r="D68" s="6">
        <v>3.0</v>
      </c>
      <c r="E68" s="8">
        <v>46265.68956101852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12.0</v>
      </c>
      <c r="C69" s="7" t="s">
        <v>85</v>
      </c>
      <c r="D69" s="6">
        <v>1.0</v>
      </c>
      <c r="E69" s="8">
        <v>46265.68970682871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12.0</v>
      </c>
      <c r="C70" s="7" t="s">
        <v>86</v>
      </c>
      <c r="D70" s="6">
        <v>12.0</v>
      </c>
      <c r="E70" s="8">
        <v>46265.709909745376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4.0</v>
      </c>
      <c r="C71" s="7" t="s">
        <v>87</v>
      </c>
      <c r="D71" s="6">
        <v>48.0</v>
      </c>
      <c r="E71" s="8">
        <v>46265.710008009264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 t="s">
        <v>88</v>
      </c>
      <c r="C72" s="7" t="s">
        <v>89</v>
      </c>
      <c r="D72" s="6">
        <v>30.0</v>
      </c>
      <c r="E72" s="8">
        <v>46265.71016929398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90</v>
      </c>
      <c r="D73" s="6">
        <v>15.0</v>
      </c>
      <c r="E73" s="8">
        <v>46265.724799351854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91</v>
      </c>
      <c r="D74" s="6">
        <v>206.0</v>
      </c>
      <c r="E74" s="8">
        <v>46265.72543953704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92</v>
      </c>
      <c r="D75" s="6">
        <v>60.0</v>
      </c>
      <c r="E75" s="8">
        <v>46265.725501967594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93</v>
      </c>
      <c r="D76" s="6">
        <v>12.0</v>
      </c>
      <c r="E76" s="8">
        <v>46265.725537754624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7" t="s">
        <v>94</v>
      </c>
      <c r="D77" s="6">
        <v>9.0</v>
      </c>
      <c r="E77" s="8">
        <v>46265.72814020833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1.0</v>
      </c>
      <c r="C78" s="7" t="s">
        <v>95</v>
      </c>
      <c r="D78" s="6">
        <v>15.0</v>
      </c>
      <c r="E78" s="8">
        <v>46265.72795869213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1.0</v>
      </c>
      <c r="C79" s="7" t="s">
        <v>78</v>
      </c>
      <c r="D79" s="6">
        <v>12.0</v>
      </c>
      <c r="E79" s="8">
        <v>46265.72527648148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1.0</v>
      </c>
      <c r="C80" s="7" t="s">
        <v>96</v>
      </c>
      <c r="D80" s="6">
        <v>134.0</v>
      </c>
      <c r="E80" s="8">
        <v>46265.72910950231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2.0</v>
      </c>
      <c r="C81" s="7" t="s">
        <v>97</v>
      </c>
      <c r="D81" s="6">
        <v>3.0</v>
      </c>
      <c r="E81" s="8">
        <v>46265.730722106484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1.0</v>
      </c>
      <c r="C82" s="7" t="s">
        <v>98</v>
      </c>
      <c r="D82" s="6">
        <v>26.0</v>
      </c>
      <c r="E82" s="8">
        <v>46265.73450002314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10.0</v>
      </c>
      <c r="C83" s="7" t="s">
        <v>99</v>
      </c>
      <c r="D83" s="6">
        <v>100.0</v>
      </c>
      <c r="E83" s="8">
        <v>46265.75030833333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10.0</v>
      </c>
      <c r="C84" s="7" t="s">
        <v>100</v>
      </c>
      <c r="D84" s="6">
        <v>100.0</v>
      </c>
      <c r="E84" s="8">
        <v>46265.750333159725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1.0</v>
      </c>
      <c r="C85" s="7" t="s">
        <v>101</v>
      </c>
      <c r="D85" s="6">
        <v>30.0</v>
      </c>
      <c r="E85" s="8">
        <v>46265.75046945602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4.0</v>
      </c>
      <c r="C86" s="7" t="s">
        <v>102</v>
      </c>
      <c r="D86" s="6">
        <v>12.0</v>
      </c>
      <c r="E86" s="8">
        <v>46265.750469942126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15.0</v>
      </c>
      <c r="C87" s="7" t="s">
        <v>103</v>
      </c>
      <c r="D87" s="6">
        <v>75.0</v>
      </c>
      <c r="E87" s="8">
        <v>46265.750647824076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15.0</v>
      </c>
      <c r="C88" s="7" t="s">
        <v>104</v>
      </c>
      <c r="D88" s="6">
        <v>75.0</v>
      </c>
      <c r="E88" s="8">
        <v>46265.75072334491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2.0</v>
      </c>
      <c r="C89" s="7" t="s">
        <v>105</v>
      </c>
      <c r="D89" s="6">
        <v>158.0</v>
      </c>
      <c r="E89" s="8">
        <v>46265.750879513886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6.0</v>
      </c>
      <c r="C90" s="7" t="s">
        <v>106</v>
      </c>
      <c r="D90" s="6">
        <v>204.0</v>
      </c>
      <c r="E90" s="8">
        <v>46265.752268819444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4.0</v>
      </c>
      <c r="C91" s="7" t="s">
        <v>107</v>
      </c>
      <c r="D91" s="6">
        <v>136.0</v>
      </c>
      <c r="E91" s="8">
        <v>46265.7523099074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4.0</v>
      </c>
      <c r="C92" s="7" t="s">
        <v>108</v>
      </c>
      <c r="D92" s="6">
        <v>168.0</v>
      </c>
      <c r="E92" s="8">
        <v>46265.75261415509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1.0</v>
      </c>
      <c r="C93" s="7" t="s">
        <v>109</v>
      </c>
      <c r="D93" s="6">
        <v>190.0</v>
      </c>
      <c r="E93" s="8">
        <v>46265.75267133102</v>
      </c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4.0</v>
      </c>
      <c r="C94" s="7" t="s">
        <v>110</v>
      </c>
      <c r="D94" s="6">
        <v>104.0</v>
      </c>
      <c r="E94" s="8">
        <v>46265.75282034722</v>
      </c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1.0</v>
      </c>
      <c r="C95" s="7" t="s">
        <v>111</v>
      </c>
      <c r="D95" s="6">
        <v>20.0</v>
      </c>
      <c r="E95" s="8">
        <v>46265.76045033565</v>
      </c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1.0</v>
      </c>
      <c r="C96" s="7" t="s">
        <v>112</v>
      </c>
      <c r="D96" s="6">
        <v>20.0</v>
      </c>
      <c r="E96" s="8">
        <v>46265.76050508102</v>
      </c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1.0</v>
      </c>
      <c r="C97" s="7" t="s">
        <v>113</v>
      </c>
      <c r="D97" s="6">
        <v>18.0</v>
      </c>
      <c r="E97" s="8">
        <v>46265.761952037035</v>
      </c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>
        <v>15.0</v>
      </c>
      <c r="C98" s="7" t="s">
        <v>114</v>
      </c>
      <c r="D98" s="6">
        <v>510.0</v>
      </c>
      <c r="E98" s="8">
        <v>46265.76039581018</v>
      </c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6">
        <v>25.0</v>
      </c>
      <c r="C99" s="7" t="s">
        <v>115</v>
      </c>
      <c r="D99" s="6">
        <v>37.5</v>
      </c>
      <c r="E99" s="8">
        <v>46265.76206072917</v>
      </c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6">
        <v>1.0</v>
      </c>
      <c r="C100" s="7" t="s">
        <v>116</v>
      </c>
      <c r="D100" s="6">
        <v>200.0</v>
      </c>
      <c r="E100" s="8">
        <v>46265.76782976852</v>
      </c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6">
        <v>1.0</v>
      </c>
      <c r="C101" s="7" t="s">
        <v>117</v>
      </c>
      <c r="D101" s="6">
        <v>2.5</v>
      </c>
      <c r="E101" s="8">
        <v>46265.770364247684</v>
      </c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6">
        <v>1.0</v>
      </c>
      <c r="C102" s="7" t="s">
        <v>118</v>
      </c>
      <c r="D102" s="6">
        <v>20.0</v>
      </c>
      <c r="E102" s="8">
        <v>46265.78135027778</v>
      </c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6">
        <v>1.0</v>
      </c>
      <c r="C103" s="7" t="s">
        <v>34</v>
      </c>
      <c r="D103" s="6">
        <v>139.0</v>
      </c>
      <c r="E103" s="8">
        <v>46265.78261170139</v>
      </c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6">
        <v>1.0</v>
      </c>
      <c r="C104" s="7" t="s">
        <v>119</v>
      </c>
      <c r="D104" s="6">
        <v>2.5</v>
      </c>
      <c r="E104" s="8">
        <v>46265.78273486111</v>
      </c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6">
        <v>1.0</v>
      </c>
      <c r="C105" s="7" t="s">
        <v>120</v>
      </c>
      <c r="D105" s="6">
        <v>9.0</v>
      </c>
      <c r="E105" s="8">
        <v>46265.7828743287</v>
      </c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