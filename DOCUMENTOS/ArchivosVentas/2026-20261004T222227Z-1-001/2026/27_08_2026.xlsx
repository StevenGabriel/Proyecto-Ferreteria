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<sst xmlns="http://schemas.openxmlformats.org/spreadsheetml/2006/main" count="112" uniqueCount="108">
  <si>
    <t>HOJA DE CALCULO FERRETERIA</t>
  </si>
  <si>
    <t>CODIGO</t>
  </si>
  <si>
    <t>CANTIDAD</t>
  </si>
  <si>
    <t>DESCRIPCION</t>
  </si>
  <si>
    <t>TOTAL</t>
  </si>
  <si>
    <t>HORA</t>
  </si>
  <si>
    <t>CUADRAR</t>
  </si>
  <si>
    <t>combo truper</t>
  </si>
  <si>
    <t>alicae tolsen</t>
  </si>
  <si>
    <t>MONEDAS</t>
  </si>
  <si>
    <t>CAJA CHICA</t>
  </si>
  <si>
    <t>juego de desatmadkores</t>
  </si>
  <si>
    <t>BILLETES 10-20</t>
  </si>
  <si>
    <t>TOTAL VENTAS DIA</t>
  </si>
  <si>
    <t>guane asatex</t>
  </si>
  <si>
    <t>BILLETES 50-100-200</t>
  </si>
  <si>
    <t>AUMENTO DE DINERO</t>
  </si>
  <si>
    <t>silicona blanca</t>
  </si>
  <si>
    <t>INGRESOS YAPE</t>
  </si>
  <si>
    <t xml:space="preserve">alicae tosen </t>
  </si>
  <si>
    <t>INGRESOS TARJETA</t>
  </si>
  <si>
    <t>presostato</t>
  </si>
  <si>
    <t>GASTOS VARIOS</t>
  </si>
  <si>
    <t>cinta aislante</t>
  </si>
  <si>
    <t>niple ips1/2</t>
  </si>
  <si>
    <t>DINERO GANADO HOY:</t>
  </si>
  <si>
    <t>CANTIDAD DINERO CAJA:</t>
  </si>
  <si>
    <t>disco uyustol</t>
  </si>
  <si>
    <t>pigmento</t>
  </si>
  <si>
    <t>grifo nilo</t>
  </si>
  <si>
    <t>tefln</t>
  </si>
  <si>
    <t xml:space="preserve">corta frio </t>
  </si>
  <si>
    <t>broca 3 cobalto</t>
  </si>
  <si>
    <t>disco kamasa</t>
  </si>
  <si>
    <t>YAPE MAMÁ</t>
  </si>
  <si>
    <t>YAPE PAPÁ</t>
  </si>
  <si>
    <t>YAPE</t>
  </si>
  <si>
    <t>medidor de precion uyus</t>
  </si>
  <si>
    <t>Monto Total YAPE (No tocar):</t>
  </si>
  <si>
    <t>jugeo adaptador dado</t>
  </si>
  <si>
    <t>poxipol metalico</t>
  </si>
  <si>
    <t>Monto Total Registrado en aplicacion</t>
  </si>
  <si>
    <t>doble contacto</t>
  </si>
  <si>
    <t>gotita</t>
  </si>
  <si>
    <t>gotita gel</t>
  </si>
  <si>
    <t>clavo 3</t>
  </si>
  <si>
    <t>restrillo</t>
  </si>
  <si>
    <t>cabon 174</t>
  </si>
  <si>
    <t>lija 600</t>
  </si>
  <si>
    <t>lija 2000</t>
  </si>
  <si>
    <t>PAGOS YAPE</t>
  </si>
  <si>
    <t>DESCRIPCION PAGO</t>
  </si>
  <si>
    <t>lija 1500</t>
  </si>
  <si>
    <t>tapon 3/4</t>
  </si>
  <si>
    <t>combo</t>
  </si>
  <si>
    <t>cincel plano</t>
  </si>
  <si>
    <t>guante asatex</t>
  </si>
  <si>
    <t>juego sacabocado uyus</t>
  </si>
  <si>
    <t>remachadora uyus</t>
  </si>
  <si>
    <t>disco galleta</t>
  </si>
  <si>
    <t>brocaha 3 cerda fina</t>
  </si>
  <si>
    <t>flexo 5.5m tr</t>
  </si>
  <si>
    <t>juego de cepillos taladro</t>
  </si>
  <si>
    <t>cubre cable 10x15</t>
  </si>
  <si>
    <t>esrosol negro mate</t>
  </si>
  <si>
    <t>candado her</t>
  </si>
  <si>
    <t>clavo 30mm</t>
  </si>
  <si>
    <t>13m</t>
  </si>
  <si>
    <t>bipolar 14</t>
  </si>
  <si>
    <t xml:space="preserve">clavija </t>
  </si>
  <si>
    <t>clavija hembra</t>
  </si>
  <si>
    <t>eslinga 5m tolsen</t>
  </si>
  <si>
    <t>sintetica amrillo caterpila</t>
  </si>
  <si>
    <t>camara kenda</t>
  </si>
  <si>
    <t>disco truper 14</t>
  </si>
  <si>
    <t>disco 7 tr galleta</t>
  </si>
  <si>
    <t>duisco galleta uyus 7</t>
  </si>
  <si>
    <t>ganchos tr</t>
  </si>
  <si>
    <t>sifon lavanderia</t>
  </si>
  <si>
    <t>tobox 100ml</t>
  </si>
  <si>
    <t>marco de sierra</t>
  </si>
  <si>
    <t>sierra mecanica</t>
  </si>
  <si>
    <t>carpicola 75ml</t>
  </si>
  <si>
    <t>aserrin</t>
  </si>
  <si>
    <t>gomitaas</t>
  </si>
  <si>
    <t>jaladores hr</t>
  </si>
  <si>
    <t>aerosol</t>
  </si>
  <si>
    <t>rodapie</t>
  </si>
  <si>
    <t>desarmador tr</t>
  </si>
  <si>
    <t>pistola de pintar</t>
  </si>
  <si>
    <t>juego de acoples tr</t>
  </si>
  <si>
    <t>soplador tr</t>
  </si>
  <si>
    <t>lentes kamasa</t>
  </si>
  <si>
    <t>guantes azul</t>
  </si>
  <si>
    <t>guante naranja</t>
  </si>
  <si>
    <t>pegatanke acero</t>
  </si>
  <si>
    <t>sopapa coflex</t>
  </si>
  <si>
    <t>silciona blaca</t>
  </si>
  <si>
    <t>pastina blanca</t>
  </si>
  <si>
    <t>grifo lavaplatos</t>
  </si>
  <si>
    <t>picaporte</t>
  </si>
  <si>
    <t>copla pvc 1</t>
  </si>
  <si>
    <t>adaptador pvc 1</t>
  </si>
  <si>
    <t>tinte  24</t>
  </si>
  <si>
    <t>20 MT</t>
  </si>
  <si>
    <t>MANGUERA</t>
  </si>
  <si>
    <t>ENRROLADORAS</t>
  </si>
  <si>
    <t>SINTETICA 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</si>
</sst>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105.0</v>
      </c>
      <c r="E8" s="8">
        <v>46261.35023628472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50.0</v>
      </c>
      <c r="E9" s="8">
        <v>46261.35031462963</v>
      </c>
      <c r="F9" s="2"/>
      <c r="G9" s="9" t="s">
        <v>9</v>
      </c>
      <c r="H9" s="10">
        <v>75.5</v>
      </c>
      <c r="I9" s="2"/>
      <c r="J9" s="9" t="s">
        <v>10</v>
      </c>
      <c r="K9" s="10">
        <v>735.0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55.0</v>
      </c>
      <c r="E10" s="8">
        <v>46261.35038260417</v>
      </c>
      <c r="F10" s="2"/>
      <c r="G10" s="9" t="s">
        <v>12</v>
      </c>
      <c r="H10" s="10">
        <v>330.0</v>
      </c>
      <c r="I10" s="2"/>
      <c r="J10" s="9" t="s">
        <v>13</v>
      </c>
      <c r="K10" s="11">
        <f>SUM(PRINCIPAL[TOTAL])</f>
        <v>5780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13.0</v>
      </c>
      <c r="E11" s="8">
        <v>46261.35044549769</v>
      </c>
      <c r="F11" s="2"/>
      <c r="G11" s="9" t="s">
        <v>15</v>
      </c>
      <c r="H11" s="10">
        <v>2450.0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17</v>
      </c>
      <c r="D12" s="6">
        <v>104.0</v>
      </c>
      <c r="E12" s="8">
        <v>46261.3566525</v>
      </c>
      <c r="F12" s="2"/>
      <c r="G12" s="9" t="s">
        <v>18</v>
      </c>
      <c r="H12" s="12">
        <f>SUM(G24:H361)</f>
        <v>3779.5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31.5</v>
      </c>
      <c r="E13" s="8">
        <v>46261.35912032408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72.0</v>
      </c>
      <c r="E14" s="8">
        <v>46261.36734890046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46261.369081006946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5.0</v>
      </c>
      <c r="C16" s="7" t="s">
        <v>24</v>
      </c>
      <c r="D16" s="6">
        <v>15.0</v>
      </c>
      <c r="E16" s="8">
        <v>46261.372637685185</v>
      </c>
      <c r="F16" s="2"/>
      <c r="G16" s="15" t="s">
        <v>25</v>
      </c>
      <c r="H16" s="16">
        <f>SUM(H9:H14)</f>
        <v>6635</v>
      </c>
      <c r="I16" s="3"/>
      <c r="J16" s="15" t="s">
        <v>26</v>
      </c>
      <c r="K16" s="16">
        <f>SUM(K9:K11)</f>
        <v>6515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65.0</v>
      </c>
      <c r="E17" s="8">
        <v>46261.38616226852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46261.386853240736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59.0</v>
      </c>
      <c r="E19" s="8">
        <v>46261.39313525463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2.5</v>
      </c>
      <c r="E20" s="8">
        <v>46261.3931877662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420.0</v>
      </c>
      <c r="E21" s="8">
        <v>46261.399990081016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28.0</v>
      </c>
      <c r="E22" s="8">
        <v>46261.40835783565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77.0</v>
      </c>
      <c r="E23" s="8">
        <v>46261.422708819446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100.0</v>
      </c>
      <c r="E24" s="8">
        <v>46261.42319555556</v>
      </c>
      <c r="F24" s="2"/>
      <c r="G24" s="22">
        <v>223.0</v>
      </c>
      <c r="H24" s="23"/>
      <c r="I24" s="2"/>
      <c r="J24" s="24" t="s">
        <v>38</v>
      </c>
      <c r="K24" s="25">
        <f>SUM(INGRESOS_YAPE[])</f>
        <v>3779.5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39</v>
      </c>
      <c r="D25" s="6">
        <v>40.0</v>
      </c>
      <c r="E25" s="8">
        <v>46261.42883950232</v>
      </c>
      <c r="F25" s="2"/>
      <c r="G25" s="22">
        <v>104.0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38.0</v>
      </c>
      <c r="E26" s="8">
        <v>46261.43624380787</v>
      </c>
      <c r="F26" s="2"/>
      <c r="G26" s="26">
        <v>31.5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55.0</v>
      </c>
      <c r="E27" s="8">
        <v>46261.431904363424</v>
      </c>
      <c r="F27" s="2"/>
      <c r="G27" s="22">
        <v>50.0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11.0</v>
      </c>
      <c r="E28" s="8">
        <v>46261.43982298611</v>
      </c>
      <c r="F28" s="2"/>
      <c r="G28" s="22">
        <v>77.0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15.0</v>
      </c>
      <c r="E29" s="8">
        <v>46261.439855856486</v>
      </c>
      <c r="F29" s="2"/>
      <c r="G29" s="22">
        <v>272.0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3779,50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45</v>
      </c>
      <c r="D30" s="6">
        <v>54.0</v>
      </c>
      <c r="E30" s="8">
        <v>46261.44029809028</v>
      </c>
      <c r="F30" s="2"/>
      <c r="G30" s="22">
        <v>133.0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109.0</v>
      </c>
      <c r="E31" s="8">
        <v>46261.436443819446</v>
      </c>
      <c r="F31" s="2"/>
      <c r="G31" s="22">
        <v>26.0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29.0</v>
      </c>
      <c r="E32" s="8">
        <v>46261.44037563658</v>
      </c>
      <c r="F32" s="2"/>
      <c r="G32" s="22">
        <v>119.0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5.0</v>
      </c>
      <c r="E33" s="8">
        <v>46261.45143642361</v>
      </c>
      <c r="F33" s="2"/>
      <c r="G33" s="22">
        <v>120.0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10.0</v>
      </c>
      <c r="E34" s="8">
        <v>46261.45160886574</v>
      </c>
      <c r="F34" s="2"/>
      <c r="G34" s="22">
        <v>27.0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10.0</v>
      </c>
      <c r="E35" s="8">
        <v>46261.45149157407</v>
      </c>
      <c r="F35" s="2"/>
      <c r="G35" s="22">
        <v>75.0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5.0</v>
      </c>
      <c r="E36" s="8">
        <v>46261.46626909722</v>
      </c>
      <c r="F36" s="2"/>
      <c r="G36" s="22">
        <v>30.0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85.0</v>
      </c>
      <c r="E37" s="8">
        <v>46261.49984351852</v>
      </c>
      <c r="F37" s="2"/>
      <c r="G37" s="22">
        <v>44.0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20.0</v>
      </c>
      <c r="E38" s="8">
        <v>46261.499936782406</v>
      </c>
      <c r="F38" s="2"/>
      <c r="G38" s="22">
        <v>10.0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14.0</v>
      </c>
      <c r="E39" s="8">
        <v>46261.500001354165</v>
      </c>
      <c r="F39" s="2"/>
      <c r="G39" s="22">
        <v>92.0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60.0</v>
      </c>
      <c r="E40" s="8">
        <v>46261.50012332176</v>
      </c>
      <c r="F40" s="2"/>
      <c r="G40" s="22">
        <v>238.0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50.0</v>
      </c>
      <c r="E41" s="8">
        <v>46261.500242650465</v>
      </c>
      <c r="F41" s="2"/>
      <c r="G41" s="22">
        <v>115.0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59</v>
      </c>
      <c r="D42" s="6">
        <v>10.0</v>
      </c>
      <c r="E42" s="8">
        <v>46261.50199837963</v>
      </c>
      <c r="F42" s="2"/>
      <c r="G42" s="22">
        <v>337.0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27.0</v>
      </c>
      <c r="E43" s="8">
        <v>46261.52387092593</v>
      </c>
      <c r="F43" s="2"/>
      <c r="G43" s="22">
        <v>540.0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75.0</v>
      </c>
      <c r="E44" s="8">
        <v>46261.523771099535</v>
      </c>
      <c r="F44" s="2"/>
      <c r="G44" s="22">
        <v>126.0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30.0</v>
      </c>
      <c r="E45" s="8">
        <v>46261.54128466435</v>
      </c>
      <c r="F45" s="2"/>
      <c r="G45" s="22">
        <v>300.0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3.0</v>
      </c>
      <c r="C46" s="7" t="s">
        <v>63</v>
      </c>
      <c r="D46" s="6">
        <v>24.0</v>
      </c>
      <c r="E46" s="8">
        <v>46261.543637511575</v>
      </c>
      <c r="F46" s="2"/>
      <c r="G46" s="22">
        <v>20.0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20.0</v>
      </c>
      <c r="E47" s="8">
        <v>46261.5435547338</v>
      </c>
      <c r="F47" s="2"/>
      <c r="G47" s="22">
        <v>480.0</v>
      </c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65</v>
      </c>
      <c r="D48" s="6">
        <v>230.0</v>
      </c>
      <c r="E48" s="8">
        <v>46261.549251874996</v>
      </c>
      <c r="F48" s="2"/>
      <c r="G48" s="22">
        <v>190.0</v>
      </c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28</v>
      </c>
      <c r="D49" s="6">
        <v>10.0</v>
      </c>
      <c r="E49" s="8">
        <v>46261.57305226852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92.0</v>
      </c>
      <c r="E50" s="8">
        <v>46261.58409150463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67</v>
      </c>
      <c r="C51" s="7" t="s">
        <v>68</v>
      </c>
      <c r="D51" s="6">
        <v>208.0</v>
      </c>
      <c r="E51" s="8">
        <v>46261.59015403935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69</v>
      </c>
      <c r="D52" s="6">
        <v>18.0</v>
      </c>
      <c r="E52" s="8">
        <v>46261.59021902778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12.0</v>
      </c>
      <c r="E53" s="8">
        <v>46261.59037135416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115.0</v>
      </c>
      <c r="E54" s="8">
        <v>46261.60699880787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20.0</v>
      </c>
      <c r="E55" s="8">
        <v>46261.60761791667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65.0</v>
      </c>
      <c r="E56" s="8">
        <v>46261.61194138889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74</v>
      </c>
      <c r="D57" s="6">
        <v>142.0</v>
      </c>
      <c r="E57" s="8">
        <v>46261.62384778935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20.0</v>
      </c>
      <c r="E58" s="8">
        <v>46261.62390583333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12.0</v>
      </c>
      <c r="E59" s="8">
        <v>46261.62397428241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8.0</v>
      </c>
      <c r="C60" s="7" t="s">
        <v>77</v>
      </c>
      <c r="D60" s="6">
        <v>112.0</v>
      </c>
      <c r="E60" s="8">
        <v>46261.62596135416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8.0</v>
      </c>
      <c r="C61" s="7" t="s">
        <v>77</v>
      </c>
      <c r="D61" s="6">
        <v>112.0</v>
      </c>
      <c r="E61" s="8">
        <v>46261.62600703703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12.0</v>
      </c>
      <c r="C62" s="7" t="s">
        <v>78</v>
      </c>
      <c r="D62" s="6">
        <v>22.0</v>
      </c>
      <c r="E62" s="8">
        <v>46261.62624241898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17.0</v>
      </c>
      <c r="E63" s="8">
        <v>46261.62632319445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39.0</v>
      </c>
      <c r="E64" s="8">
        <v>46261.626398981476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20.0</v>
      </c>
      <c r="E65" s="8">
        <v>46261.62645596065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10.0</v>
      </c>
      <c r="E66" s="8">
        <v>46261.62656655093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5.0</v>
      </c>
      <c r="E67" s="8">
        <v>46261.62661016204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84</v>
      </c>
      <c r="D68" s="33">
        <v>3.0</v>
      </c>
      <c r="E68" s="8">
        <v>46261.63188586806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85</v>
      </c>
      <c r="D69" s="6">
        <v>48.0</v>
      </c>
      <c r="E69" s="8">
        <v>46261.633015127314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20.0</v>
      </c>
      <c r="E70" s="8">
        <v>46261.636252870376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4.0</v>
      </c>
      <c r="C71" s="7" t="s">
        <v>87</v>
      </c>
      <c r="D71" s="6">
        <v>44.0</v>
      </c>
      <c r="E71" s="8">
        <v>46261.638342129634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18.0</v>
      </c>
      <c r="E72" s="8">
        <v>46261.650134166666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250.0</v>
      </c>
      <c r="E73" s="8">
        <v>46261.665148217595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6"/>
      <c r="B74" s="6">
        <v>1.0</v>
      </c>
      <c r="C74" s="7" t="s">
        <v>90</v>
      </c>
      <c r="D74" s="6">
        <v>150.0</v>
      </c>
      <c r="E74" s="8">
        <v>46261.66530313657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130.0</v>
      </c>
      <c r="E75" s="8">
        <v>46261.665433692135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12.0</v>
      </c>
      <c r="C76" s="7" t="s">
        <v>92</v>
      </c>
      <c r="D76" s="6">
        <v>120.0</v>
      </c>
      <c r="E76" s="8">
        <v>46261.67429248843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12.0</v>
      </c>
      <c r="C77" s="7" t="s">
        <v>93</v>
      </c>
      <c r="D77" s="6">
        <v>168.0</v>
      </c>
      <c r="E77" s="8">
        <v>46261.675014189816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6.0</v>
      </c>
      <c r="C78" s="7" t="s">
        <v>94</v>
      </c>
      <c r="D78" s="6">
        <v>84.0</v>
      </c>
      <c r="E78" s="8">
        <v>46261.675184340274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80.0</v>
      </c>
      <c r="E79" s="8">
        <v>46261.68277237269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4.0</v>
      </c>
      <c r="C80" s="7" t="s">
        <v>96</v>
      </c>
      <c r="D80" s="6">
        <v>300.0</v>
      </c>
      <c r="E80" s="8">
        <v>46261.683025624996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33</v>
      </c>
      <c r="D81" s="6">
        <v>77.0</v>
      </c>
      <c r="E81" s="8">
        <v>46261.68386711806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26.0</v>
      </c>
      <c r="E82" s="8">
        <v>46261.68393976852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98</v>
      </c>
      <c r="D83" s="6">
        <v>23.0</v>
      </c>
      <c r="E83" s="8">
        <v>46261.68407106481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99</v>
      </c>
      <c r="D84" s="6">
        <v>135.0</v>
      </c>
      <c r="E84" s="8">
        <v>46261.68447868056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100</v>
      </c>
      <c r="D85" s="6">
        <v>60.0</v>
      </c>
      <c r="E85" s="8">
        <v>46261.68719444444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6">
        <v>7.0</v>
      </c>
      <c r="E86" s="8">
        <v>46261.714010474534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5.0</v>
      </c>
      <c r="E87" s="8">
        <v>46261.69395954861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30.0</v>
      </c>
      <c r="E88" s="8">
        <v>46261.71406053241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86</v>
      </c>
      <c r="D89" s="6">
        <v>20.0</v>
      </c>
      <c r="E89" s="8">
        <v>46261.75443199074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 t="s">
        <v>104</v>
      </c>
      <c r="C90" s="7" t="s">
        <v>105</v>
      </c>
      <c r="D90" s="6">
        <v>190.0</v>
      </c>
      <c r="E90" s="8">
        <v>46261.77840739583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106</v>
      </c>
      <c r="D91" s="6">
        <v>480.0</v>
      </c>
      <c r="E91" s="8">
        <v>46261.77858873842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107</v>
      </c>
      <c r="D92" s="6">
        <v>19.0</v>
      </c>
      <c r="E92" s="8">
        <v>46261.780311504626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