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<sst xmlns="http://schemas.openxmlformats.org/spreadsheetml/2006/main" count="84" uniqueCount="82">
  <si>
    <t>HOJA DE CALCULO FERRETERIA</t>
  </si>
  <si>
    <t>CODIGO</t>
  </si>
  <si>
    <t>CANTIDAD</t>
  </si>
  <si>
    <t>DESCRIPCION</t>
  </si>
  <si>
    <t>TOTAL</t>
  </si>
  <si>
    <t>HORA</t>
  </si>
  <si>
    <t>CUADRAR</t>
  </si>
  <si>
    <t>silicona akfi</t>
  </si>
  <si>
    <t xml:space="preserve">espatula </t>
  </si>
  <si>
    <t>MONEDAS</t>
  </si>
  <si>
    <t>CAJA CHICA</t>
  </si>
  <si>
    <t>espatula tolsens</t>
  </si>
  <si>
    <t>BILLETES 10-20</t>
  </si>
  <si>
    <t>TOTAL VENTAS DIA</t>
  </si>
  <si>
    <t>juego de cepilloa uyu</t>
  </si>
  <si>
    <t>BILLETES 50-100-200</t>
  </si>
  <si>
    <t>AUMENTO DE DINERO</t>
  </si>
  <si>
    <t>juedo de cepillo diamante</t>
  </si>
  <si>
    <t>INGRESOS YAPE</t>
  </si>
  <si>
    <t>punta sdsmax</t>
  </si>
  <si>
    <t>INGRESOS TARJETA</t>
  </si>
  <si>
    <t>precinto uyustools</t>
  </si>
  <si>
    <t>GASTOS VARIOS</t>
  </si>
  <si>
    <t xml:space="preserve">chio </t>
  </si>
  <si>
    <t>tarraja 1</t>
  </si>
  <si>
    <t>DINERO GANADO HOY:</t>
  </si>
  <si>
    <t>CANTIDAD DINERO CAJA:</t>
  </si>
  <si>
    <t xml:space="preserve">cuelleras </t>
  </si>
  <si>
    <t>rodapie 4</t>
  </si>
  <si>
    <t>aerosol laca</t>
  </si>
  <si>
    <t>clefa</t>
  </si>
  <si>
    <t>soda caustica</t>
  </si>
  <si>
    <t>lente truoer</t>
  </si>
  <si>
    <t>broca fosmer</t>
  </si>
  <si>
    <t>YAPE MAMÁ</t>
  </si>
  <si>
    <t>YAPE PAPÁ</t>
  </si>
  <si>
    <t>YAPE</t>
  </si>
  <si>
    <t>tijera de podar germany</t>
  </si>
  <si>
    <t>Monto Total YAPE (No tocar):</t>
  </si>
  <si>
    <t>pico loro</t>
  </si>
  <si>
    <t>tubo 4</t>
  </si>
  <si>
    <t>Monto Total Registrado en aplicacion</t>
  </si>
  <si>
    <t>tapon</t>
  </si>
  <si>
    <t>disco uyus</t>
  </si>
  <si>
    <t>disco camasa</t>
  </si>
  <si>
    <t xml:space="preserve">rodillo </t>
  </si>
  <si>
    <t>carpicola</t>
  </si>
  <si>
    <t>m soga perlon</t>
  </si>
  <si>
    <t>LIJA 180</t>
  </si>
  <si>
    <t>PAGOS YAPE</t>
  </si>
  <si>
    <t>DESCRIPCION PAGO</t>
  </si>
  <si>
    <t>espuma expansiva</t>
  </si>
  <si>
    <t>CUCHILLA YTRUPER</t>
  </si>
  <si>
    <t>GUIANTE ASATEX</t>
  </si>
  <si>
    <t>CINTA ASILANTE</t>
  </si>
  <si>
    <t>BRAZO DUCHA GOMEZ</t>
  </si>
  <si>
    <t>M CABLE TIGRE 14</t>
  </si>
  <si>
    <t xml:space="preserve">CUBRE CABLE </t>
  </si>
  <si>
    <t xml:space="preserve">AMOLADROA  TOTAL </t>
  </si>
  <si>
    <t>DISCO CORTE NORTON</t>
  </si>
  <si>
    <t xml:space="preserve">DISCO CORTE MADERA </t>
  </si>
  <si>
    <t>CONECTOR RAPIDO</t>
  </si>
  <si>
    <t>ACOPLE RAPIDO</t>
  </si>
  <si>
    <t>ACEITE SINGER</t>
  </si>
  <si>
    <t>DISCO DE PULIR UYUSTOOL4</t>
  </si>
  <si>
    <t>BROCAH TIGRE</t>
  </si>
  <si>
    <t>PILAS</t>
  </si>
  <si>
    <t>ígmetno</t>
  </si>
  <si>
    <t>l thenne</t>
  </si>
  <si>
    <t>juego de lamina</t>
  </si>
  <si>
    <t>m lija</t>
  </si>
  <si>
    <t>sinetica maros</t>
  </si>
  <si>
    <t>cincel tolse</t>
  </si>
  <si>
    <t>clocle</t>
  </si>
  <si>
    <t>valdes de dosificacion</t>
  </si>
  <si>
    <t>loja 120</t>
  </si>
  <si>
    <t>rodillo atlas</t>
  </si>
  <si>
    <t>broca atlas 4</t>
  </si>
  <si>
    <t>soda causisa</t>
  </si>
  <si>
    <t xml:space="preserve">FOCO </t>
  </si>
  <si>
    <t>PLACAS</t>
  </si>
  <si>
    <t>BROCA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</si>
</sst>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2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34.0</v>
      </c>
      <c r="E8" s="8">
        <v>46248.36398008102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7.0</v>
      </c>
      <c r="E9" s="8">
        <v>46248.36402721065</v>
      </c>
      <c r="F9" s="2"/>
      <c r="G9" s="9" t="s">
        <v>9</v>
      </c>
      <c r="H9" s="10">
        <v>514.0</v>
      </c>
      <c r="I9" s="2"/>
      <c r="J9" s="9" t="s">
        <v>10</v>
      </c>
      <c r="K9" s="10">
        <v>709.0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17.0</v>
      </c>
      <c r="E10" s="8">
        <v>46248.36407106482</v>
      </c>
      <c r="F10" s="2"/>
      <c r="G10" s="9" t="s">
        <v>12</v>
      </c>
      <c r="H10" s="10">
        <v>350.0</v>
      </c>
      <c r="I10" s="2"/>
      <c r="J10" s="9" t="s">
        <v>13</v>
      </c>
      <c r="K10" s="11">
        <f>SUM(PRINCIPAL[TOTAL])</f>
        <v>2918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30.0</v>
      </c>
      <c r="E11" s="8">
        <v>46248.36414135416</v>
      </c>
      <c r="F11" s="2"/>
      <c r="G11" s="9" t="s">
        <v>15</v>
      </c>
      <c r="H11" s="10">
        <v>1100.0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10.0</v>
      </c>
      <c r="E12" s="8">
        <v>46248.36422099537</v>
      </c>
      <c r="F12" s="2"/>
      <c r="G12" s="9" t="s">
        <v>18</v>
      </c>
      <c r="H12" s="12">
        <f>SUM(G24:H361)</f>
        <v>1664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55.0</v>
      </c>
      <c r="E13" s="8">
        <v>46248.37961138889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15.0</v>
      </c>
      <c r="E14" s="8">
        <v>46248.38045315973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120.0</v>
      </c>
      <c r="C15" s="7" t="s">
        <v>23</v>
      </c>
      <c r="D15" s="6">
        <v>30.0</v>
      </c>
      <c r="E15" s="8">
        <v>46248.4031690625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19.5" customHeight="1">
      <c r="A16" s="13"/>
      <c r="B16" s="6">
        <v>1.0</v>
      </c>
      <c r="C16" s="7" t="s">
        <v>24</v>
      </c>
      <c r="D16" s="6">
        <v>105.0</v>
      </c>
      <c r="E16" s="8">
        <v>46248.40431488426</v>
      </c>
      <c r="F16" s="2"/>
      <c r="G16" s="15" t="s">
        <v>25</v>
      </c>
      <c r="H16" s="16">
        <f>SUM(H9:H14)</f>
        <v>3628</v>
      </c>
      <c r="I16" s="3"/>
      <c r="J16" s="15" t="s">
        <v>26</v>
      </c>
      <c r="K16" s="16">
        <f>SUM(K9:K11)</f>
        <v>3627</v>
      </c>
      <c r="L16" s="2"/>
      <c r="M16" s="2"/>
      <c r="N16" s="2"/>
      <c r="O16" s="2"/>
      <c r="P16" s="2"/>
      <c r="Q16" s="2"/>
    </row>
    <row r="17" ht="22.5" customHeight="1">
      <c r="B17" s="6">
        <v>2.0</v>
      </c>
      <c r="C17" s="7" t="s">
        <v>27</v>
      </c>
      <c r="D17" s="6">
        <v>98.0</v>
      </c>
      <c r="E17" s="8">
        <v>46248.43321766204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36.0</v>
      </c>
      <c r="E18" s="8">
        <v>46248.42245262732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20.0</v>
      </c>
      <c r="E19" s="8">
        <v>46248.44071873843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16.0</v>
      </c>
      <c r="E20" s="8">
        <v>46248.44075488426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42.0</v>
      </c>
      <c r="E21" s="8">
        <v>46248.44867570602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28.0</v>
      </c>
      <c r="E22" s="8">
        <v>46248.44876288195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59.0</v>
      </c>
      <c r="E23" s="8">
        <v>46248.44888229167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35.0</v>
      </c>
      <c r="E24" s="8">
        <v>46248.44897254629</v>
      </c>
      <c r="F24" s="2"/>
      <c r="G24" s="22">
        <v>98.0</v>
      </c>
      <c r="H24" s="23"/>
      <c r="I24" s="2"/>
      <c r="J24" s="24" t="s">
        <v>38</v>
      </c>
      <c r="K24" s="25">
        <f>SUM(INGRESOS_YAPE[])</f>
        <v>1664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86.0</v>
      </c>
      <c r="E25" s="8">
        <v>46248.46341113426</v>
      </c>
      <c r="F25" s="2"/>
      <c r="G25" s="22">
        <v>98.0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40</v>
      </c>
      <c r="D26" s="6">
        <v>104.0</v>
      </c>
      <c r="E26" s="8">
        <v>46248.46355792824</v>
      </c>
      <c r="F26" s="2"/>
      <c r="G26" s="26">
        <v>70.0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42</v>
      </c>
      <c r="D27" s="6">
        <v>4.0</v>
      </c>
      <c r="E27" s="8">
        <v>46248.463663622686</v>
      </c>
      <c r="F27" s="2"/>
      <c r="G27" s="22">
        <v>94.0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27</v>
      </c>
      <c r="D28" s="6">
        <v>27.0</v>
      </c>
      <c r="E28" s="8">
        <v>46248.47273907407</v>
      </c>
      <c r="F28" s="2"/>
      <c r="G28" s="22">
        <v>775.0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43</v>
      </c>
      <c r="D29" s="6">
        <v>27.0</v>
      </c>
      <c r="E29" s="8">
        <v>46248.47923815972</v>
      </c>
      <c r="F29" s="2"/>
      <c r="G29" s="22">
        <v>90.0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1664,00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44</v>
      </c>
      <c r="D30" s="6">
        <v>77.0</v>
      </c>
      <c r="E30" s="8">
        <v>46248.479355625</v>
      </c>
      <c r="F30" s="2"/>
      <c r="G30" s="22">
        <v>112.0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45</v>
      </c>
      <c r="D31" s="6">
        <v>17.0</v>
      </c>
      <c r="E31" s="8">
        <v>46248.487007511576</v>
      </c>
      <c r="F31" s="2"/>
      <c r="G31" s="22">
        <v>55.0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46</v>
      </c>
      <c r="D32" s="6">
        <v>8.0</v>
      </c>
      <c r="E32" s="8">
        <v>46248.487053993056</v>
      </c>
      <c r="F32" s="2"/>
      <c r="G32" s="22">
        <v>76.0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3.0</v>
      </c>
      <c r="C33" s="7" t="s">
        <v>47</v>
      </c>
      <c r="D33" s="6">
        <v>21.0</v>
      </c>
      <c r="E33" s="8">
        <v>46248.48719151621</v>
      </c>
      <c r="F33" s="2"/>
      <c r="G33" s="22">
        <v>10.0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5.0</v>
      </c>
      <c r="E34" s="8">
        <v>46248.50447936343</v>
      </c>
      <c r="F34" s="2"/>
      <c r="G34" s="22">
        <v>186.0</v>
      </c>
      <c r="H34" s="23"/>
      <c r="I34" s="2"/>
      <c r="J34" s="30" t="s">
        <v>49</v>
      </c>
      <c r="K34" s="30" t="s">
        <v>50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51</v>
      </c>
      <c r="D35" s="6">
        <v>75.0</v>
      </c>
      <c r="E35" s="8">
        <v>46248.49255436343</v>
      </c>
      <c r="F35" s="2"/>
      <c r="G35" s="23"/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52</v>
      </c>
      <c r="D36" s="6">
        <v>35.0</v>
      </c>
      <c r="E36" s="8">
        <v>46248.49861034722</v>
      </c>
      <c r="F36" s="2"/>
      <c r="G36" s="23"/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53</v>
      </c>
      <c r="D37" s="6">
        <v>36.0</v>
      </c>
      <c r="E37" s="8">
        <v>46248.498698888885</v>
      </c>
      <c r="F37" s="2"/>
      <c r="G37" s="23"/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54</v>
      </c>
      <c r="D38" s="6">
        <v>14.0</v>
      </c>
      <c r="E38" s="8">
        <v>46248.49874797453</v>
      </c>
      <c r="F38" s="2"/>
      <c r="G38" s="23"/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55</v>
      </c>
      <c r="D39" s="6">
        <v>38.0</v>
      </c>
      <c r="E39" s="8">
        <v>46248.49887659722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9.0</v>
      </c>
      <c r="C40" s="7" t="s">
        <v>56</v>
      </c>
      <c r="D40" s="6">
        <v>153.0</v>
      </c>
      <c r="E40" s="8">
        <v>46248.49916872685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57</v>
      </c>
      <c r="D41" s="6">
        <v>16.0</v>
      </c>
      <c r="E41" s="8">
        <v>46248.49930988426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58</v>
      </c>
      <c r="D42" s="6">
        <v>490.0</v>
      </c>
      <c r="E42" s="8">
        <v>46248.499419050924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59</v>
      </c>
      <c r="D43" s="6">
        <v>10.0</v>
      </c>
      <c r="E43" s="8">
        <v>46248.50082800926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60</v>
      </c>
      <c r="D44" s="6">
        <v>35.0</v>
      </c>
      <c r="E44" s="8">
        <v>46248.50095375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60</v>
      </c>
      <c r="D45" s="6">
        <v>39.0</v>
      </c>
      <c r="E45" s="8">
        <v>46248.50105155093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61</v>
      </c>
      <c r="D46" s="6">
        <v>9.0</v>
      </c>
      <c r="E46" s="8">
        <v>46248.50114202546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62</v>
      </c>
      <c r="D47" s="6">
        <v>8.0</v>
      </c>
      <c r="E47" s="8">
        <v>46248.501215185184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63</v>
      </c>
      <c r="D48" s="6">
        <v>15.0</v>
      </c>
      <c r="E48" s="8">
        <v>46248.50131034722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64</v>
      </c>
      <c r="D49" s="6">
        <v>90.0</v>
      </c>
      <c r="E49" s="8">
        <v>46248.50155785879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4.0</v>
      </c>
      <c r="C50" s="7" t="s">
        <v>65</v>
      </c>
      <c r="D50" s="6">
        <v>156.0</v>
      </c>
      <c r="E50" s="8">
        <v>46248.50429334491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66</v>
      </c>
      <c r="D51" s="6">
        <v>18.0</v>
      </c>
      <c r="E51" s="8">
        <v>46248.504328877316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67</v>
      </c>
      <c r="D52" s="6">
        <v>20.0</v>
      </c>
      <c r="E52" s="8">
        <v>46248.50660371528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68</v>
      </c>
      <c r="D53" s="6">
        <v>31.0</v>
      </c>
      <c r="E53" s="8">
        <v>46248.536941875005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69</v>
      </c>
      <c r="D54" s="6">
        <v>10.0</v>
      </c>
      <c r="E54" s="8">
        <v>46248.53699876157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70</v>
      </c>
      <c r="D55" s="6">
        <v>10.0</v>
      </c>
      <c r="E55" s="8">
        <v>46248.53706802083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71</v>
      </c>
      <c r="D56" s="6">
        <v>61.0</v>
      </c>
      <c r="E56" s="8">
        <v>46248.537135949075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72</v>
      </c>
      <c r="D57" s="6">
        <v>55.0</v>
      </c>
      <c r="E57" s="8">
        <v>46248.53683590278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73</v>
      </c>
      <c r="D58" s="6">
        <v>35.0</v>
      </c>
      <c r="E58" s="8">
        <v>46248.54700394676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74</v>
      </c>
      <c r="D59" s="6">
        <v>78.0</v>
      </c>
      <c r="E59" s="8">
        <v>46248.58366047454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75</v>
      </c>
      <c r="D60" s="6">
        <v>10.0</v>
      </c>
      <c r="E60" s="8">
        <v>46248.59232505787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76</v>
      </c>
      <c r="D61" s="6">
        <v>53.0</v>
      </c>
      <c r="E61" s="8">
        <v>46248.60094512731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77</v>
      </c>
      <c r="D62" s="6">
        <v>24.0</v>
      </c>
      <c r="E62" s="8">
        <v>46248.60100702546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78</v>
      </c>
      <c r="D63" s="6">
        <v>42.0</v>
      </c>
      <c r="E63" s="8">
        <v>46248.60386413195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4.0</v>
      </c>
      <c r="C64" s="7" t="s">
        <v>79</v>
      </c>
      <c r="D64" s="6">
        <v>44.0</v>
      </c>
      <c r="E64" s="8">
        <v>46248.62049627315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4.0</v>
      </c>
      <c r="C65" s="7" t="s">
        <v>80</v>
      </c>
      <c r="D65" s="6">
        <v>142.0</v>
      </c>
      <c r="E65" s="8">
        <v>46248.620578981485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81</v>
      </c>
      <c r="D66" s="6">
        <v>53.0</v>
      </c>
      <c r="E66" s="8">
        <v>46248.62308146991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33"/>
      <c r="D67" s="34"/>
      <c r="E67" s="35"/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33"/>
      <c r="D68" s="34"/>
      <c r="E68" s="35"/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33"/>
      <c r="D69" s="34"/>
      <c r="E69" s="35"/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33"/>
      <c r="D70" s="34"/>
      <c r="E70" s="35"/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3"/>
      <c r="D71" s="34"/>
      <c r="E71" s="35"/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3"/>
      <c r="D72" s="34"/>
      <c r="E72" s="35"/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3"/>
      <c r="D73" s="34"/>
      <c r="E73" s="35"/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3"/>
      <c r="D74" s="34"/>
      <c r="E74" s="35"/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3"/>
      <c r="D75" s="34"/>
      <c r="E75" s="35"/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3"/>
      <c r="D76" s="34"/>
      <c r="E76" s="35"/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3"/>
      <c r="D77" s="34"/>
      <c r="E77" s="35"/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3"/>
      <c r="D78" s="34"/>
      <c r="E78" s="35"/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3"/>
      <c r="D79" s="34"/>
      <c r="E79" s="35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3"/>
      <c r="D80" s="34"/>
      <c r="E80" s="35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3"/>
      <c r="D81" s="34"/>
      <c r="E81" s="35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3"/>
      <c r="D82" s="34"/>
      <c r="E82" s="35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3"/>
      <c r="D83" s="34"/>
      <c r="E83" s="35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3"/>
      <c r="D84" s="34"/>
      <c r="E84" s="35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3"/>
      <c r="D85" s="34"/>
      <c r="E85" s="35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3"/>
      <c r="D86" s="34"/>
      <c r="E86" s="35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3"/>
      <c r="D87" s="34"/>
      <c r="E87" s="35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3"/>
      <c r="D88" s="34"/>
      <c r="E88" s="35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3"/>
      <c r="D89" s="34"/>
      <c r="E89" s="35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3"/>
      <c r="D90" s="34"/>
      <c r="E90" s="35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3"/>
      <c r="D91" s="34"/>
      <c r="E91" s="35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 ht="22.5" customHeight="1">
      <c r="A302" s="13"/>
      <c r="B302" s="13"/>
      <c r="C302" s="33"/>
      <c r="D302" s="34"/>
      <c r="E302" s="35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/>
      <c r="B304" s="2"/>
      <c r="C304" s="2"/>
      <c r="D304" s="3"/>
      <c r="E304" s="2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  <row r="1001">
      <c r="D1001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2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