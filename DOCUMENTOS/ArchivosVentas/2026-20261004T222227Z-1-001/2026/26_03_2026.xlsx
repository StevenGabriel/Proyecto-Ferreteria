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4" sheetId="2" r:id="rId6"/>
  </sheets>
  <definedNames/>
  <calcPr/>
</workbook>
</file>

<file path=xl/sharedStrings.xml><?xml version="1.0" encoding="utf-8"?>
<sst xmlns="http://schemas.openxmlformats.org/spreadsheetml/2006/main" count="100" uniqueCount="98">
  <si>
    <t>HOJA DE CALCULO FERRETERIA</t>
  </si>
  <si>
    <t>CODIGO</t>
  </si>
  <si>
    <t>CANTIDAD</t>
  </si>
  <si>
    <t>DESCRIPCION</t>
  </si>
  <si>
    <t>TOTAL</t>
  </si>
  <si>
    <t>HORA</t>
  </si>
  <si>
    <t>CUADRAR</t>
  </si>
  <si>
    <t>carbon</t>
  </si>
  <si>
    <t>plancha lisa</t>
  </si>
  <si>
    <t>MONEDAS</t>
  </si>
  <si>
    <t>CAJA CHICA</t>
  </si>
  <si>
    <t>yeso</t>
  </si>
  <si>
    <t>BILLETES 10-20</t>
  </si>
  <si>
    <t>TOTAL VENTAS DIA</t>
  </si>
  <si>
    <t>juego saca bocado madera</t>
  </si>
  <si>
    <t>BILLETES 50-100-200</t>
  </si>
  <si>
    <t>AUMENTO DE DINERO</t>
  </si>
  <si>
    <t>docena ramplu 8</t>
  </si>
  <si>
    <t>INGRESOS YAPE</t>
  </si>
  <si>
    <t>doc chip 5 x 60</t>
  </si>
  <si>
    <t>INGRESOS TARJETA</t>
  </si>
  <si>
    <t>1/2kl</t>
  </si>
  <si>
    <t>alambre gal 16</t>
  </si>
  <si>
    <t>GASTOS VARIOS</t>
  </si>
  <si>
    <t>llavero</t>
  </si>
  <si>
    <t>mini alicate punta</t>
  </si>
  <si>
    <t>DINERO GANADO HOY:</t>
  </si>
  <si>
    <t>CANTIDAD DINERO CAJA:</t>
  </si>
  <si>
    <t>carpicola 500ml</t>
  </si>
  <si>
    <t>escobillon</t>
  </si>
  <si>
    <t>pala</t>
  </si>
  <si>
    <t>desarmador</t>
  </si>
  <si>
    <t>balde</t>
  </si>
  <si>
    <t>mini alicate corte</t>
  </si>
  <si>
    <t>biasgra</t>
  </si>
  <si>
    <t>YAPE MAMÁ</t>
  </si>
  <si>
    <t>YAPE PAPÁ</t>
  </si>
  <si>
    <t>escofina</t>
  </si>
  <si>
    <t>adaptdor  de dados truper</t>
  </si>
  <si>
    <t>puntas phipi</t>
  </si>
  <si>
    <t>grampas truper</t>
  </si>
  <si>
    <t>copla pvc 3/4</t>
  </si>
  <si>
    <t>semicodo 1/2 pvc</t>
  </si>
  <si>
    <t>precidnto 300</t>
  </si>
  <si>
    <t>linteren atruper</t>
  </si>
  <si>
    <t xml:space="preserve">malla hexagonal </t>
  </si>
  <si>
    <t>chicotillo astra</t>
  </si>
  <si>
    <t>disco flap panadino</t>
  </si>
  <si>
    <t>desotnillador t</t>
  </si>
  <si>
    <t>6m</t>
  </si>
  <si>
    <t>hilo estaño</t>
  </si>
  <si>
    <t>clefa 200</t>
  </si>
  <si>
    <t>conduit 3/4</t>
  </si>
  <si>
    <t>chicotillo coflex 3/4</t>
  </si>
  <si>
    <t>debor fierro 3</t>
  </si>
  <si>
    <t>6doc</t>
  </si>
  <si>
    <t>chip 3.5</t>
  </si>
  <si>
    <t>juego desarmandor</t>
  </si>
  <si>
    <t>pinzas tolsen</t>
  </si>
  <si>
    <t>ecuadra tr</t>
  </si>
  <si>
    <t>pincel 6</t>
  </si>
  <si>
    <t>broca 21/2</t>
  </si>
  <si>
    <t>disco norton</t>
  </si>
  <si>
    <t>arandelas</t>
  </si>
  <si>
    <t>reducctor dado 3/4 a 1/2</t>
  </si>
  <si>
    <t>copla fg 1/2</t>
  </si>
  <si>
    <t>grifo poly lavaplatos</t>
  </si>
  <si>
    <t>foco 24w sobreponer cuadrado</t>
  </si>
  <si>
    <t>aerosol celeste</t>
  </si>
  <si>
    <t>2m</t>
  </si>
  <si>
    <t>perlon 5</t>
  </si>
  <si>
    <t>2kl</t>
  </si>
  <si>
    <t>carburo</t>
  </si>
  <si>
    <t>disco corte cepillo</t>
  </si>
  <si>
    <t>dad truepre -t50</t>
  </si>
  <si>
    <t>codo 1/2 tigre</t>
  </si>
  <si>
    <t>eslinga 5m tr</t>
  </si>
  <si>
    <t>lija 120</t>
  </si>
  <si>
    <t>diso flap</t>
  </si>
  <si>
    <t>escofina tr</t>
  </si>
  <si>
    <t>dado tipo t 8 mm toslen</t>
  </si>
  <si>
    <t>engrampadora trper</t>
  </si>
  <si>
    <t>pistola de sopletear</t>
  </si>
  <si>
    <t>autoperforantes 12x3/4</t>
  </si>
  <si>
    <t>autoperforantes 12x1</t>
  </si>
  <si>
    <t>aerosol negro brillo</t>
  </si>
  <si>
    <t>clavja lateral</t>
  </si>
  <si>
    <t>dresa tr</t>
  </si>
  <si>
    <t>electrdo delgado</t>
  </si>
  <si>
    <t>escuadra uyustool</t>
  </si>
  <si>
    <t>broca fierro debor</t>
  </si>
  <si>
    <t>juegod el gramops</t>
  </si>
  <si>
    <t>ventosa</t>
  </si>
  <si>
    <t>isktola de silionca</t>
  </si>
  <si>
    <t>silicon delga</t>
  </si>
  <si>
    <t>grimpadora</t>
  </si>
  <si>
    <t>estilete</t>
  </si>
  <si>
    <t>candado 32mm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</si>
</sst>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25.0</v>
      </c>
      <c r="E8" s="8">
        <v>46107.34210552083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33.0</v>
      </c>
      <c r="E9" s="8">
        <v>46107.36604596065</v>
      </c>
      <c r="F9" s="2"/>
      <c r="G9" s="9" t="s">
        <v>9</v>
      </c>
      <c r="H9" s="10">
        <v>52.0</v>
      </c>
      <c r="I9" s="2"/>
      <c r="J9" s="9" t="s">
        <v>10</v>
      </c>
      <c r="K9" s="10">
        <v>711.0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16.0</v>
      </c>
      <c r="E10" s="8">
        <v>46107.36609949074</v>
      </c>
      <c r="F10" s="2"/>
      <c r="G10" s="9" t="s">
        <v>12</v>
      </c>
      <c r="H10" s="10">
        <v>450.0</v>
      </c>
      <c r="I10" s="2"/>
      <c r="J10" s="9" t="s">
        <v>13</v>
      </c>
      <c r="K10" s="11">
        <f>SUM(PRINCIPAL[TOTAL])</f>
        <v>3578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34.0</v>
      </c>
      <c r="E11" s="8">
        <v>46107.366242986114</v>
      </c>
      <c r="F11" s="2"/>
      <c r="G11" s="9" t="s">
        <v>15</v>
      </c>
      <c r="H11" s="10">
        <v>2100.0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8.0</v>
      </c>
      <c r="E12" s="8">
        <v>46107.381459490745</v>
      </c>
      <c r="F12" s="2"/>
      <c r="G12" s="9" t="s">
        <v>18</v>
      </c>
      <c r="H12" s="12">
        <f>SUM(G24:H361)</f>
        <v>1607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4.5</v>
      </c>
      <c r="E13" s="8">
        <v>46107.381683472224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21</v>
      </c>
      <c r="C14" s="7" t="s">
        <v>22</v>
      </c>
      <c r="D14" s="6">
        <v>15.0</v>
      </c>
      <c r="E14" s="8">
        <v>46107.400550983795</v>
      </c>
      <c r="F14" s="2"/>
      <c r="G14" s="9" t="s">
        <v>23</v>
      </c>
      <c r="H14" s="10">
        <v>180.0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16.0</v>
      </c>
      <c r="E15" s="8">
        <v>46107.400995324075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28.0</v>
      </c>
      <c r="E16" s="8">
        <v>46107.401170937505</v>
      </c>
      <c r="F16" s="2"/>
      <c r="G16" s="15" t="s">
        <v>26</v>
      </c>
      <c r="H16" s="16">
        <f>SUM(H9:H14)</f>
        <v>4389</v>
      </c>
      <c r="I16" s="3"/>
      <c r="J16" s="15" t="s">
        <v>27</v>
      </c>
      <c r="K16" s="16">
        <f>SUM(K9:K11)</f>
        <v>4289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26.0</v>
      </c>
      <c r="E17" s="8">
        <v>46107.40145333333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105.0</v>
      </c>
      <c r="E18" s="8">
        <v>46107.40156024306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79.0</v>
      </c>
      <c r="E19" s="8">
        <v>46107.40160892361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16.0</v>
      </c>
      <c r="E20" s="8">
        <v>46107.40166394676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19.0</v>
      </c>
      <c r="E21" s="8">
        <v>46107.40173409722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42.0</v>
      </c>
      <c r="E22" s="8">
        <v>46107.403543981476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15.0</v>
      </c>
      <c r="E23" s="8">
        <v>46107.40958040509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53.0</v>
      </c>
      <c r="E24" s="8">
        <v>46107.41003378472</v>
      </c>
      <c r="F24" s="2"/>
      <c r="G24" s="20">
        <v>52.0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38</v>
      </c>
      <c r="D25" s="6">
        <v>30.0</v>
      </c>
      <c r="E25" s="8">
        <v>46107.42381070602</v>
      </c>
      <c r="F25" s="2"/>
      <c r="G25" s="20">
        <v>48.0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3.0</v>
      </c>
      <c r="C26" s="7" t="s">
        <v>39</v>
      </c>
      <c r="D26" s="6">
        <v>12.0</v>
      </c>
      <c r="E26" s="8">
        <v>46107.42422489583</v>
      </c>
      <c r="F26" s="2"/>
      <c r="G26" s="22">
        <v>35.0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10.0</v>
      </c>
      <c r="E27" s="8">
        <v>46107.42458715278</v>
      </c>
      <c r="F27" s="2"/>
      <c r="G27" s="20">
        <v>115.0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6.0</v>
      </c>
      <c r="E28" s="8">
        <v>46107.428633564814</v>
      </c>
      <c r="F28" s="2"/>
      <c r="G28" s="20">
        <v>209.0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4.0</v>
      </c>
      <c r="E29" s="8">
        <v>46107.42874506944</v>
      </c>
      <c r="F29" s="2"/>
      <c r="G29" s="20">
        <v>75.0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45.0</v>
      </c>
      <c r="E30" s="8">
        <v>46107.42882902778</v>
      </c>
      <c r="F30" s="2"/>
      <c r="G30" s="20">
        <v>26.0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305.0</v>
      </c>
      <c r="E31" s="8">
        <v>46107.42991770833</v>
      </c>
      <c r="F31" s="2"/>
      <c r="G31" s="20">
        <v>210.0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135.0</v>
      </c>
      <c r="E32" s="8">
        <v>46107.430046574074</v>
      </c>
      <c r="F32" s="2"/>
      <c r="G32" s="20">
        <v>88.0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180.0</v>
      </c>
      <c r="E33" s="8">
        <v>46107.43011444445</v>
      </c>
      <c r="F33" s="2"/>
      <c r="G33" s="20">
        <v>50.0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18.0</v>
      </c>
      <c r="E34" s="8">
        <v>46107.4308790625</v>
      </c>
      <c r="F34" s="2"/>
      <c r="G34" s="20">
        <v>60.0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47</v>
      </c>
      <c r="D35" s="6">
        <v>24.0</v>
      </c>
      <c r="E35" s="8">
        <v>46107.43232400463</v>
      </c>
      <c r="F35" s="2"/>
      <c r="G35" s="20">
        <v>60.0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35.0</v>
      </c>
      <c r="E36" s="8">
        <v>46107.45181239583</v>
      </c>
      <c r="F36" s="2"/>
      <c r="G36" s="20">
        <v>60.0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 t="s">
        <v>49</v>
      </c>
      <c r="C37" s="7" t="s">
        <v>50</v>
      </c>
      <c r="D37" s="6">
        <v>48.0</v>
      </c>
      <c r="E37" s="8">
        <v>46107.45196847222</v>
      </c>
      <c r="F37" s="2"/>
      <c r="G37" s="20">
        <v>24.0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30.0</v>
      </c>
      <c r="E38" s="8">
        <v>46107.45834914352</v>
      </c>
      <c r="F38" s="2"/>
      <c r="G38" s="20">
        <v>232.0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7.0</v>
      </c>
      <c r="C39" s="7" t="s">
        <v>52</v>
      </c>
      <c r="D39" s="6">
        <v>56.0</v>
      </c>
      <c r="E39" s="8">
        <v>46107.47426666667</v>
      </c>
      <c r="F39" s="2"/>
      <c r="G39" s="20">
        <v>198.0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115.0</v>
      </c>
      <c r="E40" s="8">
        <v>46107.4786900926</v>
      </c>
      <c r="F40" s="2"/>
      <c r="G40" s="20">
        <v>65.0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10.0</v>
      </c>
      <c r="E41" s="8">
        <v>46107.48479689815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 t="s">
        <v>55</v>
      </c>
      <c r="C42" s="7" t="s">
        <v>56</v>
      </c>
      <c r="D42" s="6">
        <v>10.0</v>
      </c>
      <c r="E42" s="8">
        <v>46107.48486491898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96.0</v>
      </c>
      <c r="E43" s="8">
        <v>46107.491216435184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6.0</v>
      </c>
      <c r="C44" s="7" t="s">
        <v>58</v>
      </c>
      <c r="D44" s="6">
        <v>54.0</v>
      </c>
      <c r="E44" s="8">
        <v>46107.49130368055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59.0</v>
      </c>
      <c r="E45" s="8">
        <v>46107.49138119213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8.5</v>
      </c>
      <c r="E46" s="8">
        <v>46107.51131872685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9.0</v>
      </c>
      <c r="E47" s="8">
        <v>46107.511395416666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62</v>
      </c>
      <c r="D48" s="6">
        <v>18.0</v>
      </c>
      <c r="E48" s="8">
        <v>46107.52065907407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10.0</v>
      </c>
      <c r="C49" s="7" t="s">
        <v>63</v>
      </c>
      <c r="D49" s="6">
        <v>1.5</v>
      </c>
      <c r="E49" s="8">
        <v>46107.5272744213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75.0</v>
      </c>
      <c r="E50" s="8">
        <v>46107.527399768514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65</v>
      </c>
      <c r="D51" s="6">
        <v>26.0</v>
      </c>
      <c r="E51" s="8">
        <v>46107.53026550926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210.0</v>
      </c>
      <c r="E52" s="8">
        <v>46107.55072721065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88.0</v>
      </c>
      <c r="E53" s="8">
        <v>46107.55546628472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68</v>
      </c>
      <c r="D54" s="6">
        <v>40.0</v>
      </c>
      <c r="E54" s="8">
        <v>46107.57147106482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69</v>
      </c>
      <c r="C55" s="7" t="s">
        <v>70</v>
      </c>
      <c r="D55" s="6">
        <v>6.0</v>
      </c>
      <c r="E55" s="8">
        <v>46107.57794195601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71</v>
      </c>
      <c r="C56" s="7" t="s">
        <v>72</v>
      </c>
      <c r="D56" s="6">
        <v>50.0</v>
      </c>
      <c r="E56" s="8">
        <v>46107.58307891204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28.0</v>
      </c>
      <c r="E57" s="8">
        <v>46107.5996391088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74</v>
      </c>
      <c r="D58" s="6">
        <v>68.0</v>
      </c>
      <c r="E58" s="8">
        <v>46107.599745659725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3.5</v>
      </c>
      <c r="E59" s="8">
        <v>46107.601273796296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210.0</v>
      </c>
      <c r="E60" s="8">
        <v>46107.60620796296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4.0</v>
      </c>
      <c r="E61" s="8">
        <v>46107.62451483797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11.0</v>
      </c>
      <c r="E62" s="8">
        <v>46107.62456190972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45.0</v>
      </c>
      <c r="E63" s="8">
        <v>46107.624603564815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24.0</v>
      </c>
      <c r="E64" s="8">
        <v>46107.63699753472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232.0</v>
      </c>
      <c r="E65" s="8">
        <v>46107.645377256944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75.0</v>
      </c>
      <c r="E66" s="8">
        <v>46107.65870598379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12.0</v>
      </c>
      <c r="C67" s="7" t="s">
        <v>83</v>
      </c>
      <c r="D67" s="6">
        <v>6.0</v>
      </c>
      <c r="E67" s="8">
        <v>46107.67340300926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12.0</v>
      </c>
      <c r="C68" s="7" t="s">
        <v>84</v>
      </c>
      <c r="D68" s="6">
        <v>6.5</v>
      </c>
      <c r="E68" s="8">
        <v>46107.67350376157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85</v>
      </c>
      <c r="D69" s="6">
        <v>40.0</v>
      </c>
      <c r="E69" s="8">
        <v>46107.674473437495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86</v>
      </c>
      <c r="D70" s="6">
        <v>16.0</v>
      </c>
      <c r="E70" s="8">
        <v>46107.679786319444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90.0</v>
      </c>
      <c r="E71" s="8">
        <v>46107.6811834838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23">
        <v>46113.0</v>
      </c>
      <c r="C72" s="7" t="s">
        <v>88</v>
      </c>
      <c r="D72" s="6">
        <v>14.5</v>
      </c>
      <c r="E72" s="8">
        <v>46107.689454479165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51</v>
      </c>
      <c r="D73" s="6">
        <v>30.0</v>
      </c>
      <c r="E73" s="8">
        <v>46107.689780810186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20.0</v>
      </c>
      <c r="E74" s="8">
        <v>46107.70968987269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13.0</v>
      </c>
      <c r="E75" s="8">
        <v>46107.70981901621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12.0</v>
      </c>
      <c r="E76" s="8">
        <v>46107.71789695602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18.0</v>
      </c>
      <c r="E77" s="8">
        <v>46107.7249641088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93</v>
      </c>
      <c r="D78" s="6">
        <v>63.0</v>
      </c>
      <c r="E78" s="8">
        <v>46107.72803539352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6">
        <v>2.0</v>
      </c>
      <c r="E79" s="8">
        <v>46107.728077175925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150.0</v>
      </c>
      <c r="E80" s="8">
        <v>46107.72818041667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25.0</v>
      </c>
      <c r="E81" s="8">
        <v>46107.72823813657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97</v>
      </c>
      <c r="D82" s="6">
        <v>23.0</v>
      </c>
      <c r="E82" s="8">
        <v>46107.72832247685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4"/>
      <c r="D83" s="25"/>
      <c r="E83" s="26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26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26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26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6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6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6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6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6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6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6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6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6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6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6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6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6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6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6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6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6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6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6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6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6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6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6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6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6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6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6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6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6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6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6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6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6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6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6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6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6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6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6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6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6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6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6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6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6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6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6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6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6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