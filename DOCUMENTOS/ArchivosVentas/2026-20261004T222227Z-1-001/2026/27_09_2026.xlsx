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<sst xmlns="http://schemas.openxmlformats.org/spreadsheetml/2006/main" count="120" uniqueCount="115">
  <si>
    <t>HOJA DE CALCULO FERRETERIA</t>
  </si>
  <si>
    <t>CODIGO</t>
  </si>
  <si>
    <t>CANTIDAD</t>
  </si>
  <si>
    <t>DESCRIPCION</t>
  </si>
  <si>
    <t>TOTAL</t>
  </si>
  <si>
    <t>HORA</t>
  </si>
  <si>
    <t>CUADRAR</t>
  </si>
  <si>
    <t>adaptador</t>
  </si>
  <si>
    <t>pils aaa</t>
  </si>
  <si>
    <t>MONEDAS</t>
  </si>
  <si>
    <t>CAJA CHICA</t>
  </si>
  <si>
    <t>0,5 mt</t>
  </si>
  <si>
    <t>manguera 1</t>
  </si>
  <si>
    <t>BILLETES 10-20</t>
  </si>
  <si>
    <t>TOTAL VENTAS DIA</t>
  </si>
  <si>
    <t>kl electrod grueso</t>
  </si>
  <si>
    <t>BILLETES 50-100-200</t>
  </si>
  <si>
    <t>AUMENTO DE DINERO</t>
  </si>
  <si>
    <t>disco cotte norton 9</t>
  </si>
  <si>
    <t>INGRESOS YAPE</t>
  </si>
  <si>
    <t>LALVE DE PSO 3/4</t>
  </si>
  <si>
    <t>INGRESOS TARJETA</t>
  </si>
  <si>
    <t>NIPLE TIRE 3/4</t>
  </si>
  <si>
    <t>GASTOS VARIOS</t>
  </si>
  <si>
    <t>BADOLA TRUPER</t>
  </si>
  <si>
    <t>LENTE TRUPERS</t>
  </si>
  <si>
    <t>DINERO GANADO HOY:</t>
  </si>
  <si>
    <t>CANTIDAD DINERO CAJA:</t>
  </si>
  <si>
    <t>CLEFA</t>
  </si>
  <si>
    <t>AEROSOL</t>
  </si>
  <si>
    <t>kl alambre deamarre</t>
  </si>
  <si>
    <t xml:space="preserve">cina tela </t>
  </si>
  <si>
    <t>guanes truper</t>
  </si>
  <si>
    <t>autoperfornat</t>
  </si>
  <si>
    <t>YAPE MAMÁ</t>
  </si>
  <si>
    <t>YAPE PAPÁ</t>
  </si>
  <si>
    <t>YAPE</t>
  </si>
  <si>
    <t>malla milimaetra</t>
  </si>
  <si>
    <t>Monto Total YAPE (No tocar):</t>
  </si>
  <si>
    <t>bandolas</t>
  </si>
  <si>
    <t>puntas ph2</t>
  </si>
  <si>
    <t>Monto Total Registrado en aplicacion</t>
  </si>
  <si>
    <t>repuesto de estilete</t>
  </si>
  <si>
    <t>juego de p´ntas</t>
  </si>
  <si>
    <t>lapiz bicolor</t>
  </si>
  <si>
    <t>gangocho</t>
  </si>
  <si>
    <t>lete trasnparente</t>
  </si>
  <si>
    <t>latex 18</t>
  </si>
  <si>
    <t>rodillo tigre</t>
  </si>
  <si>
    <t>soporte tigre</t>
  </si>
  <si>
    <t>PAGOS YAPE</t>
  </si>
  <si>
    <t>DESCRIPCION PAGO</t>
  </si>
  <si>
    <t>m lija 120</t>
  </si>
  <si>
    <t>rodillo rendimaz</t>
  </si>
  <si>
    <t xml:space="preserve">gotita </t>
  </si>
  <si>
    <t>brocha atlas</t>
  </si>
  <si>
    <t xml:space="preserve">baerias </t>
  </si>
  <si>
    <t>talador inalambric jadever</t>
  </si>
  <si>
    <t>broca 6</t>
  </si>
  <si>
    <t>broca 7</t>
  </si>
  <si>
    <t>juego de lamnias</t>
  </si>
  <si>
    <t>eccole</t>
  </si>
  <si>
    <t>lija de sgua</t>
  </si>
  <si>
    <t>coplas</t>
  </si>
  <si>
    <t>adaptador kontac</t>
  </si>
  <si>
    <t>adaptadtor ultra</t>
  </si>
  <si>
    <t>candado 32mm</t>
  </si>
  <si>
    <t>arco con sierra</t>
  </si>
  <si>
    <t>escamiciata</t>
  </si>
  <si>
    <t xml:space="preserve">union patnete </t>
  </si>
  <si>
    <t>cemento cola</t>
  </si>
  <si>
    <t>broca fierro 12</t>
  </si>
  <si>
    <t>tapa aolchada</t>
  </si>
  <si>
    <t>guante asatex</t>
  </si>
  <si>
    <t>cubre cable 10*15</t>
  </si>
  <si>
    <t>ramplu 6</t>
  </si>
  <si>
    <t>tornillos</t>
  </si>
  <si>
    <t>codo</t>
  </si>
  <si>
    <t>disco removedor de pintura</t>
  </si>
  <si>
    <t>chicotillo 40cm</t>
  </si>
  <si>
    <t>niple 1/2</t>
  </si>
  <si>
    <t>reduccion 3/4x1/2</t>
  </si>
  <si>
    <t>cintas asilante</t>
  </si>
  <si>
    <t>tee 3/4 tigre</t>
  </si>
  <si>
    <t>unionpatente 3/4 t</t>
  </si>
  <si>
    <t>bolsa de precinto</t>
  </si>
  <si>
    <t>cinta asialnte</t>
  </si>
  <si>
    <t>silicona trnaparente</t>
  </si>
  <si>
    <t>flexo 10m</t>
  </si>
  <si>
    <t>casquete dobe</t>
  </si>
  <si>
    <t>toma blanca</t>
  </si>
  <si>
    <t>clavija tramon</t>
  </si>
  <si>
    <t>mastillo chato</t>
  </si>
  <si>
    <t>par bisagra 2</t>
  </si>
  <si>
    <t>ROLLO PLSRILO</t>
  </si>
  <si>
    <t>ASUTOMATICO BOMBA RELOG</t>
  </si>
  <si>
    <t>rodillo esponja 15cm</t>
  </si>
  <si>
    <t>acople rapido h compresora</t>
  </si>
  <si>
    <t xml:space="preserve">cepillo copa </t>
  </si>
  <si>
    <t>tijera de podar tr</t>
  </si>
  <si>
    <t>kl alambre de amrre</t>
  </si>
  <si>
    <t>m manguer 3/4</t>
  </si>
  <si>
    <t>concectro de 3/4</t>
  </si>
  <si>
    <t>adapatador</t>
  </si>
  <si>
    <t>conectroere tolse</t>
  </si>
  <si>
    <t>regador tramaontie</t>
  </si>
  <si>
    <t>abrazadera</t>
  </si>
  <si>
    <t>desrmadro recervisle</t>
  </si>
  <si>
    <t>ecole</t>
  </si>
  <si>
    <t>toma chuko</t>
  </si>
  <si>
    <t>tubo</t>
  </si>
  <si>
    <t>flexo 5 truper</t>
  </si>
  <si>
    <t>gotia gel</t>
  </si>
  <si>
    <t>flaper astra</t>
  </si>
  <si>
    <t>flapertrueprz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</si>
</sst>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1" fillId="9" fontId="5" numFmtId="0" xfId="0" applyAlignment="1" applyBorder="1" applyFill="1" applyFont="1">
      <alignment horizontal="center" readingOrder="0" shrinkToFit="0" vertical="center" wrapText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15.0</v>
      </c>
      <c r="E8" s="8">
        <v>46292.404499895834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19.0</v>
      </c>
      <c r="E9" s="8">
        <v>46292.42299038194</v>
      </c>
      <c r="F9" s="2"/>
      <c r="G9" s="9" t="s">
        <v>9</v>
      </c>
      <c r="H9" s="10">
        <v>83.5</v>
      </c>
      <c r="I9" s="2"/>
      <c r="J9" s="9" t="s">
        <v>10</v>
      </c>
      <c r="K9" s="10">
        <v>400.0</v>
      </c>
      <c r="L9" s="2"/>
      <c r="M9" s="2"/>
      <c r="N9" s="2"/>
      <c r="O9" s="2"/>
      <c r="P9" s="2"/>
      <c r="Q9" s="2"/>
    </row>
    <row r="10" ht="22.5" customHeight="1">
      <c r="A10" s="6"/>
      <c r="B10" s="6" t="s">
        <v>11</v>
      </c>
      <c r="C10" s="7" t="s">
        <v>12</v>
      </c>
      <c r="D10" s="6">
        <v>12.5</v>
      </c>
      <c r="E10" s="8">
        <v>46292.42329960648</v>
      </c>
      <c r="F10" s="2"/>
      <c r="G10" s="9" t="s">
        <v>13</v>
      </c>
      <c r="H10" s="10">
        <v>500.0</v>
      </c>
      <c r="I10" s="2"/>
      <c r="J10" s="9" t="s">
        <v>14</v>
      </c>
      <c r="K10" s="11">
        <f>SUM(PRINCIPAL[TOTAL])</f>
        <v>4562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15</v>
      </c>
      <c r="D11" s="6">
        <v>56.0</v>
      </c>
      <c r="E11" s="8">
        <v>46292.42546184028</v>
      </c>
      <c r="F11" s="2"/>
      <c r="G11" s="9" t="s">
        <v>16</v>
      </c>
      <c r="H11" s="10">
        <v>2350.0</v>
      </c>
      <c r="I11" s="2"/>
      <c r="J11" s="9" t="s">
        <v>17</v>
      </c>
      <c r="K11" s="10">
        <v>300.0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6">
        <v>32.0</v>
      </c>
      <c r="E12" s="8">
        <v>46292.42555395833</v>
      </c>
      <c r="F12" s="2"/>
      <c r="G12" s="9" t="s">
        <v>19</v>
      </c>
      <c r="H12" s="12">
        <f>SUM(G24:H70)</f>
        <v>1857.5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105.0</v>
      </c>
      <c r="E13" s="8">
        <v>46292.47305728009</v>
      </c>
      <c r="F13" s="2"/>
      <c r="G13" s="9" t="s">
        <v>21</v>
      </c>
      <c r="H13" s="10">
        <v>426.5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22</v>
      </c>
      <c r="D14" s="6">
        <v>7.0</v>
      </c>
      <c r="E14" s="8">
        <v>46292.473229826384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24</v>
      </c>
      <c r="D15" s="6">
        <v>28.0</v>
      </c>
      <c r="E15" s="8">
        <v>46292.4750268287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25</v>
      </c>
      <c r="D16" s="6">
        <v>34.0</v>
      </c>
      <c r="E16" s="8">
        <v>46292.482256469906</v>
      </c>
      <c r="F16" s="2"/>
      <c r="G16" s="15" t="s">
        <v>26</v>
      </c>
      <c r="H16" s="16">
        <f>SUM(H9:H14)</f>
        <v>5217.5</v>
      </c>
      <c r="I16" s="3"/>
      <c r="J16" s="15" t="s">
        <v>27</v>
      </c>
      <c r="K16" s="16">
        <f>SUM(K9:K11)</f>
        <v>5262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25</v>
      </c>
      <c r="D17" s="6">
        <v>62.0</v>
      </c>
      <c r="E17" s="8">
        <v>46292.482104421295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17.0</v>
      </c>
      <c r="E18" s="8">
        <v>46292.482147118055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44,50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20.0</v>
      </c>
      <c r="E19" s="8">
        <v>46292.48220042824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4.0</v>
      </c>
      <c r="C20" s="7" t="s">
        <v>30</v>
      </c>
      <c r="D20" s="6">
        <v>80.0</v>
      </c>
      <c r="E20" s="8">
        <v>46293.35139383102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20.0</v>
      </c>
      <c r="E21" s="8">
        <v>46293.35147273148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3.0</v>
      </c>
      <c r="C22" s="7" t="s">
        <v>32</v>
      </c>
      <c r="D22" s="6">
        <v>69.0</v>
      </c>
      <c r="E22" s="8">
        <v>46293.35151702546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12.0</v>
      </c>
      <c r="C23" s="7" t="s">
        <v>33</v>
      </c>
      <c r="D23" s="6">
        <v>2.0</v>
      </c>
      <c r="E23" s="8">
        <v>46293.35167329861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22">
        <v>46054.0</v>
      </c>
      <c r="C24" s="7" t="s">
        <v>37</v>
      </c>
      <c r="D24" s="6">
        <v>10.0</v>
      </c>
      <c r="E24" s="8">
        <v>46293.3623340162</v>
      </c>
      <c r="F24" s="2"/>
      <c r="G24" s="23">
        <v>31.5</v>
      </c>
      <c r="H24" s="24"/>
      <c r="I24" s="2"/>
      <c r="J24" s="25" t="s">
        <v>38</v>
      </c>
      <c r="K24" s="26">
        <f>SUM(INGRESOS_YAPE[])</f>
        <v>1857.5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39</v>
      </c>
      <c r="D25" s="6">
        <v>54.0</v>
      </c>
      <c r="E25" s="8">
        <v>46293.36272809027</v>
      </c>
      <c r="F25" s="2"/>
      <c r="G25" s="23">
        <v>28.0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40</v>
      </c>
      <c r="D26" s="6">
        <v>10.0</v>
      </c>
      <c r="E26" s="8">
        <v>46293.36291394676</v>
      </c>
      <c r="F26" s="2"/>
      <c r="G26" s="27">
        <v>65.0</v>
      </c>
      <c r="H26" s="24"/>
      <c r="I26" s="2"/>
      <c r="J26" s="28" t="s">
        <v>41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23.0</v>
      </c>
      <c r="E27" s="8">
        <v>46293.36301104167</v>
      </c>
      <c r="F27" s="2"/>
      <c r="G27" s="23">
        <v>54.0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30">
        <v>20.0</v>
      </c>
      <c r="E28" s="8">
        <v>46293.36307917824</v>
      </c>
      <c r="F28" s="2"/>
      <c r="G28" s="23">
        <v>48.0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44</v>
      </c>
      <c r="D29" s="6">
        <v>7.0</v>
      </c>
      <c r="E29" s="8">
        <v>46293.36324144676</v>
      </c>
      <c r="F29" s="2"/>
      <c r="G29" s="23">
        <v>299.0</v>
      </c>
      <c r="H29" s="24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1857,50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6.0</v>
      </c>
      <c r="E30" s="8">
        <v>46293.363307673615</v>
      </c>
      <c r="F30" s="2"/>
      <c r="G30" s="23">
        <v>18.0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12.0</v>
      </c>
      <c r="E31" s="8">
        <v>46293.364557106484</v>
      </c>
      <c r="F31" s="2"/>
      <c r="G31" s="23">
        <v>52.0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572.0</v>
      </c>
      <c r="E32" s="8">
        <v>46293.3896578125</v>
      </c>
      <c r="F32" s="2"/>
      <c r="G32" s="23">
        <v>32.0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16.0</v>
      </c>
      <c r="E33" s="8">
        <v>46293.38971427083</v>
      </c>
      <c r="F33" s="2"/>
      <c r="G33" s="23">
        <v>233.0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15.0</v>
      </c>
      <c r="E34" s="8">
        <v>46293.389772800925</v>
      </c>
      <c r="F34" s="2"/>
      <c r="G34" s="23">
        <v>602.0</v>
      </c>
      <c r="H34" s="24"/>
      <c r="I34" s="2"/>
      <c r="J34" s="32" t="s">
        <v>50</v>
      </c>
      <c r="K34" s="32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22">
        <v>46054.0</v>
      </c>
      <c r="C35" s="7" t="s">
        <v>52</v>
      </c>
      <c r="D35" s="6">
        <v>5.0</v>
      </c>
      <c r="E35" s="8">
        <v>46293.389988020834</v>
      </c>
      <c r="F35" s="2"/>
      <c r="G35" s="23">
        <v>395.0</v>
      </c>
      <c r="H35" s="24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21.0</v>
      </c>
      <c r="E36" s="8">
        <v>46293.39015420139</v>
      </c>
      <c r="F36" s="2"/>
      <c r="G36" s="24"/>
      <c r="H36" s="24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54</v>
      </c>
      <c r="D37" s="6">
        <v>10.0</v>
      </c>
      <c r="E37" s="8">
        <v>46293.39027319444</v>
      </c>
      <c r="F37" s="2"/>
      <c r="G37" s="24"/>
      <c r="H37" s="24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10.0</v>
      </c>
      <c r="E38" s="8">
        <v>46293.39037824074</v>
      </c>
      <c r="F38" s="2"/>
      <c r="G38" s="24"/>
      <c r="H38" s="24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56</v>
      </c>
      <c r="D39" s="6">
        <v>54.0</v>
      </c>
      <c r="E39" s="8">
        <v>46293.401232812495</v>
      </c>
      <c r="F39" s="2"/>
      <c r="G39" s="24"/>
      <c r="H39" s="24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57</v>
      </c>
      <c r="D40" s="6">
        <v>400.0</v>
      </c>
      <c r="E40" s="8">
        <v>46293.4020766551</v>
      </c>
      <c r="F40" s="2"/>
      <c r="G40" s="24"/>
      <c r="H40" s="24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7.0</v>
      </c>
      <c r="E41" s="8">
        <v>46293.40224461806</v>
      </c>
      <c r="F41" s="2"/>
      <c r="G41" s="24"/>
      <c r="H41" s="24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59</v>
      </c>
      <c r="D42" s="6">
        <v>7.5</v>
      </c>
      <c r="E42" s="8">
        <v>46293.402406967594</v>
      </c>
      <c r="F42" s="2"/>
      <c r="G42" s="24"/>
      <c r="H42" s="24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6">
        <v>12.0</v>
      </c>
      <c r="E43" s="8">
        <v>46293.40419045139</v>
      </c>
      <c r="F43" s="2"/>
      <c r="G43" s="24"/>
      <c r="H43" s="24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61</v>
      </c>
      <c r="D44" s="6">
        <v>10.0</v>
      </c>
      <c r="E44" s="8">
        <v>46293.40424938657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6.0</v>
      </c>
      <c r="C45" s="7" t="s">
        <v>62</v>
      </c>
      <c r="D45" s="6">
        <v>30.0</v>
      </c>
      <c r="E45" s="8">
        <v>46293.40910099537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3.0</v>
      </c>
      <c r="C46" s="7" t="s">
        <v>63</v>
      </c>
      <c r="D46" s="6">
        <v>9.0</v>
      </c>
      <c r="E46" s="8">
        <v>46293.41196049769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15.0</v>
      </c>
      <c r="E47" s="8">
        <v>46293.41589390046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9.0</v>
      </c>
      <c r="E48" s="8">
        <v>46293.41600319445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30">
        <v>30.0</v>
      </c>
      <c r="E49" s="8">
        <v>46293.41610074074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67</v>
      </c>
      <c r="D50" s="6">
        <v>10.0</v>
      </c>
      <c r="E50" s="8">
        <v>46293.41664734954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68</v>
      </c>
      <c r="D51" s="6">
        <v>42.0</v>
      </c>
      <c r="E51" s="8">
        <v>46293.41723121528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69</v>
      </c>
      <c r="D52" s="6">
        <v>29.0</v>
      </c>
      <c r="E52" s="8">
        <v>46293.42539049769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70</v>
      </c>
      <c r="D53" s="6">
        <v>32.0</v>
      </c>
      <c r="E53" s="8">
        <v>46293.43360454861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71</v>
      </c>
      <c r="D54" s="6">
        <v>298.0</v>
      </c>
      <c r="E54" s="8">
        <v>46293.43993930556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72</v>
      </c>
      <c r="D55" s="6">
        <v>145.0</v>
      </c>
      <c r="E55" s="8">
        <v>46293.44881423611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73</v>
      </c>
      <c r="D56" s="6">
        <v>10.0</v>
      </c>
      <c r="E56" s="8">
        <v>46293.45012978009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4.0</v>
      </c>
      <c r="C57" s="7" t="s">
        <v>74</v>
      </c>
      <c r="D57" s="6">
        <v>32.0</v>
      </c>
      <c r="E57" s="8">
        <v>46293.49524505787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24.0</v>
      </c>
      <c r="C58" s="7" t="s">
        <v>75</v>
      </c>
      <c r="D58" s="6">
        <v>3.0</v>
      </c>
      <c r="E58" s="8">
        <v>46293.495320671296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6.0</v>
      </c>
      <c r="C59" s="7" t="s">
        <v>76</v>
      </c>
      <c r="D59" s="30">
        <v>2.0</v>
      </c>
      <c r="E59" s="8">
        <v>46293.49544315972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77</v>
      </c>
      <c r="D60" s="6">
        <v>4.0</v>
      </c>
      <c r="E60" s="8">
        <v>46293.50719377315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78</v>
      </c>
      <c r="D61" s="6">
        <v>42.0</v>
      </c>
      <c r="E61" s="8">
        <v>46293.516049178244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79</v>
      </c>
      <c r="D62" s="6">
        <v>15.0</v>
      </c>
      <c r="E62" s="8">
        <v>46293.539204155095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80</v>
      </c>
      <c r="D63" s="6">
        <v>2.0</v>
      </c>
      <c r="E63" s="8">
        <v>46293.55578846065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81</v>
      </c>
      <c r="D64" s="6">
        <v>2.5</v>
      </c>
      <c r="E64" s="8">
        <v>46293.53935234954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82</v>
      </c>
      <c r="D65" s="6">
        <v>9.0</v>
      </c>
      <c r="E65" s="8"/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14.0</v>
      </c>
      <c r="E66" s="35"/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82</v>
      </c>
      <c r="D67" s="6">
        <v>14.0</v>
      </c>
      <c r="E67" s="8">
        <v>46293.555873969904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3.0</v>
      </c>
      <c r="C68" s="7" t="s">
        <v>83</v>
      </c>
      <c r="D68" s="6">
        <v>27.0</v>
      </c>
      <c r="E68" s="8">
        <v>46293.56139827546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84</v>
      </c>
      <c r="D69" s="6">
        <v>15.0</v>
      </c>
      <c r="E69" s="8">
        <v>46293.56146140046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85</v>
      </c>
      <c r="D70" s="6">
        <v>14.0</v>
      </c>
      <c r="E70" s="8">
        <v>46293.57854040509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86</v>
      </c>
      <c r="D71" s="6">
        <v>9.0</v>
      </c>
      <c r="E71" s="35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86</v>
      </c>
      <c r="D72" s="6">
        <v>9.0</v>
      </c>
      <c r="E72" s="35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86</v>
      </c>
      <c r="D73" s="6">
        <v>9.0</v>
      </c>
      <c r="E73" s="8">
        <v>46293.57863546297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87</v>
      </c>
      <c r="D74" s="6">
        <v>34.0</v>
      </c>
      <c r="E74" s="8">
        <v>46293.58559480324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88</v>
      </c>
      <c r="D75" s="6">
        <v>52.0</v>
      </c>
      <c r="E75" s="8">
        <v>46293.60286247685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89</v>
      </c>
      <c r="D76" s="6">
        <v>15.0</v>
      </c>
      <c r="E76" s="8">
        <v>46293.64187574074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90</v>
      </c>
      <c r="D77" s="6">
        <v>22.0</v>
      </c>
      <c r="E77" s="8">
        <v>46293.641833622685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91</v>
      </c>
      <c r="D78" s="6">
        <v>8.0</v>
      </c>
      <c r="E78" s="8">
        <v>46293.64178827546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92</v>
      </c>
      <c r="D79" s="6">
        <v>28.0</v>
      </c>
      <c r="E79" s="8">
        <v>46293.670808333336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4.0</v>
      </c>
      <c r="C80" s="7" t="s">
        <v>93</v>
      </c>
      <c r="D80" s="6">
        <v>20.0</v>
      </c>
      <c r="E80" s="8">
        <v>46293.67088903935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94</v>
      </c>
      <c r="D81" s="6">
        <v>395.0</v>
      </c>
      <c r="E81" s="8">
        <v>46293.68169085648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95</v>
      </c>
      <c r="D82" s="6">
        <v>299.0</v>
      </c>
      <c r="E82" s="8">
        <v>46293.68425524306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96</v>
      </c>
      <c r="D83" s="6">
        <v>18.0</v>
      </c>
      <c r="E83" s="8">
        <v>46293.68997936342</v>
      </c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97</v>
      </c>
      <c r="D84" s="6">
        <v>52.0</v>
      </c>
      <c r="E84" s="8">
        <v>46293.69231168981</v>
      </c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98</v>
      </c>
      <c r="D85" s="6">
        <v>32.0</v>
      </c>
      <c r="E85" s="8">
        <v>46293.70166774305</v>
      </c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99</v>
      </c>
      <c r="D86" s="6">
        <v>233.0</v>
      </c>
      <c r="E86" s="8">
        <v>46293.70634146991</v>
      </c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100</v>
      </c>
      <c r="D87" s="6">
        <v>20.0</v>
      </c>
      <c r="E87" s="8">
        <v>46293.71785292824</v>
      </c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20.0</v>
      </c>
      <c r="C88" s="7" t="s">
        <v>101</v>
      </c>
      <c r="D88" s="6">
        <v>320.0</v>
      </c>
      <c r="E88" s="8">
        <v>46293.72936045139</v>
      </c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102</v>
      </c>
      <c r="D89" s="6">
        <v>7.5</v>
      </c>
      <c r="E89" s="8">
        <v>46293.72926930556</v>
      </c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103</v>
      </c>
      <c r="D90" s="6">
        <v>8.0</v>
      </c>
      <c r="E90" s="8">
        <v>46293.72911396991</v>
      </c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2.0</v>
      </c>
      <c r="C91" s="7" t="s">
        <v>104</v>
      </c>
      <c r="D91" s="6">
        <v>22.0</v>
      </c>
      <c r="E91" s="8">
        <v>46293.72907332176</v>
      </c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105</v>
      </c>
      <c r="D92" s="6">
        <v>55.0</v>
      </c>
      <c r="E92" s="8">
        <v>46293.7289325</v>
      </c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106</v>
      </c>
      <c r="D93" s="6">
        <v>4.0</v>
      </c>
      <c r="E93" s="8">
        <v>46293.72882921297</v>
      </c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107</v>
      </c>
      <c r="D94" s="6">
        <v>10.0</v>
      </c>
      <c r="E94" s="8">
        <v>46293.728783252314</v>
      </c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108</v>
      </c>
      <c r="D95" s="36"/>
      <c r="E95" s="8">
        <v>46293.73819724537</v>
      </c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109</v>
      </c>
      <c r="D96" s="6">
        <v>25.0</v>
      </c>
      <c r="E96" s="8">
        <v>46293.746977222225</v>
      </c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3.0</v>
      </c>
      <c r="C97" s="7" t="s">
        <v>110</v>
      </c>
      <c r="D97" s="6">
        <v>21.0</v>
      </c>
      <c r="E97" s="8">
        <v>46293.74719162037</v>
      </c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111</v>
      </c>
      <c r="D98" s="6">
        <v>75.0</v>
      </c>
      <c r="E98" s="8">
        <v>46293.74923810185</v>
      </c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112</v>
      </c>
      <c r="D99" s="6">
        <v>15.0</v>
      </c>
      <c r="E99" s="8">
        <v>46293.75372871528</v>
      </c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113</v>
      </c>
      <c r="D100" s="6">
        <v>12.0</v>
      </c>
      <c r="E100" s="8">
        <v>46293.76958207176</v>
      </c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114</v>
      </c>
      <c r="D101" s="6">
        <v>18.0</v>
      </c>
      <c r="E101" s="8">
        <v>46293.76967666666</v>
      </c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7"/>
      <c r="D102" s="36"/>
      <c r="E102" s="35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7"/>
      <c r="D103" s="36"/>
      <c r="E103" s="35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7"/>
      <c r="D104" s="36"/>
      <c r="E104" s="35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7"/>
      <c r="D105" s="36"/>
      <c r="E105" s="35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7"/>
      <c r="D106" s="36"/>
      <c r="E106" s="35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7"/>
      <c r="D107" s="36"/>
      <c r="E107" s="35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7"/>
      <c r="D108" s="36"/>
      <c r="E108" s="35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7"/>
      <c r="D109" s="36"/>
      <c r="E109" s="35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7"/>
      <c r="D110" s="36"/>
      <c r="E110" s="35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7"/>
      <c r="D111" s="36"/>
      <c r="E111" s="35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7"/>
      <c r="D112" s="36"/>
      <c r="E112" s="35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7"/>
      <c r="D113" s="36"/>
      <c r="E113" s="35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7"/>
      <c r="D114" s="36"/>
      <c r="E114" s="35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7"/>
      <c r="D115" s="36"/>
      <c r="E115" s="35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7"/>
      <c r="D116" s="36"/>
      <c r="E116" s="35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7"/>
      <c r="D117" s="36"/>
      <c r="E117" s="35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7"/>
      <c r="D118" s="36"/>
      <c r="E118" s="35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7"/>
      <c r="D119" s="36"/>
      <c r="E119" s="35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7"/>
      <c r="D120" s="36"/>
      <c r="E120" s="35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7"/>
      <c r="D121" s="36"/>
      <c r="E121" s="35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7"/>
      <c r="D122" s="36"/>
      <c r="E122" s="35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7"/>
      <c r="D123" s="36"/>
      <c r="E123" s="35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7"/>
      <c r="D124" s="36"/>
      <c r="E124" s="35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7"/>
      <c r="D125" s="36"/>
      <c r="E125" s="35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7"/>
      <c r="D126" s="36"/>
      <c r="E126" s="35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7"/>
      <c r="D127" s="36"/>
      <c r="E127" s="35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7"/>
      <c r="D128" s="36"/>
      <c r="E128" s="35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7"/>
      <c r="D129" s="36"/>
      <c r="E129" s="35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7"/>
      <c r="D130" s="36"/>
      <c r="E130" s="35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7"/>
      <c r="D131" s="36"/>
      <c r="E131" s="35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7"/>
      <c r="D132" s="36"/>
      <c r="E132" s="35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7"/>
      <c r="D133" s="36"/>
      <c r="E133" s="35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7"/>
      <c r="D134" s="36"/>
      <c r="E134" s="35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7"/>
      <c r="D135" s="36"/>
      <c r="E135" s="35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7"/>
      <c r="D136" s="36"/>
      <c r="E136" s="35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7"/>
      <c r="D137" s="36"/>
      <c r="E137" s="35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7"/>
      <c r="D138" s="36"/>
      <c r="E138" s="35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7"/>
      <c r="D139" s="36"/>
      <c r="E139" s="35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7"/>
      <c r="D140" s="36"/>
      <c r="E140" s="35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7"/>
      <c r="D141" s="36"/>
      <c r="E141" s="35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7"/>
      <c r="D142" s="36"/>
      <c r="E142" s="35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7"/>
      <c r="D143" s="36"/>
      <c r="E143" s="35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7"/>
      <c r="D144" s="36"/>
      <c r="E144" s="35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7"/>
      <c r="D145" s="36"/>
      <c r="E145" s="35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7"/>
      <c r="D146" s="36"/>
      <c r="E146" s="35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7"/>
      <c r="D147" s="36"/>
      <c r="E147" s="35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7"/>
      <c r="D148" s="36"/>
      <c r="E148" s="35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7"/>
      <c r="D149" s="36"/>
      <c r="E149" s="35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7"/>
      <c r="D150" s="36"/>
      <c r="E150" s="35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7"/>
      <c r="D151" s="36"/>
      <c r="E151" s="35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7"/>
      <c r="D152" s="36"/>
      <c r="E152" s="35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7"/>
      <c r="D153" s="36"/>
      <c r="E153" s="35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7"/>
      <c r="D154" s="36"/>
      <c r="E154" s="35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7"/>
      <c r="D155" s="36"/>
      <c r="E155" s="35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7"/>
      <c r="D156" s="36"/>
      <c r="E156" s="35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7"/>
      <c r="D157" s="36"/>
      <c r="E157" s="35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7"/>
      <c r="D158" s="36"/>
      <c r="E158" s="35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7"/>
      <c r="D159" s="36"/>
      <c r="E159" s="35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7"/>
      <c r="D160" s="36"/>
      <c r="E160" s="35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7"/>
      <c r="D161" s="36"/>
      <c r="E161" s="35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7"/>
      <c r="D162" s="36"/>
      <c r="E162" s="35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7"/>
      <c r="D163" s="36"/>
      <c r="E163" s="35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7"/>
      <c r="D164" s="36"/>
      <c r="E164" s="35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7"/>
      <c r="D165" s="36"/>
      <c r="E165" s="35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7"/>
      <c r="D166" s="36"/>
      <c r="E166" s="35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7"/>
      <c r="D167" s="36"/>
      <c r="E167" s="35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7"/>
      <c r="D168" s="36"/>
      <c r="E168" s="35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7"/>
      <c r="D169" s="36"/>
      <c r="E169" s="35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7"/>
      <c r="D170" s="36"/>
      <c r="E170" s="35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7"/>
      <c r="D171" s="36"/>
      <c r="E171" s="35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7"/>
      <c r="D172" s="36"/>
      <c r="E172" s="35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7"/>
      <c r="D173" s="36"/>
      <c r="E173" s="35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7"/>
      <c r="D174" s="36"/>
      <c r="E174" s="35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7"/>
      <c r="D175" s="36"/>
      <c r="E175" s="35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7"/>
      <c r="D176" s="36"/>
      <c r="E176" s="35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7"/>
      <c r="D177" s="36"/>
      <c r="E177" s="35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7"/>
      <c r="D178" s="36"/>
      <c r="E178" s="35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7"/>
      <c r="D179" s="36"/>
      <c r="E179" s="35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7"/>
      <c r="D180" s="36"/>
      <c r="E180" s="35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7"/>
      <c r="D181" s="36"/>
      <c r="E181" s="35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7"/>
      <c r="D182" s="36"/>
      <c r="E182" s="35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7"/>
      <c r="D183" s="36"/>
      <c r="E183" s="35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7"/>
      <c r="D184" s="36"/>
      <c r="E184" s="35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7"/>
      <c r="D185" s="36"/>
      <c r="E185" s="35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7"/>
      <c r="D186" s="36"/>
      <c r="E186" s="35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7"/>
      <c r="D187" s="36"/>
      <c r="E187" s="35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7"/>
      <c r="D188" s="36"/>
      <c r="E188" s="35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7"/>
      <c r="D189" s="36"/>
      <c r="E189" s="35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7"/>
      <c r="D190" s="36"/>
      <c r="E190" s="35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7"/>
      <c r="D191" s="36"/>
      <c r="E191" s="35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7"/>
      <c r="D192" s="36"/>
      <c r="E192" s="35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7"/>
      <c r="D193" s="36"/>
      <c r="E193" s="35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7"/>
      <c r="D194" s="36"/>
      <c r="E194" s="35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7"/>
      <c r="D195" s="36"/>
      <c r="E195" s="35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7"/>
      <c r="D196" s="36"/>
      <c r="E196" s="35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7"/>
      <c r="D197" s="36"/>
      <c r="E197" s="35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7"/>
      <c r="D198" s="36"/>
      <c r="E198" s="35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7"/>
      <c r="D199" s="36"/>
      <c r="E199" s="35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7"/>
      <c r="D200" s="36"/>
      <c r="E200" s="35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7"/>
      <c r="D201" s="36"/>
      <c r="E201" s="35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7"/>
      <c r="D202" s="36"/>
      <c r="E202" s="35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7"/>
      <c r="D203" s="36"/>
      <c r="E203" s="35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7"/>
      <c r="D204" s="36"/>
      <c r="E204" s="35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7"/>
      <c r="D205" s="36"/>
      <c r="E205" s="35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7"/>
      <c r="D206" s="36"/>
      <c r="E206" s="35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7"/>
      <c r="D207" s="36"/>
      <c r="E207" s="35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7"/>
      <c r="D208" s="36"/>
      <c r="E208" s="35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7"/>
      <c r="D209" s="36"/>
      <c r="E209" s="35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7"/>
      <c r="D210" s="36"/>
      <c r="E210" s="35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7"/>
      <c r="D211" s="36"/>
      <c r="E211" s="35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7"/>
      <c r="D212" s="36"/>
      <c r="E212" s="35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7"/>
      <c r="D213" s="36"/>
      <c r="E213" s="35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7"/>
      <c r="D214" s="36"/>
      <c r="E214" s="35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7"/>
      <c r="D215" s="36"/>
      <c r="E215" s="35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7"/>
      <c r="D216" s="36"/>
      <c r="E216" s="35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7"/>
      <c r="D217" s="36"/>
      <c r="E217" s="35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7"/>
      <c r="D218" s="36"/>
      <c r="E218" s="35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7"/>
      <c r="D219" s="36"/>
      <c r="E219" s="35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7"/>
      <c r="D220" s="36"/>
      <c r="E220" s="35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7"/>
      <c r="D221" s="36"/>
      <c r="E221" s="35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7"/>
      <c r="D222" s="36"/>
      <c r="E222" s="35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7"/>
      <c r="D223" s="36"/>
      <c r="E223" s="35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7"/>
      <c r="D224" s="36"/>
      <c r="E224" s="35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7"/>
      <c r="D225" s="36"/>
      <c r="E225" s="35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7"/>
      <c r="D226" s="36"/>
      <c r="E226" s="35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7"/>
      <c r="D227" s="36"/>
      <c r="E227" s="35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7"/>
      <c r="D228" s="36"/>
      <c r="E228" s="35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7"/>
      <c r="D229" s="36"/>
      <c r="E229" s="35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7"/>
      <c r="D230" s="36"/>
      <c r="E230" s="35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7"/>
      <c r="D231" s="36"/>
      <c r="E231" s="35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7"/>
      <c r="D232" s="36"/>
      <c r="E232" s="35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7"/>
      <c r="D233" s="36"/>
      <c r="E233" s="35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7"/>
      <c r="D234" s="36"/>
      <c r="E234" s="35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7"/>
      <c r="D235" s="36"/>
      <c r="E235" s="35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7"/>
      <c r="D236" s="36"/>
      <c r="E236" s="35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7"/>
      <c r="D237" s="36"/>
      <c r="E237" s="35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7"/>
      <c r="D238" s="36"/>
      <c r="E238" s="35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7"/>
      <c r="D239" s="36"/>
      <c r="E239" s="35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7"/>
      <c r="D240" s="36"/>
      <c r="E240" s="35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7"/>
      <c r="D241" s="36"/>
      <c r="E241" s="35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7"/>
      <c r="D242" s="36"/>
      <c r="E242" s="35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7"/>
      <c r="D243" s="36"/>
      <c r="E243" s="35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7"/>
      <c r="D244" s="36"/>
      <c r="E244" s="35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7"/>
      <c r="D245" s="36"/>
      <c r="E245" s="35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7"/>
      <c r="D246" s="36"/>
      <c r="E246" s="35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7"/>
      <c r="D247" s="36"/>
      <c r="E247" s="35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7"/>
      <c r="D248" s="36"/>
      <c r="E248" s="35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7"/>
      <c r="D249" s="36"/>
      <c r="E249" s="35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7"/>
      <c r="D250" s="36"/>
      <c r="E250" s="35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7"/>
      <c r="D251" s="36"/>
      <c r="E251" s="35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7"/>
      <c r="D252" s="36"/>
      <c r="E252" s="35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7"/>
      <c r="D253" s="36"/>
      <c r="E253" s="35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7"/>
      <c r="D254" s="36"/>
      <c r="E254" s="35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7"/>
      <c r="D255" s="36"/>
      <c r="E255" s="35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7"/>
      <c r="D256" s="36"/>
      <c r="E256" s="35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7"/>
      <c r="D257" s="36"/>
      <c r="E257" s="35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7"/>
      <c r="D258" s="36"/>
      <c r="E258" s="35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7"/>
      <c r="D259" s="36"/>
      <c r="E259" s="35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7"/>
      <c r="D260" s="36"/>
      <c r="E260" s="35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7"/>
      <c r="D261" s="36"/>
      <c r="E261" s="35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7"/>
      <c r="D262" s="36"/>
      <c r="E262" s="35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7"/>
      <c r="D263" s="36"/>
      <c r="E263" s="35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7"/>
      <c r="D264" s="36"/>
      <c r="E264" s="35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7"/>
      <c r="D265" s="36"/>
      <c r="E265" s="35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7"/>
      <c r="D266" s="36"/>
      <c r="E266" s="35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7"/>
      <c r="D267" s="36"/>
      <c r="E267" s="35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7"/>
      <c r="D268" s="36"/>
      <c r="E268" s="35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7"/>
      <c r="D269" s="36"/>
      <c r="E269" s="35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7"/>
      <c r="D270" s="36"/>
      <c r="E270" s="35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7"/>
      <c r="D271" s="36"/>
      <c r="E271" s="35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7"/>
      <c r="D272" s="36"/>
      <c r="E272" s="35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7"/>
      <c r="D273" s="36"/>
      <c r="E273" s="35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7"/>
      <c r="D274" s="36"/>
      <c r="E274" s="35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7"/>
      <c r="D275" s="36"/>
      <c r="E275" s="35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7"/>
      <c r="D276" s="36"/>
      <c r="E276" s="35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7"/>
      <c r="D277" s="36"/>
      <c r="E277" s="35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7"/>
      <c r="D278" s="36"/>
      <c r="E278" s="35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7"/>
      <c r="D279" s="36"/>
      <c r="E279" s="35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7"/>
      <c r="D280" s="36"/>
      <c r="E280" s="35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7"/>
      <c r="D281" s="36"/>
      <c r="E281" s="35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7"/>
      <c r="D282" s="36"/>
      <c r="E282" s="35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7"/>
      <c r="D283" s="36"/>
      <c r="E283" s="35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7"/>
      <c r="D284" s="36"/>
      <c r="E284" s="35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7"/>
      <c r="D285" s="36"/>
      <c r="E285" s="35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7"/>
      <c r="D286" s="36"/>
      <c r="E286" s="35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7"/>
      <c r="D287" s="36"/>
      <c r="E287" s="35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7"/>
      <c r="D288" s="36"/>
      <c r="E288" s="35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7"/>
      <c r="D289" s="36"/>
      <c r="E289" s="35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7"/>
      <c r="D290" s="36"/>
      <c r="E290" s="35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7"/>
      <c r="D291" s="36"/>
      <c r="E291" s="35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7"/>
      <c r="D292" s="36"/>
      <c r="E292" s="35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7"/>
      <c r="D293" s="36"/>
      <c r="E293" s="35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7"/>
      <c r="D294" s="36"/>
      <c r="E294" s="35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7"/>
      <c r="D295" s="36"/>
      <c r="E295" s="35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7"/>
      <c r="D296" s="36"/>
      <c r="E296" s="35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7"/>
      <c r="D297" s="36"/>
      <c r="E297" s="35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7"/>
      <c r="D298" s="36"/>
      <c r="E298" s="35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7"/>
      <c r="D299" s="36"/>
      <c r="E299" s="35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7"/>
      <c r="D300" s="36"/>
      <c r="E300" s="35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7"/>
      <c r="D301" s="36"/>
      <c r="E301" s="35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