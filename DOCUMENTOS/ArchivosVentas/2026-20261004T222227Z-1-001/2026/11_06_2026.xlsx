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<sst xmlns="http://schemas.openxmlformats.org/spreadsheetml/2006/main" count="114" uniqueCount="110">
  <si>
    <t>HOJA DE CALCULO FERRETERIA</t>
  </si>
  <si>
    <t>CODIGO</t>
  </si>
  <si>
    <t>CANTIDAD</t>
  </si>
  <si>
    <t>DESCRIPCION</t>
  </si>
  <si>
    <t>TOTAL</t>
  </si>
  <si>
    <t>HORA</t>
  </si>
  <si>
    <t>CUADRAR</t>
  </si>
  <si>
    <t>broca concreto 10</t>
  </si>
  <si>
    <t>ram´plu 10</t>
  </si>
  <si>
    <t>MONEDAS</t>
  </si>
  <si>
    <t>CAJA CHICA</t>
  </si>
  <si>
    <t>ramplu 10 fischer</t>
  </si>
  <si>
    <t>BILLETES 10-20</t>
  </si>
  <si>
    <t>TOTAL VENTAS DIA</t>
  </si>
  <si>
    <t xml:space="preserve">ragaton </t>
  </si>
  <si>
    <t>BILLETES 50-100-200</t>
  </si>
  <si>
    <t>AUMENTO DE DINERO</t>
  </si>
  <si>
    <t>guante tr</t>
  </si>
  <si>
    <t>INGRESOS YAPE</t>
  </si>
  <si>
    <t xml:space="preserve">espuma </t>
  </si>
  <si>
    <t>INGRESOS TARJETA</t>
  </si>
  <si>
    <t xml:space="preserve">siliocna american  </t>
  </si>
  <si>
    <t>GASTOS VARIOS</t>
  </si>
  <si>
    <t>pilas</t>
  </si>
  <si>
    <t>sacabocado 35</t>
  </si>
  <si>
    <t>DINERO GANADO HOY:</t>
  </si>
  <si>
    <t>CANTIDAD DINERO CAJA:</t>
  </si>
  <si>
    <t>serool cencido</t>
  </si>
  <si>
    <t>cint sasilmnte</t>
  </si>
  <si>
    <t>10m</t>
  </si>
  <si>
    <t>perlo 4</t>
  </si>
  <si>
    <t>cauton 100w</t>
  </si>
  <si>
    <t>resistencia lorenzety 4t</t>
  </si>
  <si>
    <t xml:space="preserve">grifo avanderia </t>
  </si>
  <si>
    <t>broca concreto 6</t>
  </si>
  <si>
    <t>YAPE MAMÁ</t>
  </si>
  <si>
    <t>YAPE PAPÁ</t>
  </si>
  <si>
    <t>YAPE</t>
  </si>
  <si>
    <t>broc encastre 10</t>
  </si>
  <si>
    <t>Monto Total YAPE (No tocar):</t>
  </si>
  <si>
    <t>fumigador de motor</t>
  </si>
  <si>
    <t>estiletr</t>
  </si>
  <si>
    <t>Monto Total Registrado en aplicacion</t>
  </si>
  <si>
    <t>rep navaja</t>
  </si>
  <si>
    <t>cinta doble contacto 3/4</t>
  </si>
  <si>
    <t>silicona transparente</t>
  </si>
  <si>
    <t>broca ecastre 12</t>
  </si>
  <si>
    <t>clavijas</t>
  </si>
  <si>
    <t>silicona trans sika</t>
  </si>
  <si>
    <t>chicotillo 50 hh</t>
  </si>
  <si>
    <t>pispot drado</t>
  </si>
  <si>
    <t>PAGOS YAPE</t>
  </si>
  <si>
    <t>DESCRIPCION PAGO</t>
  </si>
  <si>
    <t>pas pila duacel d</t>
  </si>
  <si>
    <t>aceytr singer</t>
  </si>
  <si>
    <t>juego de pilas aaa</t>
  </si>
  <si>
    <t>abrazaderas 1 1/6</t>
  </si>
  <si>
    <t>repuesto estilete</t>
  </si>
  <si>
    <t>chip 3.5x30</t>
  </si>
  <si>
    <t>chip 3,5x25</t>
  </si>
  <si>
    <t>debor fierro 2,5</t>
  </si>
  <si>
    <t>modulo interruptor cafe</t>
  </si>
  <si>
    <t>alargador 10m</t>
  </si>
  <si>
    <t>niple 1/2x3/4 fg</t>
  </si>
  <si>
    <t>niple compresoots</t>
  </si>
  <si>
    <t>conector hembra</t>
  </si>
  <si>
    <t>dado punta 8</t>
  </si>
  <si>
    <t>puntas dado 3/8</t>
  </si>
  <si>
    <t>THINNER DUCO</t>
  </si>
  <si>
    <t>1L</t>
  </si>
  <si>
    <t>LATEX BLANCO</t>
  </si>
  <si>
    <t>CEMET BLANCO</t>
  </si>
  <si>
    <t>DIABLOTO</t>
  </si>
  <si>
    <t>TIRAFONDO 5/16 X2</t>
  </si>
  <si>
    <t>SIFON DOBLE</t>
  </si>
  <si>
    <t>TEFLON</t>
  </si>
  <si>
    <t>RASPADOR VIDRIO</t>
  </si>
  <si>
    <t>cubre cable 10x15</t>
  </si>
  <si>
    <t xml:space="preserve">reparo </t>
  </si>
  <si>
    <t>alalmbre 5kl mig</t>
  </si>
  <si>
    <t>llanta de carretilla</t>
  </si>
  <si>
    <t>DESAMADOR  TRAMONTIAN</t>
  </si>
  <si>
    <t>CHIP 4*35</t>
  </si>
  <si>
    <t>RAMPLUS5</t>
  </si>
  <si>
    <t>ESPIGA</t>
  </si>
  <si>
    <t>ABRAZADERA 1 1/16</t>
  </si>
  <si>
    <t>CINTA ASILANTE</t>
  </si>
  <si>
    <t>1M</t>
  </si>
  <si>
    <t>LIJA 80</t>
  </si>
  <si>
    <t>TORNILLOS</t>
  </si>
  <si>
    <t>TAPA CIEGA</t>
  </si>
  <si>
    <t>BROCA CONCRETO 6 IRWIN</t>
  </si>
  <si>
    <t>candado</t>
  </si>
  <si>
    <t>lijas 2000</t>
  </si>
  <si>
    <t>2m</t>
  </si>
  <si>
    <t>manguera gas</t>
  </si>
  <si>
    <t>abrazadera 3/4</t>
  </si>
  <si>
    <t>desarmador tramon</t>
  </si>
  <si>
    <t>aicate punta tramon master</t>
  </si>
  <si>
    <t>juego de llaves ombinadas</t>
  </si>
  <si>
    <t>2,5m</t>
  </si>
  <si>
    <t>alambre 12 7h</t>
  </si>
  <si>
    <t>autoperfornaf</t>
  </si>
  <si>
    <t>broca copa porcelanat</t>
  </si>
  <si>
    <t>broca encastre tolsen 8</t>
  </si>
  <si>
    <t>broca encastre tolsen 6</t>
  </si>
  <si>
    <t>broca unta blecha 8</t>
  </si>
  <si>
    <t>broca punta fleha</t>
  </si>
  <si>
    <t>ventosa rale</t>
  </si>
  <si>
    <t>tijera truper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</si>
</sst>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28.0</v>
      </c>
      <c r="E8" s="8">
        <v>46184.359562743055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6.0</v>
      </c>
      <c r="C9" s="7" t="s">
        <v>8</v>
      </c>
      <c r="D9" s="6">
        <v>2.0</v>
      </c>
      <c r="E9" s="8">
        <v>46184.35967233796</v>
      </c>
      <c r="F9" s="2"/>
      <c r="G9" s="9" t="s">
        <v>9</v>
      </c>
      <c r="H9" s="10">
        <v>146.5</v>
      </c>
      <c r="I9" s="2"/>
      <c r="J9" s="9" t="s">
        <v>10</v>
      </c>
      <c r="K9" s="10">
        <v>741.5</v>
      </c>
      <c r="L9" s="2"/>
      <c r="M9" s="2"/>
      <c r="N9" s="2"/>
      <c r="O9" s="2"/>
      <c r="P9" s="2"/>
      <c r="Q9" s="2"/>
    </row>
    <row r="10" ht="22.5" customHeight="1">
      <c r="A10" s="6"/>
      <c r="B10" s="6">
        <v>4.0</v>
      </c>
      <c r="C10" s="7" t="s">
        <v>11</v>
      </c>
      <c r="D10" s="6">
        <v>4.0</v>
      </c>
      <c r="E10" s="8">
        <v>46184.35981572917</v>
      </c>
      <c r="F10" s="2"/>
      <c r="G10" s="9" t="s">
        <v>12</v>
      </c>
      <c r="H10" s="10">
        <v>340.0</v>
      </c>
      <c r="I10" s="2"/>
      <c r="J10" s="9" t="s">
        <v>13</v>
      </c>
      <c r="K10" s="11">
        <f>SUM(PRINCIPAL[TOTAL])</f>
        <v>3397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4.0</v>
      </c>
      <c r="C11" s="7" t="s">
        <v>14</v>
      </c>
      <c r="D11" s="6">
        <v>24.0</v>
      </c>
      <c r="E11" s="8">
        <v>46184.36202458333</v>
      </c>
      <c r="F11" s="2"/>
      <c r="G11" s="9" t="s">
        <v>15</v>
      </c>
      <c r="H11" s="10">
        <v>2100.0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19.0</v>
      </c>
      <c r="E12" s="8">
        <v>46184.363729178236</v>
      </c>
      <c r="F12" s="2"/>
      <c r="G12" s="9" t="s">
        <v>18</v>
      </c>
      <c r="H12" s="12">
        <f>SUM(G24:H361)</f>
        <v>1329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82.0</v>
      </c>
      <c r="E13" s="8">
        <v>46184.374711956014</v>
      </c>
      <c r="F13" s="2"/>
      <c r="G13" s="9" t="s">
        <v>20</v>
      </c>
      <c r="H13" s="10">
        <v>206.0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52.0</v>
      </c>
      <c r="E14" s="8">
        <v>46184.374812442125</v>
      </c>
      <c r="F14" s="2"/>
      <c r="G14" s="9" t="s">
        <v>22</v>
      </c>
      <c r="H14" s="10">
        <v>22.0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23</v>
      </c>
      <c r="D15" s="6">
        <v>8.0</v>
      </c>
      <c r="E15" s="8">
        <v>46184.38291782407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85.0</v>
      </c>
      <c r="E16" s="8">
        <v>46184.385398530096</v>
      </c>
      <c r="F16" s="2"/>
      <c r="G16" s="15" t="s">
        <v>25</v>
      </c>
      <c r="H16" s="16">
        <f>SUM(H9:H14)</f>
        <v>4143.5</v>
      </c>
      <c r="I16" s="3"/>
      <c r="J16" s="15" t="s">
        <v>26</v>
      </c>
      <c r="K16" s="16">
        <f>SUM(K9:K11)</f>
        <v>4138.5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8.0</v>
      </c>
      <c r="E17" s="8">
        <v>46184.38552252315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13.0</v>
      </c>
      <c r="E18" s="8">
        <v>46184.38606203704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5,00</v>
      </c>
      <c r="L18" s="2"/>
      <c r="M18" s="2"/>
      <c r="N18" s="2"/>
      <c r="O18" s="2"/>
      <c r="P18" s="2"/>
      <c r="Q18" s="2"/>
    </row>
    <row r="19" ht="22.5" customHeight="1">
      <c r="A19" s="13"/>
      <c r="B19" s="6" t="s">
        <v>29</v>
      </c>
      <c r="C19" s="7" t="s">
        <v>30</v>
      </c>
      <c r="D19" s="6">
        <v>20.0</v>
      </c>
      <c r="E19" s="8">
        <v>46184.38871164352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60.0</v>
      </c>
      <c r="E20" s="8">
        <v>46184.39883200232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80.0</v>
      </c>
      <c r="E21" s="8">
        <v>46184.40271833334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56.0</v>
      </c>
      <c r="E22" s="8">
        <v>46184.405070243054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15.0</v>
      </c>
      <c r="E23" s="8">
        <v>46184.40516400463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38</v>
      </c>
      <c r="D24" s="6">
        <v>87.0</v>
      </c>
      <c r="E24" s="8">
        <v>46184.4061625926</v>
      </c>
      <c r="F24" s="2"/>
      <c r="G24" s="22">
        <v>34.0</v>
      </c>
      <c r="H24" s="23"/>
      <c r="I24" s="2"/>
      <c r="J24" s="24" t="s">
        <v>39</v>
      </c>
      <c r="K24" s="25">
        <f>SUM(INGRESOS_YAPE[])</f>
        <v>1329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137.0</v>
      </c>
      <c r="E25" s="8">
        <v>46184.41771461806</v>
      </c>
      <c r="F25" s="2"/>
      <c r="G25" s="22">
        <v>24.0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20.0</v>
      </c>
      <c r="E26" s="8">
        <v>46184.428394814815</v>
      </c>
      <c r="F26" s="2"/>
      <c r="G26" s="26">
        <v>19.0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14.0</v>
      </c>
      <c r="E27" s="8">
        <v>46184.42853738426</v>
      </c>
      <c r="F27" s="2"/>
      <c r="G27" s="22">
        <v>71.0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15.0</v>
      </c>
      <c r="E28" s="8">
        <v>46184.436484907405</v>
      </c>
      <c r="F28" s="2"/>
      <c r="G28" s="22">
        <v>137.0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26.0</v>
      </c>
      <c r="E29" s="8">
        <v>46184.44098649306</v>
      </c>
      <c r="F29" s="2"/>
      <c r="G29" s="22">
        <v>72.0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1329,00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46</v>
      </c>
      <c r="D30" s="6">
        <v>72.0</v>
      </c>
      <c r="E30" s="8">
        <v>46184.44473393519</v>
      </c>
      <c r="F30" s="2"/>
      <c r="G30" s="22">
        <v>90.0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3.0</v>
      </c>
      <c r="C31" s="7" t="s">
        <v>47</v>
      </c>
      <c r="D31" s="6">
        <v>96.0</v>
      </c>
      <c r="E31" s="8">
        <v>46184.447448391205</v>
      </c>
      <c r="F31" s="2"/>
      <c r="G31" s="22">
        <v>75.0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35.0</v>
      </c>
      <c r="E32" s="8">
        <v>46184.45464423611</v>
      </c>
      <c r="F32" s="2"/>
      <c r="G32" s="22">
        <v>13.0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54.0</v>
      </c>
      <c r="E33" s="8">
        <v>46184.45492929398</v>
      </c>
      <c r="F33" s="2"/>
      <c r="G33" s="22">
        <v>8.0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7.0</v>
      </c>
      <c r="E34" s="8">
        <v>46184.45785706019</v>
      </c>
      <c r="F34" s="2"/>
      <c r="G34" s="22">
        <v>128.0</v>
      </c>
      <c r="H34" s="23"/>
      <c r="I34" s="2"/>
      <c r="J34" s="30" t="s">
        <v>51</v>
      </c>
      <c r="K34" s="30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75.0</v>
      </c>
      <c r="E35" s="8">
        <v>46184.46147783565</v>
      </c>
      <c r="F35" s="2"/>
      <c r="G35" s="22">
        <v>111.0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15.0</v>
      </c>
      <c r="E36" s="8">
        <v>46184.466405</v>
      </c>
      <c r="F36" s="2"/>
      <c r="G36" s="22">
        <v>239.0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55</v>
      </c>
      <c r="D37" s="6">
        <v>16.0</v>
      </c>
      <c r="E37" s="8">
        <v>46184.484577916664</v>
      </c>
      <c r="F37" s="2"/>
      <c r="G37" s="22">
        <v>148.0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4.0</v>
      </c>
      <c r="C38" s="7" t="s">
        <v>56</v>
      </c>
      <c r="D38" s="6">
        <v>16.0</v>
      </c>
      <c r="E38" s="8">
        <v>46184.484777627316</v>
      </c>
      <c r="F38" s="2"/>
      <c r="G38" s="22">
        <v>160.0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57</v>
      </c>
      <c r="D39" s="6">
        <v>46.0</v>
      </c>
      <c r="E39" s="8">
        <v>46184.486693506944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12.0</v>
      </c>
      <c r="C40" s="7" t="s">
        <v>58</v>
      </c>
      <c r="D40" s="6">
        <v>2.0</v>
      </c>
      <c r="E40" s="8">
        <v>46184.48695791667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12.0</v>
      </c>
      <c r="C41" s="7" t="s">
        <v>59</v>
      </c>
      <c r="D41" s="6">
        <v>1.5</v>
      </c>
      <c r="E41" s="8">
        <v>46184.48702289352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60</v>
      </c>
      <c r="D42" s="6">
        <v>10.0</v>
      </c>
      <c r="E42" s="8">
        <v>46184.48718466435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61</v>
      </c>
      <c r="D43" s="6">
        <v>10.0</v>
      </c>
      <c r="E43" s="8">
        <v>46184.48753561343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62</v>
      </c>
      <c r="D44" s="6">
        <v>72.0</v>
      </c>
      <c r="E44" s="8">
        <v>46184.49099534722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63</v>
      </c>
      <c r="D45" s="6">
        <v>29.0</v>
      </c>
      <c r="E45" s="8">
        <v>46184.492859618054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64</v>
      </c>
      <c r="D46" s="6">
        <v>8.0</v>
      </c>
      <c r="E46" s="8">
        <v>46184.49313481482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3.0</v>
      </c>
      <c r="C47" s="7" t="s">
        <v>65</v>
      </c>
      <c r="D47" s="6">
        <v>24.0</v>
      </c>
      <c r="E47" s="8">
        <v>46184.493276469904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66</v>
      </c>
      <c r="D48" s="6">
        <v>6.0</v>
      </c>
      <c r="E48" s="8">
        <v>46184.496154328706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67</v>
      </c>
      <c r="D49" s="6">
        <v>7.0</v>
      </c>
      <c r="E49" s="8">
        <v>46184.4990384375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4.0</v>
      </c>
      <c r="C50" s="7" t="s">
        <v>68</v>
      </c>
      <c r="D50" s="6">
        <v>140.0</v>
      </c>
      <c r="E50" s="8">
        <v>46184.502963969906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 t="s">
        <v>69</v>
      </c>
      <c r="C51" s="7" t="s">
        <v>70</v>
      </c>
      <c r="D51" s="6">
        <v>42.0</v>
      </c>
      <c r="E51" s="8">
        <v>46184.503064247685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71</v>
      </c>
      <c r="D52" s="6">
        <v>24.0</v>
      </c>
      <c r="E52" s="8">
        <v>46184.50318493055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72</v>
      </c>
      <c r="D53" s="6">
        <v>18.0</v>
      </c>
      <c r="E53" s="8">
        <v>46184.50486346065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6.0</v>
      </c>
      <c r="C54" s="7" t="s">
        <v>73</v>
      </c>
      <c r="D54" s="6">
        <v>12.0</v>
      </c>
      <c r="E54" s="8">
        <v>46184.52108099537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74</v>
      </c>
      <c r="D55" s="6">
        <v>65.0</v>
      </c>
      <c r="E55" s="8">
        <v>46184.5211708912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75</v>
      </c>
      <c r="D56" s="6">
        <v>2.5</v>
      </c>
      <c r="E56" s="8">
        <v>46184.52138859953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76</v>
      </c>
      <c r="D57" s="6">
        <v>20.0</v>
      </c>
      <c r="E57" s="8">
        <v>46184.55761246527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77</v>
      </c>
      <c r="D58" s="6">
        <v>14.0</v>
      </c>
      <c r="E58" s="8">
        <v>46184.570717407405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6.0</v>
      </c>
      <c r="C59" s="7" t="s">
        <v>78</v>
      </c>
      <c r="D59" s="6">
        <v>23.0</v>
      </c>
      <c r="E59" s="8">
        <v>46184.60443818287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79</v>
      </c>
      <c r="D60" s="6">
        <v>520.0</v>
      </c>
      <c r="E60" s="8">
        <v>46184.6240046412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80</v>
      </c>
      <c r="D61" s="6">
        <v>99.0</v>
      </c>
      <c r="E61" s="8">
        <v>46184.62875135417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81</v>
      </c>
      <c r="D62" s="6">
        <v>18.0</v>
      </c>
      <c r="E62" s="8">
        <v>46184.6545983449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30.0</v>
      </c>
      <c r="C63" s="7" t="s">
        <v>82</v>
      </c>
      <c r="D63" s="6">
        <v>3.0</v>
      </c>
      <c r="E63" s="8">
        <v>46184.6546521412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30.0</v>
      </c>
      <c r="C64" s="7" t="s">
        <v>83</v>
      </c>
      <c r="D64" s="6">
        <v>7.0</v>
      </c>
      <c r="E64" s="8">
        <v>46184.654751145834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84</v>
      </c>
      <c r="D65" s="6">
        <v>6.0</v>
      </c>
      <c r="E65" s="8">
        <v>46184.65512916667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75</v>
      </c>
      <c r="D66" s="6">
        <v>2.5</v>
      </c>
      <c r="E66" s="8">
        <v>46184.655188958335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2.0</v>
      </c>
      <c r="C67" s="7" t="s">
        <v>85</v>
      </c>
      <c r="D67" s="6">
        <v>10.0</v>
      </c>
      <c r="E67" s="8">
        <v>46184.65528690972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3.0</v>
      </c>
      <c r="C68" s="7" t="s">
        <v>86</v>
      </c>
      <c r="D68" s="6">
        <v>27.0</v>
      </c>
      <c r="E68" s="8">
        <v>46184.65538265047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 t="s">
        <v>87</v>
      </c>
      <c r="C69" s="7" t="s">
        <v>88</v>
      </c>
      <c r="D69" s="6">
        <v>10.0</v>
      </c>
      <c r="E69" s="8">
        <v>46184.65633366899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12.0</v>
      </c>
      <c r="C70" s="7" t="s">
        <v>89</v>
      </c>
      <c r="D70" s="6">
        <v>1.5</v>
      </c>
      <c r="E70" s="8">
        <v>46184.660692418984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90</v>
      </c>
      <c r="D71" s="6">
        <v>2.0</v>
      </c>
      <c r="E71" s="8">
        <v>46184.66076319445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91</v>
      </c>
      <c r="D72" s="6">
        <v>16.0</v>
      </c>
      <c r="E72" s="8">
        <v>46184.66085290509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92</v>
      </c>
      <c r="D73" s="6">
        <v>112.0</v>
      </c>
      <c r="E73" s="8">
        <v>46184.68850930556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93</v>
      </c>
      <c r="D74" s="6">
        <v>16.0</v>
      </c>
      <c r="E74" s="8">
        <v>46184.68909400463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 t="s">
        <v>94</v>
      </c>
      <c r="C75" s="7" t="s">
        <v>95</v>
      </c>
      <c r="D75" s="6">
        <v>24.0</v>
      </c>
      <c r="E75" s="8">
        <v>46184.690022372684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96</v>
      </c>
      <c r="D76" s="6">
        <v>6.0</v>
      </c>
      <c r="E76" s="8">
        <v>46184.69009636574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97</v>
      </c>
      <c r="D77" s="6">
        <v>23.0</v>
      </c>
      <c r="E77" s="8">
        <v>46184.69018625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97</v>
      </c>
      <c r="D78" s="6">
        <v>20.0</v>
      </c>
      <c r="E78" s="8">
        <v>46184.69024863426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97</v>
      </c>
      <c r="D79" s="6">
        <v>18.0</v>
      </c>
      <c r="E79" s="8">
        <v>46184.6902907176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98</v>
      </c>
      <c r="D80" s="6">
        <v>50.0</v>
      </c>
      <c r="E80" s="8">
        <v>46184.69041672454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99</v>
      </c>
      <c r="D81" s="6">
        <v>35.0</v>
      </c>
      <c r="E81" s="8">
        <v>46184.69057479167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 t="s">
        <v>100</v>
      </c>
      <c r="C82" s="7" t="s">
        <v>101</v>
      </c>
      <c r="D82" s="6">
        <v>29.0</v>
      </c>
      <c r="E82" s="8">
        <v>46184.7011113426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200.0</v>
      </c>
      <c r="C83" s="7" t="s">
        <v>102</v>
      </c>
      <c r="D83" s="6">
        <v>104.0</v>
      </c>
      <c r="E83" s="8">
        <v>46184.71931935185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50</v>
      </c>
      <c r="D84" s="6">
        <v>7.0</v>
      </c>
      <c r="E84" s="8">
        <v>46184.719364641205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3.0</v>
      </c>
      <c r="C85" s="7" t="s">
        <v>103</v>
      </c>
      <c r="D85" s="6">
        <v>69.0</v>
      </c>
      <c r="E85" s="8">
        <v>46184.73537229167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104</v>
      </c>
      <c r="D86" s="6">
        <v>29.0</v>
      </c>
      <c r="E86" s="8">
        <v>46184.736132569444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105</v>
      </c>
      <c r="D87" s="6">
        <v>17.0</v>
      </c>
      <c r="E87" s="8">
        <v>46184.73621449074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106</v>
      </c>
      <c r="D88" s="6">
        <v>34.0</v>
      </c>
      <c r="E88" s="8">
        <v>46184.73650663195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2.0</v>
      </c>
      <c r="C89" s="7" t="s">
        <v>107</v>
      </c>
      <c r="D89" s="6">
        <v>90.0</v>
      </c>
      <c r="E89" s="8">
        <v>46184.73656873843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108</v>
      </c>
      <c r="D90" s="6">
        <v>15.0</v>
      </c>
      <c r="E90" s="8">
        <v>46184.73957550926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2.0</v>
      </c>
      <c r="C91" s="7" t="s">
        <v>109</v>
      </c>
      <c r="D91" s="6">
        <v>160.0</v>
      </c>
      <c r="E91" s="8">
        <v>46184.74100178241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