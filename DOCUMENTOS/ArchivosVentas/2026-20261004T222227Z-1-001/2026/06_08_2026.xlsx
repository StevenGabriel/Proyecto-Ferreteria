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<sst xmlns="http://schemas.openxmlformats.org/spreadsheetml/2006/main" count="152" uniqueCount="145">
  <si>
    <t>HOJA DE CALCULO FERRETERIA</t>
  </si>
  <si>
    <t>CODIGO</t>
  </si>
  <si>
    <t>CANTIDAD</t>
  </si>
  <si>
    <t>DESCRIPCION</t>
  </si>
  <si>
    <t>TOTAL</t>
  </si>
  <si>
    <t>HORA</t>
  </si>
  <si>
    <t>CUADRAR</t>
  </si>
  <si>
    <t>riel 50 cm sencills</t>
  </si>
  <si>
    <t>pispot</t>
  </si>
  <si>
    <t>MONEDAS</t>
  </si>
  <si>
    <t>CAJA CHICA</t>
  </si>
  <si>
    <t>pares bisagra pispot</t>
  </si>
  <si>
    <t>BILLETES 10-20</t>
  </si>
  <si>
    <t>TOTAL VENTAS DIA</t>
  </si>
  <si>
    <t>chicotillo de 40</t>
  </si>
  <si>
    <t>BILLETES 50-100-200</t>
  </si>
  <si>
    <t>AUMENTO DE DINERO</t>
  </si>
  <si>
    <t>chicotillo de 70</t>
  </si>
  <si>
    <t>INGRESOS YAPE</t>
  </si>
  <si>
    <t>bisagras de 11/2</t>
  </si>
  <si>
    <t>INGRESOS TARJETA</t>
  </si>
  <si>
    <t>picaporte de 2 1/2</t>
  </si>
  <si>
    <t>GASTOS VARIOS</t>
  </si>
  <si>
    <t>wd40 95</t>
  </si>
  <si>
    <t>desarmador</t>
  </si>
  <si>
    <t>DINERO GANADO HOY:</t>
  </si>
  <si>
    <t>CANTIDAD DINERO CAJA:</t>
  </si>
  <si>
    <t>alicate uyustools</t>
  </si>
  <si>
    <t>llaveros</t>
  </si>
  <si>
    <t>mt de cañeria 3/4</t>
  </si>
  <si>
    <t>oatei</t>
  </si>
  <si>
    <t>docena de pernos</t>
  </si>
  <si>
    <t xml:space="preserve">docena de tuercas </t>
  </si>
  <si>
    <t>docena de tor ros pan</t>
  </si>
  <si>
    <t>YAPE MAMÁ</t>
  </si>
  <si>
    <t>YAPE PAPÁ</t>
  </si>
  <si>
    <t>YAPE</t>
  </si>
  <si>
    <t>dcena de peraq</t>
  </si>
  <si>
    <t>Monto Total YAPE (No tocar):</t>
  </si>
  <si>
    <t>colgadores truper</t>
  </si>
  <si>
    <t>Monto Total Registrado en aplicacion</t>
  </si>
  <si>
    <t>rodapies truper</t>
  </si>
  <si>
    <t xml:space="preserve">broca irwi de 7 hormigon </t>
  </si>
  <si>
    <t>docen a de chip</t>
  </si>
  <si>
    <t>docena de armellas</t>
  </si>
  <si>
    <t>llave mandril 10</t>
  </si>
  <si>
    <t>armella</t>
  </si>
  <si>
    <t>chicotillo 40 astra</t>
  </si>
  <si>
    <t>coplas de 3/4 pvs</t>
  </si>
  <si>
    <t>PAGOS YAPE</t>
  </si>
  <si>
    <t>DESCRIPCION PAGO</t>
  </si>
  <si>
    <t>JUEGO DE ALICATES</t>
  </si>
  <si>
    <t>JUEGO DE DESARMADORES</t>
  </si>
  <si>
    <t>martillo golden</t>
  </si>
  <si>
    <t>llave crecen</t>
  </si>
  <si>
    <t>llaves alem</t>
  </si>
  <si>
    <t>cinta aislante</t>
  </si>
  <si>
    <t>teflon</t>
  </si>
  <si>
    <t>flexo de 5mt</t>
  </si>
  <si>
    <t>caja de herramientas</t>
  </si>
  <si>
    <t>TG1071366</t>
  </si>
  <si>
    <t>taladro total</t>
  </si>
  <si>
    <t>espuma expansiva</t>
  </si>
  <si>
    <t>8DC</t>
  </si>
  <si>
    <t>TORNILLO CHIPBOARD CABEZA PLANA 4.5 x 25
CHIP 4.5*25 PERTEC</t>
  </si>
  <si>
    <t>RAMPLUS # 6
160944 IV PLAST</t>
  </si>
  <si>
    <t>TR-17550</t>
  </si>
  <si>
    <t>PISTOLA PARA SILICONA EN ACERO ALUMINIO</t>
  </si>
  <si>
    <t>spaucer truper</t>
  </si>
  <si>
    <t>adaptadro macho 2</t>
  </si>
  <si>
    <t>cina tipo tela ploma</t>
  </si>
  <si>
    <t>manguera lavad</t>
  </si>
  <si>
    <t xml:space="preserve">ducha fv </t>
  </si>
  <si>
    <t>lijas</t>
  </si>
  <si>
    <t>cemento blan</t>
  </si>
  <si>
    <t>chip 3,5*40</t>
  </si>
  <si>
    <t>punta philop</t>
  </si>
  <si>
    <t>broca fierro irwin 2 ,5</t>
  </si>
  <si>
    <t>cemtno blanco</t>
  </si>
  <si>
    <t>aerosol</t>
  </si>
  <si>
    <t>electrdo degado</t>
  </si>
  <si>
    <t>lente truper</t>
  </si>
  <si>
    <t xml:space="preserve">ma alubanda </t>
  </si>
  <si>
    <t>lt. thiner</t>
  </si>
  <si>
    <t>oda caurastasi</t>
  </si>
  <si>
    <t>guatne asatex</t>
  </si>
  <si>
    <t>espatula trper</t>
  </si>
  <si>
    <t>copal 1/2 fg</t>
  </si>
  <si>
    <t>codo 1/2 tigre</t>
  </si>
  <si>
    <t>reduccion 2*1/2</t>
  </si>
  <si>
    <t>llave pipa 12</t>
  </si>
  <si>
    <t>m cañeria 1/2</t>
  </si>
  <si>
    <t>llave pipa 13</t>
  </si>
  <si>
    <t>llave pipa 14</t>
  </si>
  <si>
    <t>escuadea ecf08u</t>
  </si>
  <si>
    <t xml:space="preserve">mini comresota total </t>
  </si>
  <si>
    <t>codo 3/4</t>
  </si>
  <si>
    <t>fresas</t>
  </si>
  <si>
    <t>flexo 5m</t>
  </si>
  <si>
    <t>m amgnaeura 3/4</t>
  </si>
  <si>
    <t>alub</t>
  </si>
  <si>
    <t>lija 1000</t>
  </si>
  <si>
    <t>resistenc</t>
  </si>
  <si>
    <t>REMACHADKORA</t>
  </si>
  <si>
    <t>REM POP</t>
  </si>
  <si>
    <t>ALARGADO CORRITE</t>
  </si>
  <si>
    <t>ADAFPTASD</t>
  </si>
  <si>
    <t>CODO 11/2</t>
  </si>
  <si>
    <t>CODO 2</t>
  </si>
  <si>
    <t xml:space="preserve">SEMICODO </t>
  </si>
  <si>
    <t>SEICODO</t>
  </si>
  <si>
    <t>FOTADOR ELECTRIXO</t>
  </si>
  <si>
    <t>MMANFUERA FORETE</t>
  </si>
  <si>
    <t>ABRAZADERA</t>
  </si>
  <si>
    <t>DUCHA TELF</t>
  </si>
  <si>
    <t>RAMPLU 8</t>
  </si>
  <si>
    <t>BROCA 6</t>
  </si>
  <si>
    <t>BROCA 8</t>
  </si>
  <si>
    <t>ARMRLLA</t>
  </si>
  <si>
    <t>1 MT</t>
  </si>
  <si>
    <t>MALLA MM</t>
  </si>
  <si>
    <t>DOC CHIP</t>
  </si>
  <si>
    <t xml:space="preserve">CHICOTILLO </t>
  </si>
  <si>
    <t>TAPON 1/2</t>
  </si>
  <si>
    <t>FLAPER</t>
  </si>
  <si>
    <t>CLEFA</t>
  </si>
  <si>
    <t>WD-40</t>
  </si>
  <si>
    <t xml:space="preserve">CLAVIJA </t>
  </si>
  <si>
    <t>CLEF 100</t>
  </si>
  <si>
    <t>BROCA COANCRETO TRUEPR</t>
  </si>
  <si>
    <t xml:space="preserve">BATERIA </t>
  </si>
  <si>
    <t>1 MT CABLE</t>
  </si>
  <si>
    <t>CABLE</t>
  </si>
  <si>
    <t>ADAPTADOR</t>
  </si>
  <si>
    <t>DIABLITO</t>
  </si>
  <si>
    <t>CLVIJA TRAM</t>
  </si>
  <si>
    <t>REGLETA 4 SAL</t>
  </si>
  <si>
    <t>ADAPTADOE UNIVER K</t>
  </si>
  <si>
    <t>JGO DE LLAVES ALEM</t>
  </si>
  <si>
    <t>ALARGADOR UYUST</t>
  </si>
  <si>
    <t xml:space="preserve">CLEFA </t>
  </si>
  <si>
    <t>MASSA CORRIDSA</t>
  </si>
  <si>
    <t>DSICO FLAP</t>
  </si>
  <si>
    <t>LT THENE ACREILA</t>
  </si>
  <si>
    <t>KL ALEDCRDOS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</si>
</sst>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7.0</v>
      </c>
      <c r="C8" s="7" t="s">
        <v>7</v>
      </c>
      <c r="D8" s="6">
        <v>189.0</v>
      </c>
      <c r="E8" s="8">
        <v>46240.50509707176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8.0</v>
      </c>
      <c r="C9" s="7" t="s">
        <v>8</v>
      </c>
      <c r="D9" s="6">
        <v>24.0</v>
      </c>
      <c r="E9" s="8">
        <v>46240.505436817126</v>
      </c>
      <c r="F9" s="2"/>
      <c r="G9" s="9" t="s">
        <v>9</v>
      </c>
      <c r="H9" s="10">
        <v>118.0</v>
      </c>
      <c r="I9" s="2"/>
      <c r="J9" s="9" t="s">
        <v>10</v>
      </c>
      <c r="K9" s="10">
        <v>544.0</v>
      </c>
      <c r="L9" s="2"/>
      <c r="M9" s="2"/>
      <c r="N9" s="2"/>
      <c r="O9" s="2"/>
      <c r="P9" s="2"/>
      <c r="Q9" s="2"/>
    </row>
    <row r="10" ht="22.5" customHeight="1">
      <c r="A10" s="6"/>
      <c r="B10" s="6">
        <v>8.0</v>
      </c>
      <c r="C10" s="7" t="s">
        <v>11</v>
      </c>
      <c r="D10" s="6">
        <v>80.0</v>
      </c>
      <c r="E10" s="8">
        <v>46240.50570328704</v>
      </c>
      <c r="F10" s="2"/>
      <c r="G10" s="9" t="s">
        <v>12</v>
      </c>
      <c r="H10" s="10">
        <v>730.0</v>
      </c>
      <c r="I10" s="2"/>
      <c r="J10" s="9" t="s">
        <v>13</v>
      </c>
      <c r="K10" s="11">
        <f>SUM(PRINCIPAL[TOTAL])</f>
        <v>4907.5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14.0</v>
      </c>
      <c r="E11" s="8">
        <v>46240.50656188658</v>
      </c>
      <c r="F11" s="2"/>
      <c r="G11" s="9" t="s">
        <v>15</v>
      </c>
      <c r="H11" s="10">
        <v>1850.0</v>
      </c>
      <c r="I11" s="2"/>
      <c r="J11" s="9" t="s">
        <v>16</v>
      </c>
      <c r="K11" s="10">
        <v>130.0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17.0</v>
      </c>
      <c r="E12" s="8">
        <v>46240.50664344907</v>
      </c>
      <c r="F12" s="2"/>
      <c r="G12" s="9" t="s">
        <v>18</v>
      </c>
      <c r="H12" s="12">
        <f>SUM(G24:H361)</f>
        <v>2896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3.0</v>
      </c>
      <c r="C13" s="7" t="s">
        <v>19</v>
      </c>
      <c r="D13" s="6">
        <v>16.0</v>
      </c>
      <c r="E13" s="8">
        <v>46240.506761192126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10.0</v>
      </c>
      <c r="E14" s="8">
        <v>46240.506904814814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45.0</v>
      </c>
      <c r="E15" s="8">
        <v>46240.50706649305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29.0</v>
      </c>
      <c r="E16" s="8">
        <v>46240.50717453704</v>
      </c>
      <c r="F16" s="2"/>
      <c r="G16" s="15" t="s">
        <v>25</v>
      </c>
      <c r="H16" s="16">
        <f>SUM(H9:H14)</f>
        <v>5594</v>
      </c>
      <c r="I16" s="3"/>
      <c r="J16" s="15" t="s">
        <v>26</v>
      </c>
      <c r="K16" s="16">
        <f>SUM(K9:K11)</f>
        <v>5581.5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31.0</v>
      </c>
      <c r="E17" s="8">
        <v>46240.507307569445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32.0</v>
      </c>
      <c r="E18" s="8">
        <v>46240.507534675926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12,50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13.0</v>
      </c>
      <c r="E19" s="8">
        <v>46240.50784006945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40.0</v>
      </c>
      <c r="E20" s="8">
        <v>46240.50789175926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5.0</v>
      </c>
      <c r="E21" s="8">
        <v>46240.50800395833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1.5</v>
      </c>
      <c r="E22" s="8">
        <v>46240.50808061342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1.5</v>
      </c>
      <c r="E23" s="8">
        <v>46240.50817869213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4.0</v>
      </c>
      <c r="E24" s="8">
        <v>46240.50825189815</v>
      </c>
      <c r="F24" s="2"/>
      <c r="G24" s="22">
        <v>290.0</v>
      </c>
      <c r="H24" s="22">
        <v>30.0</v>
      </c>
      <c r="I24" s="2"/>
      <c r="J24" s="23" t="s">
        <v>38</v>
      </c>
      <c r="K24" s="24">
        <f>SUM(INGRESOS_YAPE[])</f>
        <v>2896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32</v>
      </c>
      <c r="D25" s="6">
        <v>1.5</v>
      </c>
      <c r="E25" s="8">
        <v>46240.508308958335</v>
      </c>
      <c r="F25" s="2"/>
      <c r="G25" s="22">
        <v>124.0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39</v>
      </c>
      <c r="D26" s="6">
        <v>64.0</v>
      </c>
      <c r="E26" s="8">
        <v>46240.50868003472</v>
      </c>
      <c r="F26" s="2"/>
      <c r="G26" s="26">
        <v>53.0</v>
      </c>
      <c r="H26" s="25"/>
      <c r="I26" s="2"/>
      <c r="J26" s="27" t="s">
        <v>40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4.0</v>
      </c>
      <c r="C27" s="7" t="s">
        <v>41</v>
      </c>
      <c r="D27" s="6">
        <v>52.0</v>
      </c>
      <c r="E27" s="8">
        <v>46240.50882884259</v>
      </c>
      <c r="F27" s="2"/>
      <c r="G27" s="22">
        <v>12.0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42</v>
      </c>
      <c r="D28" s="6">
        <v>20.0</v>
      </c>
      <c r="E28" s="8">
        <v>46240.50895582176</v>
      </c>
      <c r="F28" s="2"/>
      <c r="G28" s="22">
        <v>6.0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29">
        <v>46054.0</v>
      </c>
      <c r="C29" s="7" t="s">
        <v>43</v>
      </c>
      <c r="D29" s="6">
        <v>1.5</v>
      </c>
      <c r="E29" s="8">
        <v>46240.50906027778</v>
      </c>
      <c r="F29" s="2"/>
      <c r="G29" s="22">
        <v>700.0</v>
      </c>
      <c r="H29" s="25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2896,00</v>
      </c>
      <c r="L29" s="2"/>
      <c r="M29" s="2"/>
      <c r="N29" s="2"/>
      <c r="O29" s="2"/>
      <c r="P29" s="2"/>
      <c r="Q29" s="2"/>
    </row>
    <row r="30" ht="22.5" customHeight="1">
      <c r="A30" s="13"/>
      <c r="B30" s="29">
        <v>46054.0</v>
      </c>
      <c r="C30" s="7" t="s">
        <v>44</v>
      </c>
      <c r="D30" s="6">
        <v>4.0</v>
      </c>
      <c r="E30" s="8">
        <v>46240.5093987037</v>
      </c>
      <c r="F30" s="2"/>
      <c r="G30" s="22">
        <v>72.0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45</v>
      </c>
      <c r="D31" s="6">
        <v>10.0</v>
      </c>
      <c r="E31" s="8">
        <v>46240.509645694445</v>
      </c>
      <c r="F31" s="2"/>
      <c r="G31" s="22">
        <v>215.0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2.0</v>
      </c>
      <c r="E32" s="8">
        <v>46240.510186886575</v>
      </c>
      <c r="F32" s="2"/>
      <c r="G32" s="22">
        <v>117.0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47</v>
      </c>
      <c r="D33" s="6">
        <v>14.0</v>
      </c>
      <c r="E33" s="8">
        <v>46240.51045686343</v>
      </c>
      <c r="F33" s="2"/>
      <c r="G33" s="22">
        <v>35.0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48</v>
      </c>
      <c r="D34" s="6">
        <v>6.0</v>
      </c>
      <c r="E34" s="8">
        <v>46240.51057709491</v>
      </c>
      <c r="F34" s="2"/>
      <c r="G34" s="22">
        <v>113.0</v>
      </c>
      <c r="H34" s="25"/>
      <c r="I34" s="2"/>
      <c r="J34" s="31" t="s">
        <v>49</v>
      </c>
      <c r="K34" s="31" t="s">
        <v>50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51</v>
      </c>
      <c r="D35" s="6">
        <v>89.0</v>
      </c>
      <c r="E35" s="8">
        <v>46240.527800763884</v>
      </c>
      <c r="F35" s="2"/>
      <c r="G35" s="22">
        <v>150.0</v>
      </c>
      <c r="H35" s="25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52</v>
      </c>
      <c r="D36" s="6">
        <v>83.0</v>
      </c>
      <c r="E36" s="8">
        <v>46240.52789745371</v>
      </c>
      <c r="F36" s="2"/>
      <c r="G36" s="22">
        <v>47.0</v>
      </c>
      <c r="H36" s="25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53</v>
      </c>
      <c r="D37" s="6">
        <v>25.0</v>
      </c>
      <c r="E37" s="8">
        <v>46240.528014930554</v>
      </c>
      <c r="F37" s="2"/>
      <c r="G37" s="22">
        <v>30.0</v>
      </c>
      <c r="H37" s="25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54</v>
      </c>
      <c r="D38" s="6">
        <v>75.0</v>
      </c>
      <c r="E38" s="8">
        <v>46240.52878314815</v>
      </c>
      <c r="F38" s="2"/>
      <c r="G38" s="22">
        <v>674.0</v>
      </c>
      <c r="H38" s="25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55</v>
      </c>
      <c r="D39" s="34">
        <v>25.0</v>
      </c>
      <c r="E39" s="8">
        <v>46240.52893537037</v>
      </c>
      <c r="F39" s="2"/>
      <c r="G39" s="22">
        <v>38.0</v>
      </c>
      <c r="H39" s="25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56</v>
      </c>
      <c r="D40" s="6">
        <v>13.0</v>
      </c>
      <c r="E40" s="8">
        <v>46240.529110324074</v>
      </c>
      <c r="F40" s="2"/>
      <c r="G40" s="22">
        <v>6.0</v>
      </c>
      <c r="H40" s="25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57</v>
      </c>
      <c r="D41" s="6">
        <v>3.0</v>
      </c>
      <c r="E41" s="8">
        <v>46240.52915559028</v>
      </c>
      <c r="F41" s="2"/>
      <c r="G41" s="22">
        <v>18.0</v>
      </c>
      <c r="H41" s="25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58</v>
      </c>
      <c r="D42" s="6">
        <v>20.0</v>
      </c>
      <c r="E42" s="8">
        <v>46240.52928998842</v>
      </c>
      <c r="F42" s="2"/>
      <c r="G42" s="22">
        <v>16.0</v>
      </c>
      <c r="H42" s="25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59</v>
      </c>
      <c r="D43" s="6">
        <v>121.0</v>
      </c>
      <c r="E43" s="8">
        <v>46240.53010005787</v>
      </c>
      <c r="F43" s="2"/>
      <c r="G43" s="22">
        <v>150.0</v>
      </c>
      <c r="H43" s="25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26" t="s">
        <v>60</v>
      </c>
      <c r="B44" s="6">
        <v>1.0</v>
      </c>
      <c r="C44" s="7" t="s">
        <v>61</v>
      </c>
      <c r="D44" s="6">
        <v>280.0</v>
      </c>
      <c r="E44" s="8">
        <v>46240.53039806713</v>
      </c>
      <c r="F44" s="2"/>
      <c r="G44" s="25"/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62</v>
      </c>
      <c r="D45" s="6">
        <v>62.0</v>
      </c>
      <c r="E45" s="8">
        <v>46240.530872557865</v>
      </c>
      <c r="F45" s="2"/>
      <c r="G45" s="25"/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 t="s">
        <v>63</v>
      </c>
      <c r="C46" s="7" t="s">
        <v>64</v>
      </c>
      <c r="D46" s="6">
        <v>20.0</v>
      </c>
      <c r="E46" s="8">
        <v>46240.55935310185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 t="s">
        <v>63</v>
      </c>
      <c r="C47" s="7" t="s">
        <v>65</v>
      </c>
      <c r="D47" s="6">
        <v>12.0</v>
      </c>
      <c r="E47" s="8">
        <v>46240.559556215274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26" t="s">
        <v>66</v>
      </c>
      <c r="B48" s="6">
        <v>1.0</v>
      </c>
      <c r="C48" s="7" t="s">
        <v>67</v>
      </c>
      <c r="D48" s="6">
        <v>40.0</v>
      </c>
      <c r="E48" s="8">
        <v>46240.55998618055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68</v>
      </c>
      <c r="D49" s="6">
        <v>120.0</v>
      </c>
      <c r="E49" s="8">
        <v>46241.392842291665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69</v>
      </c>
      <c r="D50" s="6">
        <v>13.0</v>
      </c>
      <c r="E50" s="8">
        <v>46241.40345894676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70</v>
      </c>
      <c r="D51" s="6">
        <v>17.0</v>
      </c>
      <c r="E51" s="8">
        <v>46241.40360943287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71</v>
      </c>
      <c r="D52" s="6">
        <v>85.0</v>
      </c>
      <c r="E52" s="8">
        <v>46241.412912789354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72</v>
      </c>
      <c r="D53" s="6">
        <v>130.0</v>
      </c>
      <c r="E53" s="8">
        <v>46241.413042280095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73</v>
      </c>
      <c r="D54" s="6">
        <v>20.0</v>
      </c>
      <c r="E54" s="8">
        <v>46241.42456908565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74</v>
      </c>
      <c r="D55" s="6">
        <v>12.0</v>
      </c>
      <c r="E55" s="8">
        <v>46241.42472077547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75</v>
      </c>
      <c r="D56" s="6">
        <v>5.0</v>
      </c>
      <c r="E56" s="8">
        <v>46241.42741631945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76</v>
      </c>
      <c r="D57" s="6">
        <v>4.0</v>
      </c>
      <c r="E57" s="8">
        <v>46241.42826274305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77</v>
      </c>
      <c r="D58" s="6">
        <v>26.0</v>
      </c>
      <c r="E58" s="8">
        <v>46241.42841136574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78</v>
      </c>
      <c r="D59" s="6">
        <v>12.0</v>
      </c>
      <c r="E59" s="8">
        <v>46241.42877554398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73</v>
      </c>
      <c r="D60" s="6">
        <v>20.0</v>
      </c>
      <c r="E60" s="8">
        <v>46241.42881172454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3.0</v>
      </c>
      <c r="C61" s="7" t="s">
        <v>79</v>
      </c>
      <c r="D61" s="6">
        <v>60.0</v>
      </c>
      <c r="E61" s="8">
        <v>46241.43305685185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0.5</v>
      </c>
      <c r="C62" s="7" t="s">
        <v>80</v>
      </c>
      <c r="D62" s="6">
        <v>29.0</v>
      </c>
      <c r="E62" s="8">
        <v>46241.43313146991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81</v>
      </c>
      <c r="D63" s="6">
        <v>28.0</v>
      </c>
      <c r="E63" s="8">
        <v>46241.433190358795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82</v>
      </c>
      <c r="D64" s="6">
        <v>13.0</v>
      </c>
      <c r="E64" s="8">
        <v>46241.434259965274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83</v>
      </c>
      <c r="D65" s="6">
        <v>35.0</v>
      </c>
      <c r="E65" s="8">
        <v>46241.4447590625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84</v>
      </c>
      <c r="D66" s="6">
        <v>22.0</v>
      </c>
      <c r="E66" s="8">
        <v>46241.45360743055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85</v>
      </c>
      <c r="D67" s="6">
        <v>12.0</v>
      </c>
      <c r="E67" s="8">
        <v>46241.45380653936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86</v>
      </c>
      <c r="D68" s="6">
        <v>7.0</v>
      </c>
      <c r="E68" s="8">
        <v>46241.4535434375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87</v>
      </c>
      <c r="D69" s="6">
        <v>13.0</v>
      </c>
      <c r="E69" s="8">
        <v>46241.4540478125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88</v>
      </c>
      <c r="D70" s="6">
        <v>8.0</v>
      </c>
      <c r="E70" s="8">
        <v>46241.45413010417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89</v>
      </c>
      <c r="D71" s="6">
        <v>9.0</v>
      </c>
      <c r="E71" s="8">
        <v>46241.45637530093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90</v>
      </c>
      <c r="D72" s="6">
        <v>33.0</v>
      </c>
      <c r="E72" s="8">
        <v>46241.45685040509</v>
      </c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91</v>
      </c>
      <c r="D73" s="6">
        <v>11.0</v>
      </c>
      <c r="E73" s="8">
        <v>46241.45672324074</v>
      </c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92</v>
      </c>
      <c r="D74" s="6">
        <v>34.0</v>
      </c>
      <c r="E74" s="8">
        <v>46241.45709790509</v>
      </c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93</v>
      </c>
      <c r="D75" s="6">
        <v>36.0</v>
      </c>
      <c r="E75" s="8">
        <v>46241.45714618056</v>
      </c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94</v>
      </c>
      <c r="D76" s="6">
        <v>24.0</v>
      </c>
      <c r="E76" s="8">
        <v>46241.46885931713</v>
      </c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12.0</v>
      </c>
      <c r="C77" s="7" t="s">
        <v>75</v>
      </c>
      <c r="D77" s="6">
        <v>2.5</v>
      </c>
      <c r="E77" s="8">
        <v>46241.46905847223</v>
      </c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95</v>
      </c>
      <c r="D78" s="6">
        <v>380.0</v>
      </c>
      <c r="E78" s="8">
        <v>46241.470939108796</v>
      </c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96</v>
      </c>
      <c r="D79" s="6">
        <v>6.0</v>
      </c>
      <c r="E79" s="8">
        <v>46241.470979606485</v>
      </c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97</v>
      </c>
      <c r="D80" s="6">
        <v>90.0</v>
      </c>
      <c r="E80" s="8">
        <v>46241.47573515047</v>
      </c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98</v>
      </c>
      <c r="D81" s="6">
        <v>50.0</v>
      </c>
      <c r="E81" s="8">
        <v>46241.47880596065</v>
      </c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10.0</v>
      </c>
      <c r="C82" s="7" t="s">
        <v>99</v>
      </c>
      <c r="D82" s="6">
        <v>150.0</v>
      </c>
      <c r="E82" s="8">
        <v>46241.4833549537</v>
      </c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100</v>
      </c>
      <c r="D83" s="6">
        <v>20.0</v>
      </c>
      <c r="E83" s="8">
        <v>46241.48919328704</v>
      </c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101</v>
      </c>
      <c r="D84" s="6">
        <v>10.0</v>
      </c>
      <c r="E84" s="8">
        <v>46241.4894493287</v>
      </c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102</v>
      </c>
      <c r="D85" s="6">
        <v>30.0</v>
      </c>
      <c r="E85" s="8">
        <v>46241.49773344907</v>
      </c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103</v>
      </c>
      <c r="D86" s="6">
        <v>55.0</v>
      </c>
      <c r="E86" s="8">
        <v>46241.50632936343</v>
      </c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12.0</v>
      </c>
      <c r="C87" s="7" t="s">
        <v>104</v>
      </c>
      <c r="D87" s="6">
        <v>2.0</v>
      </c>
      <c r="E87" s="8">
        <v>46241.506375833334</v>
      </c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105</v>
      </c>
      <c r="D88" s="6">
        <v>42.0</v>
      </c>
      <c r="E88" s="8">
        <v>46241.50646174769</v>
      </c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106</v>
      </c>
      <c r="D89" s="6">
        <v>5.0</v>
      </c>
      <c r="E89" s="8">
        <v>46241.50648835648</v>
      </c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4.0</v>
      </c>
      <c r="C90" s="7" t="s">
        <v>107</v>
      </c>
      <c r="D90" s="6">
        <v>16.0</v>
      </c>
      <c r="E90" s="8">
        <v>46241.50975953703</v>
      </c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3.0</v>
      </c>
      <c r="C91" s="7" t="s">
        <v>108</v>
      </c>
      <c r="D91" s="6">
        <v>15.0</v>
      </c>
      <c r="E91" s="8">
        <v>46241.50980716435</v>
      </c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2.0</v>
      </c>
      <c r="C92" s="7" t="s">
        <v>109</v>
      </c>
      <c r="D92" s="6">
        <v>7.0</v>
      </c>
      <c r="E92" s="8">
        <v>46241.50991256944</v>
      </c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2.0</v>
      </c>
      <c r="C93" s="7" t="s">
        <v>110</v>
      </c>
      <c r="D93" s="6">
        <v>8.0</v>
      </c>
      <c r="E93" s="8">
        <v>46241.509953113426</v>
      </c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111</v>
      </c>
      <c r="D94" s="6">
        <v>125.0</v>
      </c>
      <c r="E94" s="8">
        <v>46241.510118252314</v>
      </c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2.0</v>
      </c>
      <c r="C95" s="7" t="s">
        <v>112</v>
      </c>
      <c r="D95" s="6">
        <v>20.0</v>
      </c>
      <c r="E95" s="8">
        <v>46241.515596701385</v>
      </c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4.0</v>
      </c>
      <c r="C96" s="7" t="s">
        <v>113</v>
      </c>
      <c r="D96" s="6">
        <v>10.0</v>
      </c>
      <c r="E96" s="8">
        <v>46241.51566350694</v>
      </c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61</v>
      </c>
      <c r="D97" s="6">
        <v>328.0</v>
      </c>
      <c r="E97" s="8">
        <v>46241.5328178125</v>
      </c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114</v>
      </c>
      <c r="D98" s="6">
        <v>340.0</v>
      </c>
      <c r="E98" s="8">
        <v>46241.53302700231</v>
      </c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12.0</v>
      </c>
      <c r="C99" s="7" t="s">
        <v>75</v>
      </c>
      <c r="D99" s="6">
        <v>4.5</v>
      </c>
      <c r="E99" s="8">
        <v>46241.53328240741</v>
      </c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12.0</v>
      </c>
      <c r="C100" s="7" t="s">
        <v>115</v>
      </c>
      <c r="D100" s="6">
        <v>2.0</v>
      </c>
      <c r="E100" s="8">
        <v>46241.533449236114</v>
      </c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116</v>
      </c>
      <c r="D101" s="6">
        <v>16.0</v>
      </c>
      <c r="E101" s="8">
        <v>46241.53357357639</v>
      </c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117</v>
      </c>
      <c r="D102" s="6">
        <v>22.0</v>
      </c>
      <c r="E102" s="8">
        <v>46241.533755358796</v>
      </c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3.0</v>
      </c>
      <c r="C103" s="7" t="s">
        <v>118</v>
      </c>
      <c r="D103" s="6">
        <v>1.0</v>
      </c>
      <c r="E103" s="8">
        <v>46241.53524856482</v>
      </c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 t="s">
        <v>119</v>
      </c>
      <c r="C104" s="7" t="s">
        <v>120</v>
      </c>
      <c r="D104" s="6">
        <v>20.0</v>
      </c>
      <c r="E104" s="8">
        <v>46241.53787512732</v>
      </c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4.0</v>
      </c>
      <c r="C105" s="7" t="s">
        <v>121</v>
      </c>
      <c r="D105" s="6">
        <v>9.5</v>
      </c>
      <c r="E105" s="8">
        <v>46241.54462423611</v>
      </c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122</v>
      </c>
      <c r="D106" s="6">
        <v>60.0</v>
      </c>
      <c r="E106" s="8">
        <v>46241.5448075</v>
      </c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123</v>
      </c>
      <c r="D107" s="6">
        <v>1.0</v>
      </c>
      <c r="E107" s="8">
        <v>46241.54500489583</v>
      </c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1.0</v>
      </c>
      <c r="C108" s="7" t="s">
        <v>124</v>
      </c>
      <c r="D108" s="6">
        <v>9.0</v>
      </c>
      <c r="E108" s="8">
        <v>46241.554605509256</v>
      </c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125</v>
      </c>
      <c r="D109" s="6">
        <v>16.0</v>
      </c>
      <c r="E109" s="8">
        <v>46241.57302269676</v>
      </c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1.0</v>
      </c>
      <c r="C110" s="7" t="s">
        <v>126</v>
      </c>
      <c r="D110" s="6">
        <v>95.0</v>
      </c>
      <c r="E110" s="8">
        <v>46241.593619374995</v>
      </c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2.0</v>
      </c>
      <c r="C111" s="7" t="s">
        <v>127</v>
      </c>
      <c r="D111" s="6">
        <v>10.0</v>
      </c>
      <c r="E111" s="8">
        <v>46241.59713876157</v>
      </c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1.0</v>
      </c>
      <c r="C112" s="7" t="s">
        <v>128</v>
      </c>
      <c r="D112" s="6">
        <v>16.0</v>
      </c>
      <c r="E112" s="8">
        <v>46241.62021334491</v>
      </c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1.0</v>
      </c>
      <c r="C113" s="7" t="s">
        <v>129</v>
      </c>
      <c r="D113" s="6">
        <v>18.0</v>
      </c>
      <c r="E113" s="8">
        <v>46241.62030844907</v>
      </c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1.0</v>
      </c>
      <c r="C114" s="7" t="s">
        <v>130</v>
      </c>
      <c r="D114" s="6">
        <v>40.0</v>
      </c>
      <c r="E114" s="8">
        <v>46241.6210322338</v>
      </c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6" t="s">
        <v>131</v>
      </c>
      <c r="C115" s="7" t="s">
        <v>132</v>
      </c>
      <c r="D115" s="6">
        <v>17.0</v>
      </c>
      <c r="E115" s="8">
        <v>46241.62130946759</v>
      </c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6">
        <v>2.0</v>
      </c>
      <c r="C116" s="7" t="s">
        <v>133</v>
      </c>
      <c r="D116" s="6">
        <v>10.0</v>
      </c>
      <c r="E116" s="8">
        <v>46241.62149322916</v>
      </c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6">
        <v>1.0</v>
      </c>
      <c r="C117" s="7" t="s">
        <v>134</v>
      </c>
      <c r="D117" s="6">
        <v>15.0</v>
      </c>
      <c r="E117" s="8">
        <v>46241.62169501158</v>
      </c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6">
        <v>1.0</v>
      </c>
      <c r="C118" s="7" t="s">
        <v>135</v>
      </c>
      <c r="D118" s="6">
        <v>15.0</v>
      </c>
      <c r="E118" s="8">
        <v>46241.621964502316</v>
      </c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6">
        <v>1.0</v>
      </c>
      <c r="C119" s="7" t="s">
        <v>136</v>
      </c>
      <c r="D119" s="6">
        <v>18.0</v>
      </c>
      <c r="E119" s="8">
        <v>46241.62215668982</v>
      </c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6">
        <v>1.0</v>
      </c>
      <c r="C120" s="7" t="s">
        <v>137</v>
      </c>
      <c r="D120" s="6">
        <v>15.0</v>
      </c>
      <c r="E120" s="8">
        <v>46241.62243837963</v>
      </c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6">
        <v>1.0</v>
      </c>
      <c r="C121" s="7" t="s">
        <v>138</v>
      </c>
      <c r="D121" s="6">
        <v>92.0</v>
      </c>
      <c r="E121" s="8">
        <v>46241.62269914352</v>
      </c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6">
        <v>1.0</v>
      </c>
      <c r="C122" s="7" t="s">
        <v>139</v>
      </c>
      <c r="D122" s="6">
        <v>40.0</v>
      </c>
      <c r="E122" s="8">
        <v>46241.64031994213</v>
      </c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6">
        <v>12.0</v>
      </c>
      <c r="C123" s="7" t="s">
        <v>64</v>
      </c>
      <c r="D123" s="6">
        <v>8.0</v>
      </c>
      <c r="E123" s="8">
        <v>46241.65448931713</v>
      </c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6">
        <v>1.0</v>
      </c>
      <c r="C124" s="7" t="s">
        <v>140</v>
      </c>
      <c r="D124" s="6">
        <v>15.0</v>
      </c>
      <c r="E124" s="8">
        <v>46241.65486398149</v>
      </c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6">
        <v>1.0</v>
      </c>
      <c r="C125" s="7" t="s">
        <v>141</v>
      </c>
      <c r="D125" s="6">
        <v>28.0</v>
      </c>
      <c r="E125" s="8">
        <v>46241.66609678241</v>
      </c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6">
        <v>1.0</v>
      </c>
      <c r="C126" s="7" t="s">
        <v>142</v>
      </c>
      <c r="D126" s="6">
        <v>10.0</v>
      </c>
      <c r="E126" s="8">
        <v>46241.66616175926</v>
      </c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6">
        <v>2.0</v>
      </c>
      <c r="C127" s="7" t="s">
        <v>143</v>
      </c>
      <c r="D127" s="6">
        <v>82.0</v>
      </c>
      <c r="E127" s="8">
        <v>46241.66628733797</v>
      </c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6">
        <v>1.0</v>
      </c>
      <c r="C128" s="7" t="s">
        <v>144</v>
      </c>
      <c r="D128" s="6">
        <v>58.0</v>
      </c>
      <c r="E128" s="8">
        <v>46241.666353252316</v>
      </c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