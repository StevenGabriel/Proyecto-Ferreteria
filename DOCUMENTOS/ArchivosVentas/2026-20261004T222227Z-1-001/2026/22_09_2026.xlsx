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<sst xmlns="http://schemas.openxmlformats.org/spreadsheetml/2006/main" count="153" uniqueCount="142">
  <si>
    <t>HOJA DE CALCULO FERRETERIA</t>
  </si>
  <si>
    <t>CODIGO</t>
  </si>
  <si>
    <t>CANTIDAD</t>
  </si>
  <si>
    <t>DESCRIPCION</t>
  </si>
  <si>
    <t>TOTAL</t>
  </si>
  <si>
    <t>HORA</t>
  </si>
  <si>
    <t>CUADRAR</t>
  </si>
  <si>
    <t>CANDADO TR</t>
  </si>
  <si>
    <t>MONEDAS</t>
  </si>
  <si>
    <t>CAJA CHICA</t>
  </si>
  <si>
    <t>CLEFA 100</t>
  </si>
  <si>
    <t>BILLETES 10-20</t>
  </si>
  <si>
    <t>TOTAL VENTAS DIA</t>
  </si>
  <si>
    <t>MANGEURA GAS</t>
  </si>
  <si>
    <t>BILLETES 50-100-200</t>
  </si>
  <si>
    <t>AUMENTO DE DINERO</t>
  </si>
  <si>
    <t>ABRAZADERA</t>
  </si>
  <si>
    <t>INGRESOS YAPE</t>
  </si>
  <si>
    <t>DISCO DE PULIR</t>
  </si>
  <si>
    <t>INGRESOS TARJETA</t>
  </si>
  <si>
    <t>JUEGO CPLLOS TOLSEN</t>
  </si>
  <si>
    <t>GASTOS VARIOS</t>
  </si>
  <si>
    <t>CLAVIJA LATER</t>
  </si>
  <si>
    <t>NIPLE</t>
  </si>
  <si>
    <t>DINERO GANADO HOY:</t>
  </si>
  <si>
    <t>CANTIDAD DINERO CAJA:</t>
  </si>
  <si>
    <t>REDUCCION 3/4*1/2</t>
  </si>
  <si>
    <t>TEFLON</t>
  </si>
  <si>
    <t>CAUTIN 150 W</t>
  </si>
  <si>
    <t>gitut</t>
  </si>
  <si>
    <t>spaciador titan</t>
  </si>
  <si>
    <t>cruceta</t>
  </si>
  <si>
    <t>CANDADO 20MM</t>
  </si>
  <si>
    <t>YAPE MAMÁ</t>
  </si>
  <si>
    <t>YAPE PAPÁ</t>
  </si>
  <si>
    <t>YAPE</t>
  </si>
  <si>
    <t>CANDADO 30MM</t>
  </si>
  <si>
    <t>Monto Total YAPE (No tocar):</t>
  </si>
  <si>
    <t>CANDADO 32MM LARGO</t>
  </si>
  <si>
    <t>COPLA VCP 3/4</t>
  </si>
  <si>
    <t>Monto Total Registrado en aplicacion</t>
  </si>
  <si>
    <t>TAPON CPVC 1/2</t>
  </si>
  <si>
    <t>TAPO PVC 1/2</t>
  </si>
  <si>
    <t>carpicola</t>
  </si>
  <si>
    <t>flaper</t>
  </si>
  <si>
    <t>poxipol</t>
  </si>
  <si>
    <t>aerosol negro mate</t>
  </si>
  <si>
    <t>clavo 2 1/2</t>
  </si>
  <si>
    <t>tornillos y ramplus</t>
  </si>
  <si>
    <t>PAGOS YAPE</t>
  </si>
  <si>
    <t>DESCRIPCION PAGO</t>
  </si>
  <si>
    <t>flexo tolsen</t>
  </si>
  <si>
    <t>broca 4.5 fierro tolsen</t>
  </si>
  <si>
    <t>chaleco reflectivo pretul</t>
  </si>
  <si>
    <t>sintetica cafe oscuro 220</t>
  </si>
  <si>
    <t>broca 1 atlas</t>
  </si>
  <si>
    <t>chip 4x40</t>
  </si>
  <si>
    <t>ramplu lh 6</t>
  </si>
  <si>
    <t>polifur</t>
  </si>
  <si>
    <t>1/2m</t>
  </si>
  <si>
    <t>lija120</t>
  </si>
  <si>
    <t>limpiador tigre</t>
  </si>
  <si>
    <t>parabon 1/8</t>
  </si>
  <si>
    <t>tee pvc 3/4</t>
  </si>
  <si>
    <t>reduccion 3/4x1/2 pvc</t>
  </si>
  <si>
    <t>cañeria 1/2</t>
  </si>
  <si>
    <t>tee pvc 1/2</t>
  </si>
  <si>
    <t>llave de ducha original</t>
  </si>
  <si>
    <t>codo pvc 1/2</t>
  </si>
  <si>
    <t>codo fg 1/2</t>
  </si>
  <si>
    <t>abrazadera 1oreja</t>
  </si>
  <si>
    <t>adaptador 1/2</t>
  </si>
  <si>
    <t>chicotillo 60</t>
  </si>
  <si>
    <t>chip+ramplu 6</t>
  </si>
  <si>
    <t>masquin 3/4</t>
  </si>
  <si>
    <t>broca 5</t>
  </si>
  <si>
    <t>pigmento marron</t>
  </si>
  <si>
    <t>thinner dico</t>
  </si>
  <si>
    <t>lija 120</t>
  </si>
  <si>
    <t>broca fierro 4</t>
  </si>
  <si>
    <t>adaptador ultra</t>
  </si>
  <si>
    <t>grifo fv</t>
  </si>
  <si>
    <t>teflon</t>
  </si>
  <si>
    <t>20m</t>
  </si>
  <si>
    <t>hilo 1,8</t>
  </si>
  <si>
    <t>rastrillo</t>
  </si>
  <si>
    <t>guante asatex</t>
  </si>
  <si>
    <t>llave de paso 1/2</t>
  </si>
  <si>
    <t>yeso</t>
  </si>
  <si>
    <t>guante tr</t>
  </si>
  <si>
    <t>copla pvc 1/2</t>
  </si>
  <si>
    <t>adaptadorres 1/2</t>
  </si>
  <si>
    <t>codo 1/2 pvc</t>
  </si>
  <si>
    <t>cinta vulanizante 3m</t>
  </si>
  <si>
    <t>silicon regra</t>
  </si>
  <si>
    <t>gafas de seguridad</t>
  </si>
  <si>
    <t>brocha altals 1/2</t>
  </si>
  <si>
    <t>hojas de sierra irwin</t>
  </si>
  <si>
    <t>disco uyus galleta 7</t>
  </si>
  <si>
    <t>disco desbaste 7 yus</t>
  </si>
  <si>
    <t>escuadra magnetica</t>
  </si>
  <si>
    <t>amoladora total 900w</t>
  </si>
  <si>
    <t>bateria boton central</t>
  </si>
  <si>
    <t>boton lateral</t>
  </si>
  <si>
    <t>goma esponjosa</t>
  </si>
  <si>
    <t>docenas chip</t>
  </si>
  <si>
    <t>doc chip</t>
  </si>
  <si>
    <t>gruesa de armella abierta</t>
  </si>
  <si>
    <t>clavija redonda</t>
  </si>
  <si>
    <t>sacabocado 32mm</t>
  </si>
  <si>
    <t>cubre cable 20*10</t>
  </si>
  <si>
    <t>2m</t>
  </si>
  <si>
    <t>bipolar 12</t>
  </si>
  <si>
    <t>alambre 1</t>
  </si>
  <si>
    <t>lija 400</t>
  </si>
  <si>
    <t>lija 280</t>
  </si>
  <si>
    <t>lija 600</t>
  </si>
  <si>
    <t>juago punta larga</t>
  </si>
  <si>
    <t>alub</t>
  </si>
  <si>
    <t>GRIFO ITAP 1/2</t>
  </si>
  <si>
    <t>BROCA DEBOR 2 MM</t>
  </si>
  <si>
    <t>CADENILLA</t>
  </si>
  <si>
    <t>JUEGO DE ACOPLES 3/4</t>
  </si>
  <si>
    <t>PICO TRAMKONIA</t>
  </si>
  <si>
    <t>MANGUERA GAS 1,5</t>
  </si>
  <si>
    <t>MARIOSA GAS</t>
  </si>
  <si>
    <t>ABRAZADEA</t>
  </si>
  <si>
    <t>BROCHA ROJAS 3</t>
  </si>
  <si>
    <t>CARPICOLA 3,5</t>
  </si>
  <si>
    <t>HILO CORTA PASTO</t>
  </si>
  <si>
    <t>POLYFUR</t>
  </si>
  <si>
    <t>PER HEX</t>
  </si>
  <si>
    <t xml:space="preserve">JUEGO DE DADO </t>
  </si>
  <si>
    <t xml:space="preserve">LLAVE COMBINAD </t>
  </si>
  <si>
    <t>ADAPTADRO MACHO 3/4</t>
  </si>
  <si>
    <t>TEE 3/4</t>
  </si>
  <si>
    <t>ADAPTADOR 1/2</t>
  </si>
  <si>
    <t>COPLA 3/4</t>
  </si>
  <si>
    <t>GOMA DE INODORO</t>
  </si>
  <si>
    <t>PERNO TANQUE INODORO</t>
  </si>
  <si>
    <t>ALICATE LARGO</t>
  </si>
  <si>
    <t>SINTETICA AMARILLO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</si>
</sst>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4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rgb="FFB7B7B7"/>
      <name val="Impact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157.0</v>
      </c>
      <c r="E8" s="9">
        <v>46287.363120787035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7</v>
      </c>
      <c r="D9" s="6">
        <v>91.0</v>
      </c>
      <c r="E9" s="9">
        <v>46287.36317060185</v>
      </c>
      <c r="F9" s="2"/>
      <c r="G9" s="10" t="s">
        <v>8</v>
      </c>
      <c r="H9" s="11">
        <v>81.0</v>
      </c>
      <c r="I9" s="2"/>
      <c r="J9" s="10" t="s">
        <v>9</v>
      </c>
      <c r="K9" s="11">
        <v>727.0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10</v>
      </c>
      <c r="D10" s="6">
        <v>17.0</v>
      </c>
      <c r="E10" s="9">
        <v>46287.36929087963</v>
      </c>
      <c r="F10" s="2"/>
      <c r="G10" s="10" t="s">
        <v>11</v>
      </c>
      <c r="H10" s="11">
        <v>360.0</v>
      </c>
      <c r="I10" s="2"/>
      <c r="J10" s="10" t="s">
        <v>12</v>
      </c>
      <c r="K10" s="12">
        <f>SUM(PRINCIPAL[TOTAL])</f>
        <v>5090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13</v>
      </c>
      <c r="D11" s="6">
        <v>13.0</v>
      </c>
      <c r="E11" s="9">
        <v>46287.37646167824</v>
      </c>
      <c r="F11" s="2"/>
      <c r="G11" s="10" t="s">
        <v>14</v>
      </c>
      <c r="H11" s="11">
        <v>3250.0</v>
      </c>
      <c r="I11" s="2"/>
      <c r="J11" s="10" t="s">
        <v>15</v>
      </c>
      <c r="K11" s="11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16</v>
      </c>
      <c r="D12" s="6">
        <v>6.0</v>
      </c>
      <c r="E12" s="9">
        <v>46287.3765196875</v>
      </c>
      <c r="F12" s="2"/>
      <c r="G12" s="10" t="s">
        <v>17</v>
      </c>
      <c r="H12" s="13">
        <f>SUM(G24:H361)</f>
        <v>2062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18</v>
      </c>
      <c r="D13" s="6">
        <v>25.0</v>
      </c>
      <c r="E13" s="9">
        <v>46287.376674652776</v>
      </c>
      <c r="F13" s="2"/>
      <c r="G13" s="10" t="s">
        <v>19</v>
      </c>
      <c r="H13" s="11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20</v>
      </c>
      <c r="D14" s="6">
        <v>14.0</v>
      </c>
      <c r="E14" s="9">
        <v>46287.38432582176</v>
      </c>
      <c r="F14" s="2"/>
      <c r="G14" s="10" t="s">
        <v>21</v>
      </c>
      <c r="H14" s="11">
        <v>50.0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22</v>
      </c>
      <c r="D15" s="6">
        <v>20.0</v>
      </c>
      <c r="E15" s="9">
        <v>46287.39009641204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1.0</v>
      </c>
      <c r="C16" s="7" t="s">
        <v>23</v>
      </c>
      <c r="D16" s="6">
        <v>2.5</v>
      </c>
      <c r="E16" s="9">
        <v>46287.39077165509</v>
      </c>
      <c r="F16" s="2"/>
      <c r="G16" s="16" t="s">
        <v>24</v>
      </c>
      <c r="H16" s="17">
        <f>SUM(H9:H14)</f>
        <v>5803</v>
      </c>
      <c r="I16" s="3"/>
      <c r="J16" s="16" t="s">
        <v>25</v>
      </c>
      <c r="K16" s="17">
        <f>SUM(K9:K11)</f>
        <v>5817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26</v>
      </c>
      <c r="D17" s="6">
        <v>2.5</v>
      </c>
      <c r="E17" s="9">
        <v>46287.39098982639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27</v>
      </c>
      <c r="D18" s="6">
        <v>3.0</v>
      </c>
      <c r="E18" s="9">
        <v>46287.391172812495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14,00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28</v>
      </c>
      <c r="D19" s="6">
        <v>85.0</v>
      </c>
      <c r="E19" s="9">
        <v>46287.39474038195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29</v>
      </c>
      <c r="D20" s="6">
        <v>13.0</v>
      </c>
      <c r="E20" s="9">
        <v>46287.40883570602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2.0</v>
      </c>
      <c r="C21" s="7" t="s">
        <v>30</v>
      </c>
      <c r="D21" s="6">
        <v>90.0</v>
      </c>
      <c r="E21" s="9">
        <v>46287.40896836805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1.0</v>
      </c>
      <c r="C22" s="7" t="s">
        <v>31</v>
      </c>
      <c r="D22" s="6">
        <v>12.0</v>
      </c>
      <c r="E22" s="9">
        <v>46287.40904053241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2.0</v>
      </c>
      <c r="C23" s="7" t="s">
        <v>32</v>
      </c>
      <c r="D23" s="6">
        <v>24.0</v>
      </c>
      <c r="E23" s="9">
        <v>46287.42060671296</v>
      </c>
      <c r="F23" s="2"/>
      <c r="G23" s="20" t="s">
        <v>33</v>
      </c>
      <c r="H23" s="20" t="s">
        <v>34</v>
      </c>
      <c r="I23" s="2"/>
      <c r="J23" s="21" t="s">
        <v>35</v>
      </c>
      <c r="L23" s="22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36</v>
      </c>
      <c r="D24" s="6">
        <v>17.0</v>
      </c>
      <c r="E24" s="9">
        <v>46287.420683530094</v>
      </c>
      <c r="F24" s="2"/>
      <c r="G24" s="23">
        <v>248.0</v>
      </c>
      <c r="H24" s="24"/>
      <c r="I24" s="2"/>
      <c r="J24" s="25" t="s">
        <v>37</v>
      </c>
      <c r="K24" s="26">
        <f>SUM(INGRESOS_YAPE[])</f>
        <v>2062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38</v>
      </c>
      <c r="D25" s="6">
        <v>31.0</v>
      </c>
      <c r="E25" s="9">
        <v>46287.42075528935</v>
      </c>
      <c r="F25" s="2"/>
      <c r="G25" s="23">
        <v>20.0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39</v>
      </c>
      <c r="D26" s="6">
        <v>3.5</v>
      </c>
      <c r="E26" s="9">
        <v>46287.4208387963</v>
      </c>
      <c r="F26" s="2"/>
      <c r="G26" s="27">
        <v>8.0</v>
      </c>
      <c r="H26" s="24"/>
      <c r="I26" s="2"/>
      <c r="J26" s="28" t="s">
        <v>40</v>
      </c>
      <c r="K26" s="29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41</v>
      </c>
      <c r="D27" s="6">
        <v>2.0</v>
      </c>
      <c r="E27" s="9">
        <v>46287.42172574074</v>
      </c>
      <c r="F27" s="2"/>
      <c r="G27" s="23">
        <v>85.0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42</v>
      </c>
      <c r="D28" s="6">
        <v>2.5</v>
      </c>
      <c r="E28" s="9">
        <v>46287.42182033564</v>
      </c>
      <c r="F28" s="2"/>
      <c r="G28" s="23">
        <v>8.0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43</v>
      </c>
      <c r="D29" s="6">
        <v>8.0</v>
      </c>
      <c r="E29" s="9">
        <v>46287.43836497686</v>
      </c>
      <c r="F29" s="2"/>
      <c r="G29" s="23">
        <v>20.0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2062,00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44</v>
      </c>
      <c r="D30" s="6">
        <v>25.0</v>
      </c>
      <c r="E30" s="9">
        <v>46287.4496784838</v>
      </c>
      <c r="F30" s="2"/>
      <c r="G30" s="23">
        <v>68.0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45</v>
      </c>
      <c r="D31" s="6">
        <v>38.0</v>
      </c>
      <c r="E31" s="9">
        <v>46287.449988981476</v>
      </c>
      <c r="F31" s="2"/>
      <c r="G31" s="23">
        <v>7.0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46</v>
      </c>
      <c r="D32" s="6">
        <v>20.0</v>
      </c>
      <c r="E32" s="9">
        <v>46287.44961708333</v>
      </c>
      <c r="F32" s="2"/>
      <c r="G32" s="23">
        <v>13.0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47</v>
      </c>
      <c r="D33" s="6">
        <v>20.0</v>
      </c>
      <c r="E33" s="9">
        <v>46287.46257767361</v>
      </c>
      <c r="F33" s="2"/>
      <c r="G33" s="23">
        <v>50.0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48</v>
      </c>
      <c r="D34" s="6">
        <v>7.0</v>
      </c>
      <c r="E34" s="9">
        <v>46287.479911284725</v>
      </c>
      <c r="F34" s="2"/>
      <c r="G34" s="23">
        <v>39.0</v>
      </c>
      <c r="H34" s="24"/>
      <c r="I34" s="2"/>
      <c r="J34" s="31" t="s">
        <v>49</v>
      </c>
      <c r="K34" s="31" t="s">
        <v>50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2.0</v>
      </c>
      <c r="C35" s="7" t="s">
        <v>51</v>
      </c>
      <c r="D35" s="6">
        <v>68.0</v>
      </c>
      <c r="E35" s="9">
        <v>46287.482229305555</v>
      </c>
      <c r="F35" s="2"/>
      <c r="G35" s="23">
        <v>10.0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52</v>
      </c>
      <c r="D36" s="6">
        <v>13.0</v>
      </c>
      <c r="E36" s="9">
        <v>46287.49289863426</v>
      </c>
      <c r="F36" s="2"/>
      <c r="G36" s="23">
        <v>30.0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53</v>
      </c>
      <c r="D37" s="6">
        <v>37.0</v>
      </c>
      <c r="E37" s="9">
        <v>46287.49394996528</v>
      </c>
      <c r="F37" s="2"/>
      <c r="G37" s="23">
        <v>75.0</v>
      </c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4"/>
      <c r="B38" s="6">
        <v>1.0</v>
      </c>
      <c r="C38" s="7" t="s">
        <v>54</v>
      </c>
      <c r="D38" s="6">
        <v>20.0</v>
      </c>
      <c r="E38" s="9">
        <v>46287.50112356481</v>
      </c>
      <c r="F38" s="2"/>
      <c r="G38" s="23">
        <v>20.0</v>
      </c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55</v>
      </c>
      <c r="D39" s="6">
        <v>10.0</v>
      </c>
      <c r="E39" s="9">
        <v>46287.50117574074</v>
      </c>
      <c r="F39" s="2"/>
      <c r="G39" s="23">
        <v>73.0</v>
      </c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4"/>
      <c r="B40" s="6">
        <v>18.0</v>
      </c>
      <c r="C40" s="7" t="s">
        <v>56</v>
      </c>
      <c r="D40" s="6">
        <v>4.5</v>
      </c>
      <c r="E40" s="9">
        <v>46287.51632217593</v>
      </c>
      <c r="F40" s="2"/>
      <c r="G40" s="23">
        <v>1123.0</v>
      </c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4"/>
      <c r="B41" s="6">
        <v>18.0</v>
      </c>
      <c r="C41" s="7" t="s">
        <v>57</v>
      </c>
      <c r="D41" s="6">
        <v>5.5</v>
      </c>
      <c r="E41" s="9">
        <v>46287.51623112269</v>
      </c>
      <c r="F41" s="2"/>
      <c r="G41" s="23">
        <v>165.0</v>
      </c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58</v>
      </c>
      <c r="D42" s="6">
        <v>40.0</v>
      </c>
      <c r="E42" s="9">
        <v>46287.516108194446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4"/>
      <c r="B43" s="6" t="s">
        <v>59</v>
      </c>
      <c r="C43" s="7" t="s">
        <v>60</v>
      </c>
      <c r="D43" s="6">
        <v>5.0</v>
      </c>
      <c r="E43" s="9">
        <v>46287.51604017361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4"/>
      <c r="B44" s="6" t="s">
        <v>59</v>
      </c>
      <c r="C44" s="7" t="s">
        <v>60</v>
      </c>
      <c r="D44" s="6">
        <v>5.0</v>
      </c>
      <c r="E44" s="9">
        <v>46287.52279265046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61</v>
      </c>
      <c r="D45" s="6">
        <v>64.0</v>
      </c>
      <c r="E45" s="9">
        <v>46287.52329686342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62</v>
      </c>
      <c r="D46" s="6">
        <v>75.0</v>
      </c>
      <c r="E46" s="9">
        <v>46287.52337083333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63</v>
      </c>
      <c r="D47" s="6">
        <v>8.0</v>
      </c>
      <c r="E47" s="9">
        <v>46287.52345043981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64</v>
      </c>
      <c r="D48" s="6">
        <v>3.0</v>
      </c>
      <c r="E48" s="9">
        <v>46287.52354642361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65</v>
      </c>
      <c r="D49" s="6">
        <v>55.0</v>
      </c>
      <c r="E49" s="9">
        <v>46287.52360728009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5.0</v>
      </c>
      <c r="C50" s="7" t="s">
        <v>66</v>
      </c>
      <c r="D50" s="6">
        <v>25.0</v>
      </c>
      <c r="E50" s="9">
        <v>46287.52368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1.0</v>
      </c>
      <c r="C51" s="7" t="s">
        <v>67</v>
      </c>
      <c r="D51" s="6">
        <v>290.0</v>
      </c>
      <c r="E51" s="9">
        <v>46287.52380456019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9.0</v>
      </c>
      <c r="C52" s="7" t="s">
        <v>68</v>
      </c>
      <c r="D52" s="6">
        <v>36.0</v>
      </c>
      <c r="E52" s="9">
        <v>46287.52386726852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3.0</v>
      </c>
      <c r="C53" s="7" t="s">
        <v>69</v>
      </c>
      <c r="D53" s="6">
        <v>42.0</v>
      </c>
      <c r="E53" s="9">
        <v>46287.523966504625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12.0</v>
      </c>
      <c r="C54" s="7" t="s">
        <v>70</v>
      </c>
      <c r="D54" s="6">
        <v>30.0</v>
      </c>
      <c r="E54" s="9">
        <v>46287.52420133102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4.0</v>
      </c>
      <c r="C55" s="7" t="s">
        <v>71</v>
      </c>
      <c r="D55" s="6">
        <v>12.0</v>
      </c>
      <c r="E55" s="9">
        <v>46287.52439560185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72</v>
      </c>
      <c r="D56" s="6">
        <v>75.0</v>
      </c>
      <c r="E56" s="9">
        <v>46287.52447400463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12.0</v>
      </c>
      <c r="C57" s="7" t="s">
        <v>73</v>
      </c>
      <c r="D57" s="6">
        <v>4.5</v>
      </c>
      <c r="E57" s="9">
        <v>46287.524682777774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2.0</v>
      </c>
      <c r="C58" s="7" t="s">
        <v>74</v>
      </c>
      <c r="D58" s="6">
        <v>20.0</v>
      </c>
      <c r="E58" s="9">
        <v>46287.537826423606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75</v>
      </c>
      <c r="D59" s="6">
        <v>19.0</v>
      </c>
      <c r="E59" s="9">
        <v>46287.53776078703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76</v>
      </c>
      <c r="D60" s="6">
        <v>10.0</v>
      </c>
      <c r="E60" s="9">
        <v>46287.53771790509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77</v>
      </c>
      <c r="D61" s="6">
        <v>39.0</v>
      </c>
      <c r="E61" s="9">
        <v>46287.539636180554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1.0</v>
      </c>
      <c r="C62" s="7" t="s">
        <v>78</v>
      </c>
      <c r="D62" s="6">
        <v>10.0</v>
      </c>
      <c r="E62" s="9">
        <v>46287.56573967593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79</v>
      </c>
      <c r="D63" s="6">
        <v>19.0</v>
      </c>
      <c r="E63" s="9">
        <v>46287.56592592593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44</v>
      </c>
      <c r="D64" s="6">
        <v>10.0</v>
      </c>
      <c r="E64" s="9">
        <v>46287.5660630787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3.0</v>
      </c>
      <c r="C65" s="7" t="s">
        <v>80</v>
      </c>
      <c r="D65" s="6">
        <v>18.0</v>
      </c>
      <c r="E65" s="9">
        <v>46287.566204305556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81</v>
      </c>
      <c r="D66" s="6">
        <v>85.0</v>
      </c>
      <c r="E66" s="9">
        <v>46287.566323125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2.0</v>
      </c>
      <c r="C67" s="7" t="s">
        <v>82</v>
      </c>
      <c r="D67" s="6">
        <v>6.0</v>
      </c>
      <c r="E67" s="9">
        <v>46287.56638038195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 t="s">
        <v>83</v>
      </c>
      <c r="C68" s="7" t="s">
        <v>84</v>
      </c>
      <c r="D68" s="6">
        <v>30.0</v>
      </c>
      <c r="E68" s="9">
        <v>46287.59024295139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1.0</v>
      </c>
      <c r="C69" s="7" t="s">
        <v>85</v>
      </c>
      <c r="D69" s="6">
        <v>75.0</v>
      </c>
      <c r="E69" s="9">
        <v>46287.59607142361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1.0</v>
      </c>
      <c r="C70" s="7" t="s">
        <v>86</v>
      </c>
      <c r="D70" s="6">
        <v>20.0</v>
      </c>
      <c r="E70" s="9">
        <v>46287.60193267361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1.0</v>
      </c>
      <c r="C71" s="7" t="s">
        <v>87</v>
      </c>
      <c r="D71" s="6">
        <v>64.0</v>
      </c>
      <c r="E71" s="9">
        <v>46287.603788946755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>
        <v>1.0</v>
      </c>
      <c r="C72" s="7" t="s">
        <v>88</v>
      </c>
      <c r="D72" s="6">
        <v>16.0</v>
      </c>
      <c r="E72" s="9">
        <v>46287.603847465274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>
        <v>1.0</v>
      </c>
      <c r="C73" s="7" t="s">
        <v>89</v>
      </c>
      <c r="D73" s="6">
        <v>20.0</v>
      </c>
      <c r="E73" s="9">
        <v>46287.60391155093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>
        <v>1.0</v>
      </c>
      <c r="C74" s="7" t="s">
        <v>90</v>
      </c>
      <c r="D74" s="6">
        <v>4.0</v>
      </c>
      <c r="E74" s="9">
        <v>46287.60397859954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2.0</v>
      </c>
      <c r="C75" s="7" t="s">
        <v>91</v>
      </c>
      <c r="D75" s="6">
        <v>6.0</v>
      </c>
      <c r="E75" s="9">
        <v>46287.60406707176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>
        <v>3.0</v>
      </c>
      <c r="C76" s="7" t="s">
        <v>92</v>
      </c>
      <c r="D76" s="6">
        <v>12.0</v>
      </c>
      <c r="E76" s="9">
        <v>46287.60415009259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6">
        <v>1.0</v>
      </c>
      <c r="C77" s="7" t="s">
        <v>93</v>
      </c>
      <c r="D77" s="6">
        <v>73.0</v>
      </c>
      <c r="E77" s="9">
        <v>46287.61529876158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6">
        <v>2.0</v>
      </c>
      <c r="C78" s="7" t="s">
        <v>94</v>
      </c>
      <c r="D78" s="6">
        <v>84.0</v>
      </c>
      <c r="E78" s="9">
        <v>46287.622130578704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6">
        <v>2.0</v>
      </c>
      <c r="C79" s="7" t="s">
        <v>82</v>
      </c>
      <c r="D79" s="6">
        <v>6.0</v>
      </c>
      <c r="E79" s="9">
        <v>46287.64674387731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6">
        <v>1.0</v>
      </c>
      <c r="C80" s="7" t="s">
        <v>65</v>
      </c>
      <c r="D80" s="6">
        <v>53.0</v>
      </c>
      <c r="E80" s="9">
        <v>46287.646840381945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6">
        <v>10.0</v>
      </c>
      <c r="C81" s="7" t="s">
        <v>95</v>
      </c>
      <c r="D81" s="6">
        <v>120.0</v>
      </c>
      <c r="E81" s="9">
        <v>46287.647514675926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6">
        <v>15.0</v>
      </c>
      <c r="C82" s="7" t="s">
        <v>96</v>
      </c>
      <c r="D82" s="6">
        <v>105.0</v>
      </c>
      <c r="E82" s="9">
        <v>46287.64760326389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6">
        <v>10.0</v>
      </c>
      <c r="C83" s="7" t="s">
        <v>97</v>
      </c>
      <c r="D83" s="6">
        <v>200.0</v>
      </c>
      <c r="E83" s="9">
        <v>46287.64774746528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6">
        <v>3.0</v>
      </c>
      <c r="C84" s="7" t="s">
        <v>98</v>
      </c>
      <c r="D84" s="6">
        <v>42.0</v>
      </c>
      <c r="E84" s="9">
        <v>46287.64786734954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6">
        <v>1.0</v>
      </c>
      <c r="C85" s="7" t="s">
        <v>99</v>
      </c>
      <c r="D85" s="6">
        <v>24.0</v>
      </c>
      <c r="E85" s="9">
        <v>46287.64798212963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6">
        <v>3.0</v>
      </c>
      <c r="C86" s="7" t="s">
        <v>100</v>
      </c>
      <c r="D86" s="6">
        <v>147.0</v>
      </c>
      <c r="E86" s="9">
        <v>46287.64810871528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6">
        <v>1.0</v>
      </c>
      <c r="C87" s="7" t="s">
        <v>101</v>
      </c>
      <c r="D87" s="6">
        <v>485.0</v>
      </c>
      <c r="E87" s="9">
        <v>46287.648259733796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6">
        <v>1.0</v>
      </c>
      <c r="C88" s="7" t="s">
        <v>102</v>
      </c>
      <c r="D88" s="6">
        <v>135.0</v>
      </c>
      <c r="E88" s="9">
        <v>46287.654630115736</v>
      </c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6">
        <v>1.0</v>
      </c>
      <c r="C89" s="7" t="s">
        <v>103</v>
      </c>
      <c r="D89" s="6">
        <v>46.0</v>
      </c>
      <c r="E89" s="9">
        <v>46287.65481983796</v>
      </c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6">
        <v>1.0</v>
      </c>
      <c r="C90" s="7" t="s">
        <v>104</v>
      </c>
      <c r="D90" s="6">
        <v>19.0</v>
      </c>
      <c r="E90" s="9">
        <v>46287.65506871528</v>
      </c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6">
        <v>2.0</v>
      </c>
      <c r="C91" s="7" t="s">
        <v>105</v>
      </c>
      <c r="D91" s="6">
        <v>8.0</v>
      </c>
      <c r="E91" s="9">
        <v>46287.66132079861</v>
      </c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6">
        <v>4.0</v>
      </c>
      <c r="C92" s="7" t="s">
        <v>106</v>
      </c>
      <c r="D92" s="6">
        <v>14.0</v>
      </c>
      <c r="E92" s="9">
        <v>46287.66146447917</v>
      </c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34">
        <v>46054.0</v>
      </c>
      <c r="C93" s="7" t="s">
        <v>107</v>
      </c>
      <c r="D93" s="6">
        <v>65.0</v>
      </c>
      <c r="E93" s="9">
        <v>46287.66171976852</v>
      </c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6">
        <v>2.0</v>
      </c>
      <c r="C94" s="7" t="s">
        <v>108</v>
      </c>
      <c r="D94" s="6">
        <v>12.0</v>
      </c>
      <c r="E94" s="9">
        <v>46287.66611201389</v>
      </c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6">
        <v>1.0</v>
      </c>
      <c r="C95" s="7" t="s">
        <v>109</v>
      </c>
      <c r="D95" s="6">
        <v>70.0</v>
      </c>
      <c r="E95" s="9">
        <v>46287.6736800463</v>
      </c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6">
        <v>1.0</v>
      </c>
      <c r="C96" s="7" t="s">
        <v>110</v>
      </c>
      <c r="D96" s="6">
        <v>9.0</v>
      </c>
      <c r="E96" s="9">
        <v>46287.679482141204</v>
      </c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6" t="s">
        <v>111</v>
      </c>
      <c r="C97" s="7" t="s">
        <v>112</v>
      </c>
      <c r="D97" s="6">
        <v>7.0</v>
      </c>
      <c r="E97" s="9">
        <v>46287.67933773148</v>
      </c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6" t="s">
        <v>59</v>
      </c>
      <c r="C98" s="7" t="s">
        <v>113</v>
      </c>
      <c r="D98" s="6">
        <v>3.5</v>
      </c>
      <c r="E98" s="9">
        <v>46287.67917314815</v>
      </c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6">
        <v>1.0</v>
      </c>
      <c r="C99" s="7" t="s">
        <v>114</v>
      </c>
      <c r="D99" s="6">
        <v>6.0</v>
      </c>
      <c r="E99" s="9">
        <v>46287.690148298614</v>
      </c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6">
        <v>1.0</v>
      </c>
      <c r="C100" s="7" t="s">
        <v>115</v>
      </c>
      <c r="D100" s="6">
        <v>6.0</v>
      </c>
      <c r="E100" s="9">
        <v>46287.69011520833</v>
      </c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6">
        <v>1.0</v>
      </c>
      <c r="C101" s="7" t="s">
        <v>116</v>
      </c>
      <c r="D101" s="6">
        <v>6.0</v>
      </c>
      <c r="E101" s="9">
        <v>46287.690083622685</v>
      </c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6">
        <v>1.0</v>
      </c>
      <c r="C102" s="7" t="s">
        <v>117</v>
      </c>
      <c r="D102" s="6">
        <v>46.0</v>
      </c>
      <c r="E102" s="9">
        <v>46287.69001515047</v>
      </c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6">
        <v>1.75</v>
      </c>
      <c r="C103" s="7" t="s">
        <v>118</v>
      </c>
      <c r="D103" s="6">
        <v>37.0</v>
      </c>
      <c r="E103" s="9">
        <v>46287.70550454861</v>
      </c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6">
        <v>1.0</v>
      </c>
      <c r="C104" s="7" t="s">
        <v>119</v>
      </c>
      <c r="D104" s="6">
        <v>98.0</v>
      </c>
      <c r="E104" s="9">
        <v>46287.70725048611</v>
      </c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6">
        <v>1.0</v>
      </c>
      <c r="C105" s="7" t="s">
        <v>120</v>
      </c>
      <c r="D105" s="35">
        <v>13.0</v>
      </c>
      <c r="E105" s="9">
        <v>46287.715524618055</v>
      </c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6">
        <v>1.0</v>
      </c>
      <c r="C106" s="7" t="s">
        <v>121</v>
      </c>
      <c r="D106" s="6">
        <v>12.0</v>
      </c>
      <c r="E106" s="9">
        <v>46287.72630646991</v>
      </c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6">
        <v>1.0</v>
      </c>
      <c r="C107" s="7" t="s">
        <v>122</v>
      </c>
      <c r="D107" s="6">
        <v>40.0</v>
      </c>
      <c r="E107" s="9">
        <v>46287.73117932871</v>
      </c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6">
        <v>1.0</v>
      </c>
      <c r="C108" s="7" t="s">
        <v>123</v>
      </c>
      <c r="D108" s="6">
        <v>15.0</v>
      </c>
      <c r="E108" s="9">
        <v>46287.73122736111</v>
      </c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6">
        <v>4.0</v>
      </c>
      <c r="C109" s="7" t="s">
        <v>16</v>
      </c>
      <c r="D109" s="6">
        <v>10.0</v>
      </c>
      <c r="E109" s="9">
        <v>46287.73127423611</v>
      </c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6">
        <v>1.0</v>
      </c>
      <c r="C110" s="7" t="s">
        <v>124</v>
      </c>
      <c r="D110" s="6">
        <v>75.0</v>
      </c>
      <c r="E110" s="9">
        <v>46287.734378124995</v>
      </c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6">
        <v>1.0</v>
      </c>
      <c r="C111" s="7" t="s">
        <v>125</v>
      </c>
      <c r="D111" s="6">
        <v>13.0</v>
      </c>
      <c r="E111" s="9">
        <v>46287.734444131944</v>
      </c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6">
        <v>1.0</v>
      </c>
      <c r="C112" s="7" t="s">
        <v>126</v>
      </c>
      <c r="D112" s="6">
        <v>2.0</v>
      </c>
      <c r="E112" s="9">
        <v>46287.734486643516</v>
      </c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6">
        <v>2.0</v>
      </c>
      <c r="C113" s="7" t="s">
        <v>127</v>
      </c>
      <c r="D113" s="6">
        <v>28.0</v>
      </c>
      <c r="E113" s="9">
        <v>46287.73760349537</v>
      </c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6">
        <v>1.0</v>
      </c>
      <c r="C114" s="7" t="s">
        <v>128</v>
      </c>
      <c r="D114" s="6">
        <v>165.0</v>
      </c>
      <c r="E114" s="9">
        <v>46287.74157625</v>
      </c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6">
        <v>4.0</v>
      </c>
      <c r="C115" s="7" t="s">
        <v>129</v>
      </c>
      <c r="D115" s="6">
        <v>6.0</v>
      </c>
      <c r="E115" s="9">
        <v>46287.74170078704</v>
      </c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6">
        <v>1.0</v>
      </c>
      <c r="C116" s="7" t="s">
        <v>130</v>
      </c>
      <c r="D116" s="6">
        <v>40.0</v>
      </c>
      <c r="E116" s="9">
        <v>46287.74589493056</v>
      </c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6">
        <v>8.0</v>
      </c>
      <c r="C117" s="7" t="s">
        <v>131</v>
      </c>
      <c r="D117" s="6">
        <v>16.0</v>
      </c>
      <c r="E117" s="9">
        <v>46287.77607761574</v>
      </c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6">
        <v>1.0</v>
      </c>
      <c r="C118" s="7" t="s">
        <v>132</v>
      </c>
      <c r="D118" s="6">
        <v>270.0</v>
      </c>
      <c r="E118" s="9">
        <v>46287.77612672454</v>
      </c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6">
        <v>1.0</v>
      </c>
      <c r="C119" s="7" t="s">
        <v>133</v>
      </c>
      <c r="D119" s="6">
        <v>32.0</v>
      </c>
      <c r="E119" s="9">
        <v>46287.779674571764</v>
      </c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6">
        <v>2.0</v>
      </c>
      <c r="C120" s="7" t="s">
        <v>134</v>
      </c>
      <c r="D120" s="6">
        <v>8.0</v>
      </c>
      <c r="E120" s="9">
        <v>46287.78371534722</v>
      </c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6">
        <v>1.0</v>
      </c>
      <c r="C121" s="7" t="s">
        <v>135</v>
      </c>
      <c r="D121" s="6">
        <v>8.0</v>
      </c>
      <c r="E121" s="9">
        <v>46287.78377730324</v>
      </c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6">
        <v>1.0</v>
      </c>
      <c r="C122" s="7" t="s">
        <v>26</v>
      </c>
      <c r="D122" s="6">
        <v>2.5</v>
      </c>
      <c r="E122" s="9">
        <v>46287.78385230324</v>
      </c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6">
        <v>1.0</v>
      </c>
      <c r="C123" s="7" t="s">
        <v>136</v>
      </c>
      <c r="D123" s="6">
        <v>2.5</v>
      </c>
      <c r="E123" s="9">
        <v>46287.783924965275</v>
      </c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6">
        <v>2.0</v>
      </c>
      <c r="C124" s="7" t="s">
        <v>137</v>
      </c>
      <c r="D124" s="6">
        <v>6.0</v>
      </c>
      <c r="E124" s="9">
        <v>46287.7840050463</v>
      </c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6">
        <v>1.0</v>
      </c>
      <c r="C125" s="7" t="s">
        <v>62</v>
      </c>
      <c r="D125" s="6">
        <v>72.0</v>
      </c>
      <c r="E125" s="9">
        <v>46287.784061377315</v>
      </c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6">
        <v>1.0</v>
      </c>
      <c r="C126" s="7" t="s">
        <v>61</v>
      </c>
      <c r="D126" s="6">
        <v>64.0</v>
      </c>
      <c r="E126" s="9">
        <v>46287.78409357639</v>
      </c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6">
        <v>1.0</v>
      </c>
      <c r="C127" s="7" t="s">
        <v>138</v>
      </c>
      <c r="D127" s="6">
        <v>20.0</v>
      </c>
      <c r="E127" s="9">
        <v>46287.78496193287</v>
      </c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6">
        <v>1.0</v>
      </c>
      <c r="C128" s="7" t="s">
        <v>139</v>
      </c>
      <c r="D128" s="6">
        <v>14.0</v>
      </c>
      <c r="E128" s="9">
        <v>46287.78502512732</v>
      </c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6">
        <v>1.0</v>
      </c>
      <c r="C129" s="7" t="s">
        <v>140</v>
      </c>
      <c r="D129" s="6">
        <v>50.0</v>
      </c>
      <c r="E129" s="9">
        <v>46287.78516083333</v>
      </c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6">
        <v>1.0</v>
      </c>
      <c r="C130" s="7" t="s">
        <v>141</v>
      </c>
      <c r="D130" s="6">
        <v>20.0</v>
      </c>
      <c r="E130" s="9">
        <v>46287.785230625</v>
      </c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6"/>
      <c r="D131" s="37"/>
      <c r="E131" s="38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6"/>
      <c r="D132" s="37"/>
      <c r="E132" s="38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6"/>
      <c r="D133" s="37"/>
      <c r="E133" s="38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6"/>
      <c r="D134" s="37"/>
      <c r="E134" s="38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6"/>
      <c r="D135" s="37"/>
      <c r="E135" s="38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6"/>
      <c r="D136" s="37"/>
      <c r="E136" s="38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6"/>
      <c r="D137" s="37"/>
      <c r="E137" s="38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6"/>
      <c r="D138" s="37"/>
      <c r="E138" s="38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6"/>
      <c r="D139" s="37"/>
      <c r="E139" s="38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6"/>
      <c r="D140" s="37"/>
      <c r="E140" s="38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6"/>
      <c r="D141" s="37"/>
      <c r="E141" s="38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6"/>
      <c r="D142" s="37"/>
      <c r="E142" s="38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6"/>
      <c r="D143" s="37"/>
      <c r="E143" s="38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6"/>
      <c r="D144" s="37"/>
      <c r="E144" s="38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6"/>
      <c r="D145" s="37"/>
      <c r="E145" s="38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6"/>
      <c r="D146" s="37"/>
      <c r="E146" s="38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6"/>
      <c r="D147" s="37"/>
      <c r="E147" s="38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6"/>
      <c r="D148" s="37"/>
      <c r="E148" s="38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6"/>
      <c r="D149" s="37"/>
      <c r="E149" s="38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6"/>
      <c r="D150" s="37"/>
      <c r="E150" s="38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6"/>
      <c r="D151" s="37"/>
      <c r="E151" s="38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6"/>
      <c r="D152" s="37"/>
      <c r="E152" s="38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6"/>
      <c r="D153" s="37"/>
      <c r="E153" s="38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6"/>
      <c r="D154" s="37"/>
      <c r="E154" s="38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6"/>
      <c r="D155" s="37"/>
      <c r="E155" s="38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6"/>
      <c r="D156" s="37"/>
      <c r="E156" s="38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6"/>
      <c r="D157" s="37"/>
      <c r="E157" s="38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6"/>
      <c r="D158" s="37"/>
      <c r="E158" s="38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6"/>
      <c r="D159" s="37"/>
      <c r="E159" s="38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6"/>
      <c r="D160" s="37"/>
      <c r="E160" s="38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6"/>
      <c r="D161" s="37"/>
      <c r="E161" s="38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6"/>
      <c r="D162" s="37"/>
      <c r="E162" s="38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6"/>
      <c r="D163" s="37"/>
      <c r="E163" s="38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6"/>
      <c r="D164" s="37"/>
      <c r="E164" s="38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6"/>
      <c r="D165" s="37"/>
      <c r="E165" s="38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6"/>
      <c r="D166" s="37"/>
      <c r="E166" s="38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6"/>
      <c r="D167" s="37"/>
      <c r="E167" s="38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6"/>
      <c r="D168" s="37"/>
      <c r="E168" s="38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6"/>
      <c r="D169" s="37"/>
      <c r="E169" s="38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6"/>
      <c r="D170" s="37"/>
      <c r="E170" s="38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6"/>
      <c r="D171" s="37"/>
      <c r="E171" s="38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6"/>
      <c r="D172" s="37"/>
      <c r="E172" s="38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6"/>
      <c r="D173" s="37"/>
      <c r="E173" s="38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6"/>
      <c r="D174" s="37"/>
      <c r="E174" s="38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6"/>
      <c r="D175" s="37"/>
      <c r="E175" s="38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6"/>
      <c r="D176" s="37"/>
      <c r="E176" s="38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6"/>
      <c r="D177" s="37"/>
      <c r="E177" s="38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6"/>
      <c r="D178" s="37"/>
      <c r="E178" s="38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6"/>
      <c r="D179" s="37"/>
      <c r="E179" s="38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6"/>
      <c r="D180" s="37"/>
      <c r="E180" s="38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6"/>
      <c r="D181" s="37"/>
      <c r="E181" s="38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6"/>
      <c r="D182" s="37"/>
      <c r="E182" s="38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6"/>
      <c r="D183" s="37"/>
      <c r="E183" s="38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6"/>
      <c r="D184" s="37"/>
      <c r="E184" s="38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6"/>
      <c r="D185" s="37"/>
      <c r="E185" s="38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6"/>
      <c r="D186" s="37"/>
      <c r="E186" s="38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6"/>
      <c r="D187" s="37"/>
      <c r="E187" s="38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6"/>
      <c r="D188" s="37"/>
      <c r="E188" s="38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6"/>
      <c r="D189" s="37"/>
      <c r="E189" s="38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6"/>
      <c r="D190" s="37"/>
      <c r="E190" s="38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6"/>
      <c r="D191" s="37"/>
      <c r="E191" s="38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6"/>
      <c r="D192" s="37"/>
      <c r="E192" s="38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6"/>
      <c r="D193" s="37"/>
      <c r="E193" s="38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6"/>
      <c r="D194" s="37"/>
      <c r="E194" s="38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6"/>
      <c r="D195" s="37"/>
      <c r="E195" s="38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6"/>
      <c r="D196" s="37"/>
      <c r="E196" s="38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6"/>
      <c r="D197" s="37"/>
      <c r="E197" s="38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6"/>
      <c r="D198" s="37"/>
      <c r="E198" s="38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6"/>
      <c r="D199" s="37"/>
      <c r="E199" s="38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6"/>
      <c r="D200" s="37"/>
      <c r="E200" s="38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6"/>
      <c r="D201" s="37"/>
      <c r="E201" s="38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6"/>
      <c r="D202" s="37"/>
      <c r="E202" s="38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6"/>
      <c r="D203" s="37"/>
      <c r="E203" s="38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6"/>
      <c r="D204" s="37"/>
      <c r="E204" s="38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6"/>
      <c r="D205" s="37"/>
      <c r="E205" s="38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6"/>
      <c r="D206" s="37"/>
      <c r="E206" s="38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6"/>
      <c r="D207" s="37"/>
      <c r="E207" s="38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6"/>
      <c r="D208" s="37"/>
      <c r="E208" s="38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6"/>
      <c r="D209" s="37"/>
      <c r="E209" s="38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6"/>
      <c r="D210" s="37"/>
      <c r="E210" s="38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6"/>
      <c r="D211" s="37"/>
      <c r="E211" s="38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6"/>
      <c r="D212" s="37"/>
      <c r="E212" s="38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6"/>
      <c r="D213" s="37"/>
      <c r="E213" s="38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6"/>
      <c r="D214" s="37"/>
      <c r="E214" s="38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6"/>
      <c r="D215" s="37"/>
      <c r="E215" s="38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6"/>
      <c r="D216" s="37"/>
      <c r="E216" s="38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6"/>
      <c r="D217" s="37"/>
      <c r="E217" s="38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6"/>
      <c r="D218" s="37"/>
      <c r="E218" s="38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6"/>
      <c r="D219" s="37"/>
      <c r="E219" s="38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6"/>
      <c r="D220" s="37"/>
      <c r="E220" s="38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6"/>
      <c r="D221" s="37"/>
      <c r="E221" s="38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6"/>
      <c r="D222" s="37"/>
      <c r="E222" s="38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6"/>
      <c r="D223" s="37"/>
      <c r="E223" s="38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6"/>
      <c r="D224" s="37"/>
      <c r="E224" s="38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6"/>
      <c r="D225" s="37"/>
      <c r="E225" s="38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6"/>
      <c r="D226" s="37"/>
      <c r="E226" s="38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6"/>
      <c r="D227" s="37"/>
      <c r="E227" s="38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6"/>
      <c r="D228" s="37"/>
      <c r="E228" s="38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6"/>
      <c r="D229" s="37"/>
      <c r="E229" s="38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6"/>
      <c r="D230" s="37"/>
      <c r="E230" s="38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6"/>
      <c r="D231" s="37"/>
      <c r="E231" s="38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6"/>
      <c r="D232" s="37"/>
      <c r="E232" s="38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6"/>
      <c r="D233" s="37"/>
      <c r="E233" s="38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6"/>
      <c r="D234" s="37"/>
      <c r="E234" s="38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6"/>
      <c r="D235" s="37"/>
      <c r="E235" s="38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6"/>
      <c r="D236" s="37"/>
      <c r="E236" s="38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6"/>
      <c r="D237" s="37"/>
      <c r="E237" s="38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6"/>
      <c r="D238" s="37"/>
      <c r="E238" s="38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6"/>
      <c r="D239" s="37"/>
      <c r="E239" s="38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6"/>
      <c r="D240" s="37"/>
      <c r="E240" s="38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6"/>
      <c r="D241" s="37"/>
      <c r="E241" s="38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6"/>
      <c r="D242" s="37"/>
      <c r="E242" s="38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6"/>
      <c r="D243" s="37"/>
      <c r="E243" s="38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6"/>
      <c r="D244" s="37"/>
      <c r="E244" s="38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6"/>
      <c r="D245" s="37"/>
      <c r="E245" s="38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6"/>
      <c r="D246" s="37"/>
      <c r="E246" s="38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6"/>
      <c r="D247" s="37"/>
      <c r="E247" s="38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6"/>
      <c r="D248" s="37"/>
      <c r="E248" s="38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6"/>
      <c r="D249" s="37"/>
      <c r="E249" s="38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6"/>
      <c r="D250" s="37"/>
      <c r="E250" s="38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6"/>
      <c r="D251" s="37"/>
      <c r="E251" s="38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6"/>
      <c r="D252" s="37"/>
      <c r="E252" s="38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6"/>
      <c r="D253" s="37"/>
      <c r="E253" s="38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6"/>
      <c r="D254" s="37"/>
      <c r="E254" s="38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6"/>
      <c r="D255" s="37"/>
      <c r="E255" s="38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6"/>
      <c r="D256" s="37"/>
      <c r="E256" s="38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6"/>
      <c r="D257" s="37"/>
      <c r="E257" s="38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6"/>
      <c r="D258" s="37"/>
      <c r="E258" s="38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6"/>
      <c r="D259" s="37"/>
      <c r="E259" s="38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6"/>
      <c r="D260" s="37"/>
      <c r="E260" s="38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6"/>
      <c r="D261" s="37"/>
      <c r="E261" s="38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6"/>
      <c r="D262" s="37"/>
      <c r="E262" s="38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6"/>
      <c r="D263" s="37"/>
      <c r="E263" s="38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6"/>
      <c r="D264" s="37"/>
      <c r="E264" s="38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6"/>
      <c r="D265" s="37"/>
      <c r="E265" s="38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6"/>
      <c r="D266" s="37"/>
      <c r="E266" s="38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6"/>
      <c r="D267" s="37"/>
      <c r="E267" s="38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6"/>
      <c r="D268" s="37"/>
      <c r="E268" s="38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6"/>
      <c r="D269" s="37"/>
      <c r="E269" s="38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6"/>
      <c r="D270" s="37"/>
      <c r="E270" s="38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6"/>
      <c r="D271" s="37"/>
      <c r="E271" s="38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6"/>
      <c r="D272" s="37"/>
      <c r="E272" s="38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6"/>
      <c r="D273" s="37"/>
      <c r="E273" s="38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6"/>
      <c r="D274" s="37"/>
      <c r="E274" s="38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6"/>
      <c r="D275" s="37"/>
      <c r="E275" s="38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6"/>
      <c r="D276" s="37"/>
      <c r="E276" s="38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6"/>
      <c r="D277" s="37"/>
      <c r="E277" s="38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6"/>
      <c r="D278" s="37"/>
      <c r="E278" s="38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6"/>
      <c r="D279" s="37"/>
      <c r="E279" s="38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6"/>
      <c r="D280" s="37"/>
      <c r="E280" s="38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6"/>
      <c r="D281" s="37"/>
      <c r="E281" s="38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6"/>
      <c r="D282" s="37"/>
      <c r="E282" s="38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6"/>
      <c r="D283" s="37"/>
      <c r="E283" s="38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6"/>
      <c r="D284" s="37"/>
      <c r="E284" s="38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6"/>
      <c r="D285" s="37"/>
      <c r="E285" s="38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6"/>
      <c r="D286" s="37"/>
      <c r="E286" s="38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6"/>
      <c r="D287" s="37"/>
      <c r="E287" s="38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6"/>
      <c r="D288" s="37"/>
      <c r="E288" s="38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6"/>
      <c r="D289" s="37"/>
      <c r="E289" s="38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6"/>
      <c r="D290" s="37"/>
      <c r="E290" s="38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6"/>
      <c r="D291" s="37"/>
      <c r="E291" s="38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6"/>
      <c r="D292" s="37"/>
      <c r="E292" s="38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6"/>
      <c r="D293" s="37"/>
      <c r="E293" s="38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6"/>
      <c r="D294" s="37"/>
      <c r="E294" s="38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6"/>
      <c r="D295" s="37"/>
      <c r="E295" s="38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6"/>
      <c r="D296" s="37"/>
      <c r="E296" s="38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6"/>
      <c r="D297" s="37"/>
      <c r="E297" s="38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6"/>
      <c r="D298" s="37"/>
      <c r="E298" s="38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6"/>
      <c r="D299" s="37"/>
      <c r="E299" s="38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6"/>
      <c r="D300" s="37"/>
      <c r="E300" s="38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6"/>
      <c r="D301" s="39"/>
      <c r="E301" s="38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  <row r="1000">
      <c r="D1000" s="40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