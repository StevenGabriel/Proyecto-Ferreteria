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<sst xmlns="http://schemas.openxmlformats.org/spreadsheetml/2006/main" count="88" uniqueCount="88">
  <si>
    <t>HOJA DE CALCULO FERRETERIA</t>
  </si>
  <si>
    <t>CODIGO</t>
  </si>
  <si>
    <t>CANTIDAD</t>
  </si>
  <si>
    <t>DESCRIPCION</t>
  </si>
  <si>
    <t>TOTAL</t>
  </si>
  <si>
    <t>HORA</t>
  </si>
  <si>
    <t>CUADRAR</t>
  </si>
  <si>
    <t>tijera olsen</t>
  </si>
  <si>
    <t>tinte sinepls</t>
  </si>
  <si>
    <t>MONEDAS</t>
  </si>
  <si>
    <t>CAJA CHICA</t>
  </si>
  <si>
    <t>RUEDAS CARRETILLA TR</t>
  </si>
  <si>
    <t>BILLETES 10-20</t>
  </si>
  <si>
    <t>TOTAL VENTAS DIA</t>
  </si>
  <si>
    <t>KENDA</t>
  </si>
  <si>
    <t>BILLETES 50-100-200</t>
  </si>
  <si>
    <t>AUMENTO DE DINERO</t>
  </si>
  <si>
    <t>CANDADO 50MM</t>
  </si>
  <si>
    <t>INGRESOS YAPE</t>
  </si>
  <si>
    <t>DEBOR FIERRO 2.5</t>
  </si>
  <si>
    <t>INGRESOS TARJETA</t>
  </si>
  <si>
    <t>RAMPLU JH 6</t>
  </si>
  <si>
    <t>GASTOS VARIOS</t>
  </si>
  <si>
    <t>CHIP 4X45</t>
  </si>
  <si>
    <t>ALICATES</t>
  </si>
  <si>
    <t>DINERO GANADO HOY:</t>
  </si>
  <si>
    <t>CANTIDAD DINERO CAJA:</t>
  </si>
  <si>
    <t>azadon</t>
  </si>
  <si>
    <t>palo de azadon</t>
  </si>
  <si>
    <t>llve combinada 11 mm</t>
  </si>
  <si>
    <t>l thinner</t>
  </si>
  <si>
    <t>ducha foser</t>
  </si>
  <si>
    <t>teflo</t>
  </si>
  <si>
    <t>clefa 100ml</t>
  </si>
  <si>
    <t>YAPE MAMÁ</t>
  </si>
  <si>
    <t>YAPE PAPÁ</t>
  </si>
  <si>
    <t>YAPE</t>
  </si>
  <si>
    <t>brochas 3</t>
  </si>
  <si>
    <t>Monto Total YAPE (No tocar):</t>
  </si>
  <si>
    <t>broca cobal 3</t>
  </si>
  <si>
    <t>foco 15</t>
  </si>
  <si>
    <t>Monto Total Registrado en aplicacion</t>
  </si>
  <si>
    <t>foco 7</t>
  </si>
  <si>
    <t>panel led cua 24</t>
  </si>
  <si>
    <t>panel led cua 18</t>
  </si>
  <si>
    <t>alcayata</t>
  </si>
  <si>
    <t>ra,plu 10</t>
  </si>
  <si>
    <t>brca concreto 10 irwin</t>
  </si>
  <si>
    <t>lt-tinnre</t>
  </si>
  <si>
    <t>brocha atlas 1 1/2</t>
  </si>
  <si>
    <t>PAGOS YAPE</t>
  </si>
  <si>
    <t>DESCRIPCION PAGO</t>
  </si>
  <si>
    <t xml:space="preserve">brocha atlas 1 </t>
  </si>
  <si>
    <t>2m</t>
  </si>
  <si>
    <t>alambre 7h 14</t>
  </si>
  <si>
    <t>tefon</t>
  </si>
  <si>
    <t>1/2kl</t>
  </si>
  <si>
    <t>clavo 3/4</t>
  </si>
  <si>
    <t>clavo c16 50mm</t>
  </si>
  <si>
    <t>brocha atlas blanca1</t>
  </si>
  <si>
    <t>tee tigre 1/2</t>
  </si>
  <si>
    <t>tee pvc 1/2</t>
  </si>
  <si>
    <t>adaptador macho pvc 1/2</t>
  </si>
  <si>
    <t>nipla 1/2 tigr</t>
  </si>
  <si>
    <t>manguera</t>
  </si>
  <si>
    <t>copla</t>
  </si>
  <si>
    <t>masquin 1</t>
  </si>
  <si>
    <t>pigmentos</t>
  </si>
  <si>
    <t>silciona america</t>
  </si>
  <si>
    <t>chip 3.5x25</t>
  </si>
  <si>
    <t>irwin 8 concreto</t>
  </si>
  <si>
    <t>debor 4 concreto</t>
  </si>
  <si>
    <t>debor concreto 5</t>
  </si>
  <si>
    <t>1KL</t>
  </si>
  <si>
    <t>GRASA</t>
  </si>
  <si>
    <t>TEFLON</t>
  </si>
  <si>
    <t>GRIFO PLASTICO</t>
  </si>
  <si>
    <t>KL ALAMBRE DE AMARRE</t>
  </si>
  <si>
    <t>TERMICO BIPOLAR</t>
  </si>
  <si>
    <t xml:space="preserve">RAMPUS Y TIRAFON </t>
  </si>
  <si>
    <t>LIJA 100</t>
  </si>
  <si>
    <t>BROCA CONCRETO 10</t>
  </si>
  <si>
    <t>foco tramontan40</t>
  </si>
  <si>
    <t>foco tramonta  50</t>
  </si>
  <si>
    <t>broca</t>
  </si>
  <si>
    <t>doc de chip</t>
  </si>
  <si>
    <t>docena ramplu</t>
  </si>
  <si>
    <t>doc 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</si>
</sst>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20.0</v>
      </c>
      <c r="E8" s="8">
        <v>46168.34969358797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30.0</v>
      </c>
      <c r="E9" s="8">
        <v>46168.35364648148</v>
      </c>
      <c r="F9" s="2"/>
      <c r="G9" s="9" t="s">
        <v>9</v>
      </c>
      <c r="H9" s="10">
        <v>89.0</v>
      </c>
      <c r="I9" s="2"/>
      <c r="J9" s="9" t="s">
        <v>10</v>
      </c>
      <c r="K9" s="10">
        <v>650.0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298.0</v>
      </c>
      <c r="E10" s="8">
        <v>46168.3648775926</v>
      </c>
      <c r="F10" s="2"/>
      <c r="G10" s="9" t="s">
        <v>12</v>
      </c>
      <c r="H10" s="10">
        <v>370.0</v>
      </c>
      <c r="I10" s="2"/>
      <c r="J10" s="9" t="s">
        <v>13</v>
      </c>
      <c r="K10" s="11">
        <f>SUM(PRINCIPAL[TOTAL])</f>
        <v>2204.5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130.0</v>
      </c>
      <c r="E11" s="8">
        <v>46168.36500693287</v>
      </c>
      <c r="F11" s="2"/>
      <c r="G11" s="9" t="s">
        <v>15</v>
      </c>
      <c r="H11" s="10">
        <v>1800.0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49.0</v>
      </c>
      <c r="E12" s="8">
        <v>46168.37446668981</v>
      </c>
      <c r="F12" s="2"/>
      <c r="G12" s="9" t="s">
        <v>18</v>
      </c>
      <c r="H12" s="12">
        <f>SUM(G24:H361)</f>
        <v>607.5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20.0</v>
      </c>
      <c r="E13" s="8">
        <v>46168.37590518518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12.0</v>
      </c>
      <c r="C14" s="7" t="s">
        <v>21</v>
      </c>
      <c r="D14" s="6">
        <v>3.0</v>
      </c>
      <c r="E14" s="8">
        <v>46168.38809446759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12.0</v>
      </c>
      <c r="C15" s="7" t="s">
        <v>23</v>
      </c>
      <c r="D15" s="6">
        <v>3.0</v>
      </c>
      <c r="E15" s="8">
        <v>46168.3881459375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24</v>
      </c>
      <c r="D16" s="6">
        <v>90.0</v>
      </c>
      <c r="E16" s="8">
        <v>46168.40444653935</v>
      </c>
      <c r="F16" s="2"/>
      <c r="G16" s="15" t="s">
        <v>25</v>
      </c>
      <c r="H16" s="16">
        <f>SUM(H9:H14)</f>
        <v>2866.5</v>
      </c>
      <c r="I16" s="3"/>
      <c r="J16" s="15" t="s">
        <v>26</v>
      </c>
      <c r="K16" s="16">
        <f>SUM(K9:K11)</f>
        <v>2854.5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66.0</v>
      </c>
      <c r="E17" s="8">
        <v>46168.435087881946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15.0</v>
      </c>
      <c r="E18" s="8">
        <v>46168.43514706018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12,00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34.0</v>
      </c>
      <c r="E19" s="8">
        <v>46168.45019123843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72.0</v>
      </c>
      <c r="E20" s="8">
        <v>46168.45911048611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88.0</v>
      </c>
      <c r="E21" s="8">
        <v>46168.469546712964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2.0</v>
      </c>
      <c r="E22" s="8">
        <v>46168.46961714121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15.0</v>
      </c>
      <c r="E23" s="8">
        <v>46168.50363355324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3.0</v>
      </c>
      <c r="C24" s="7" t="s">
        <v>37</v>
      </c>
      <c r="D24" s="6">
        <v>64.0</v>
      </c>
      <c r="E24" s="8">
        <v>46168.50068813657</v>
      </c>
      <c r="F24" s="2"/>
      <c r="G24" s="22">
        <v>6.0</v>
      </c>
      <c r="H24" s="23"/>
      <c r="I24" s="2"/>
      <c r="J24" s="24" t="s">
        <v>38</v>
      </c>
      <c r="K24" s="25">
        <f>SUM(INGRESOS_YAPE[])</f>
        <v>607.5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14.0</v>
      </c>
      <c r="E25" s="8">
        <v>46168.50079578704</v>
      </c>
      <c r="F25" s="2"/>
      <c r="G25" s="22">
        <v>81.0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19.5</v>
      </c>
      <c r="E26" s="8">
        <v>46168.50086490741</v>
      </c>
      <c r="F26" s="2"/>
      <c r="G26" s="26">
        <v>34.0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3.0</v>
      </c>
      <c r="C27" s="7" t="s">
        <v>42</v>
      </c>
      <c r="D27" s="6">
        <v>33.0</v>
      </c>
      <c r="E27" s="8">
        <v>46168.500947858796</v>
      </c>
      <c r="F27" s="2"/>
      <c r="G27" s="22">
        <v>72.0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43</v>
      </c>
      <c r="D28" s="6">
        <v>176.0</v>
      </c>
      <c r="E28" s="8">
        <v>46168.50103728009</v>
      </c>
      <c r="F28" s="2"/>
      <c r="G28" s="22">
        <v>90.0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44</v>
      </c>
      <c r="D29" s="6">
        <v>116.0</v>
      </c>
      <c r="E29" s="8">
        <v>46168.501092499995</v>
      </c>
      <c r="F29" s="2"/>
      <c r="G29" s="22">
        <v>78.0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607,50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45</v>
      </c>
      <c r="D30" s="6">
        <v>5.0</v>
      </c>
      <c r="E30" s="8">
        <v>46168.50390722222</v>
      </c>
      <c r="F30" s="2"/>
      <c r="G30" s="22">
        <v>11.0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46</v>
      </c>
      <c r="D31" s="6">
        <v>1.0</v>
      </c>
      <c r="E31" s="8">
        <v>46168.50317203703</v>
      </c>
      <c r="F31" s="2"/>
      <c r="G31" s="22">
        <v>82.5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27.0</v>
      </c>
      <c r="E32" s="8">
        <v>46168.503256435186</v>
      </c>
      <c r="F32" s="2"/>
      <c r="G32" s="22">
        <v>57.0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36.0</v>
      </c>
      <c r="E33" s="8">
        <v>46168.5280396875</v>
      </c>
      <c r="F33" s="2"/>
      <c r="G33" s="22">
        <v>41.0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49</v>
      </c>
      <c r="D34" s="6">
        <v>10.0</v>
      </c>
      <c r="E34" s="8">
        <v>46168.52823655093</v>
      </c>
      <c r="F34" s="2"/>
      <c r="G34" s="22">
        <v>55.0</v>
      </c>
      <c r="H34" s="23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8.0</v>
      </c>
      <c r="E35" s="8">
        <v>46168.52853303241</v>
      </c>
      <c r="F35" s="2"/>
      <c r="G35" s="23"/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 t="s">
        <v>53</v>
      </c>
      <c r="C36" s="7" t="s">
        <v>54</v>
      </c>
      <c r="D36" s="6">
        <v>15.0</v>
      </c>
      <c r="E36" s="8">
        <v>46168.540203576384</v>
      </c>
      <c r="F36" s="2"/>
      <c r="G36" s="23"/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55</v>
      </c>
      <c r="D37" s="6">
        <v>2.5</v>
      </c>
      <c r="E37" s="8">
        <v>46168.540245185184</v>
      </c>
      <c r="F37" s="2"/>
      <c r="G37" s="23"/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 t="s">
        <v>56</v>
      </c>
      <c r="C38" s="7" t="s">
        <v>57</v>
      </c>
      <c r="D38" s="6">
        <v>20.0</v>
      </c>
      <c r="E38" s="8">
        <v>46168.568041446764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58</v>
      </c>
      <c r="D39" s="6">
        <v>100.0</v>
      </c>
      <c r="E39" s="8">
        <v>46168.58828085648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59</v>
      </c>
      <c r="D40" s="6">
        <v>11.0</v>
      </c>
      <c r="E40" s="8">
        <v>46168.59646885417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60</v>
      </c>
      <c r="D41" s="6">
        <v>5.5</v>
      </c>
      <c r="E41" s="8">
        <v>46168.604141840275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61</v>
      </c>
      <c r="D42" s="6">
        <v>5.0</v>
      </c>
      <c r="E42" s="8">
        <v>46168.60409364583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2.5</v>
      </c>
      <c r="E43" s="8">
        <v>46168.60424215278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63</v>
      </c>
      <c r="D44" s="6">
        <v>2.0</v>
      </c>
      <c r="E44" s="8">
        <v>46168.60431274306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86.0</v>
      </c>
      <c r="E45" s="8">
        <v>46168.62377615741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65</v>
      </c>
      <c r="D46" s="6">
        <v>12.0</v>
      </c>
      <c r="E46" s="8">
        <v>46168.623967754625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5.0</v>
      </c>
      <c r="C47" s="7" t="s">
        <v>66</v>
      </c>
      <c r="D47" s="6">
        <v>82.5</v>
      </c>
      <c r="E47" s="8">
        <v>46168.624912349536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4.0</v>
      </c>
      <c r="C48" s="7" t="s">
        <v>67</v>
      </c>
      <c r="D48" s="6">
        <v>40.0</v>
      </c>
      <c r="E48" s="8">
        <v>46168.624981817135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68</v>
      </c>
      <c r="D49" s="6">
        <v>26.0</v>
      </c>
      <c r="E49" s="8">
        <v>46168.65816835648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12.0</v>
      </c>
      <c r="C50" s="7" t="s">
        <v>69</v>
      </c>
      <c r="D50" s="6">
        <v>1.5</v>
      </c>
      <c r="E50" s="8">
        <v>46168.6582165625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70</v>
      </c>
      <c r="D51" s="6">
        <v>18.0</v>
      </c>
      <c r="E51" s="8">
        <v>46168.65833831018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71</v>
      </c>
      <c r="D52" s="6">
        <v>12.0</v>
      </c>
      <c r="E52" s="8">
        <v>46168.658510231486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72</v>
      </c>
      <c r="D53" s="6">
        <v>27.0</v>
      </c>
      <c r="E53" s="8">
        <v>46168.65867712963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 t="s">
        <v>73</v>
      </c>
      <c r="C54" s="7" t="s">
        <v>74</v>
      </c>
      <c r="D54" s="6">
        <v>6.0</v>
      </c>
      <c r="E54" s="8">
        <v>46168.66407262732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75</v>
      </c>
      <c r="D55" s="6">
        <v>5.0</v>
      </c>
      <c r="E55" s="8">
        <v>46168.66422392361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76</v>
      </c>
      <c r="D56" s="6">
        <v>30.0</v>
      </c>
      <c r="E56" s="8">
        <v>46168.66432278935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77</v>
      </c>
      <c r="D57" s="6">
        <v>19.0</v>
      </c>
      <c r="E57" s="8">
        <v>46168.71224961805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78</v>
      </c>
      <c r="D58" s="6">
        <v>55.0</v>
      </c>
      <c r="E58" s="8">
        <v>46168.7190805787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8.0</v>
      </c>
      <c r="C59" s="7" t="s">
        <v>79</v>
      </c>
      <c r="D59" s="6">
        <v>17.0</v>
      </c>
      <c r="E59" s="8">
        <v>46168.73485162037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80</v>
      </c>
      <c r="D60" s="6">
        <v>5.0</v>
      </c>
      <c r="E60" s="8">
        <v>46168.74195040509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81</v>
      </c>
      <c r="D61" s="6">
        <v>30.0</v>
      </c>
      <c r="E61" s="8">
        <v>46168.74971333334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82</v>
      </c>
      <c r="D62" s="6">
        <v>47.0</v>
      </c>
      <c r="E62" s="8">
        <v>46168.759627997686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83</v>
      </c>
      <c r="D63" s="6">
        <v>55.0</v>
      </c>
      <c r="E63" s="8">
        <v>46168.762811875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84</v>
      </c>
      <c r="D64" s="6">
        <v>15.0</v>
      </c>
      <c r="E64" s="8">
        <v>46168.771852199076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85</v>
      </c>
      <c r="D65" s="6">
        <v>2.0</v>
      </c>
      <c r="E65" s="8">
        <v>46168.77207276621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86</v>
      </c>
      <c r="D66" s="6">
        <v>1.0</v>
      </c>
      <c r="E66" s="8">
        <v>46168.77222753472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87</v>
      </c>
      <c r="D67" s="6">
        <v>4.5</v>
      </c>
      <c r="E67" s="8">
        <v>46168.77268721064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3"/>
      <c r="D68" s="34"/>
      <c r="E68" s="35"/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3"/>
      <c r="D69" s="34"/>
      <c r="E69" s="35"/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3"/>
      <c r="D70" s="34"/>
      <c r="E70" s="35"/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3"/>
      <c r="D71" s="34"/>
      <c r="E71" s="35"/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3"/>
      <c r="D72" s="34"/>
      <c r="E72" s="35"/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3"/>
      <c r="D73" s="34"/>
      <c r="E73" s="35"/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3"/>
      <c r="D74" s="34"/>
      <c r="E74" s="35"/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3"/>
      <c r="D75" s="34"/>
      <c r="E75" s="35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3"/>
      <c r="D76" s="34"/>
      <c r="E76" s="35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3"/>
      <c r="D77" s="34"/>
      <c r="E77" s="35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3"/>
      <c r="D78" s="34"/>
      <c r="E78" s="35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3"/>
      <c r="D79" s="34"/>
      <c r="E79" s="35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3"/>
      <c r="D80" s="34"/>
      <c r="E80" s="35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3"/>
      <c r="D81" s="34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3"/>
      <c r="D82" s="34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3"/>
      <c r="D83" s="34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