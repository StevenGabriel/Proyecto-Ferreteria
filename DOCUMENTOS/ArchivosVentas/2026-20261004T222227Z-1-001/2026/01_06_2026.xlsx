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<sst xmlns="http://schemas.openxmlformats.org/spreadsheetml/2006/main" count="87" uniqueCount="85">
  <si>
    <t>HOJA DE CALCULO FERRETERIA</t>
  </si>
  <si>
    <t>CODIGO</t>
  </si>
  <si>
    <t>CANTIDAD</t>
  </si>
  <si>
    <t>DESCRIPCION</t>
  </si>
  <si>
    <t>TOTAL</t>
  </si>
  <si>
    <t>HORA</t>
  </si>
  <si>
    <t>CUADRAR</t>
  </si>
  <si>
    <t>lubriantes akfi 40</t>
  </si>
  <si>
    <t>disco galleta</t>
  </si>
  <si>
    <t>MONEDAS</t>
  </si>
  <si>
    <t>CAJA CHICA</t>
  </si>
  <si>
    <t>union patente 1/2 fg</t>
  </si>
  <si>
    <t>BILLETES 10-20</t>
  </si>
  <si>
    <t>TOTAL VENTAS DIA</t>
  </si>
  <si>
    <t>copla 1/2 tigre</t>
  </si>
  <si>
    <t>BILLETES 50-100-200</t>
  </si>
  <si>
    <t>AUMENTO DE DINERO</t>
  </si>
  <si>
    <t>guante</t>
  </si>
  <si>
    <t>INGRESOS YAPE</t>
  </si>
  <si>
    <t>pata de cabra</t>
  </si>
  <si>
    <t>INGRESOS TARJETA</t>
  </si>
  <si>
    <t>disco corete concreto 41/2</t>
  </si>
  <si>
    <t>GASTOS VARIOS</t>
  </si>
  <si>
    <t>guante doble goa</t>
  </si>
  <si>
    <t>cinta vulcanizante</t>
  </si>
  <si>
    <t>DINERO GANADO HOY:</t>
  </si>
  <si>
    <t>CANTIDAD DINERO CAJA:</t>
  </si>
  <si>
    <t>comutador cfe</t>
  </si>
  <si>
    <t>malla hexagonal</t>
  </si>
  <si>
    <t>cubrecable 10x15</t>
  </si>
  <si>
    <t>focos 9</t>
  </si>
  <si>
    <t>varilla de bronce</t>
  </si>
  <si>
    <t>fleco 10m</t>
  </si>
  <si>
    <t>tijera poder tr</t>
  </si>
  <si>
    <t>YAPE MAMÁ</t>
  </si>
  <si>
    <t>YAPE PAPÁ</t>
  </si>
  <si>
    <t>YAPE</t>
  </si>
  <si>
    <t>1l</t>
  </si>
  <si>
    <t xml:space="preserve">clefa </t>
  </si>
  <si>
    <t>Monto Total YAPE (No tocar):</t>
  </si>
  <si>
    <t>sintetica blanco 220ml</t>
  </si>
  <si>
    <t>sintetica celeste 220l</t>
  </si>
  <si>
    <t>Monto Total Registrado en aplicacion</t>
  </si>
  <si>
    <t>brocha 1.5</t>
  </si>
  <si>
    <t>lja 600</t>
  </si>
  <si>
    <t xml:space="preserve">regleta </t>
  </si>
  <si>
    <t>1kl</t>
  </si>
  <si>
    <t>tiza</t>
  </si>
  <si>
    <t>adaptador ultra</t>
  </si>
  <si>
    <t xml:space="preserve">broca </t>
  </si>
  <si>
    <t>punta dado</t>
  </si>
  <si>
    <t>pie de amigo tr</t>
  </si>
  <si>
    <t>PAGOS YAPE</t>
  </si>
  <si>
    <t>DESCRIPCION PAGO</t>
  </si>
  <si>
    <t>broca porcela</t>
  </si>
  <si>
    <t>estilete</t>
  </si>
  <si>
    <t>flotao 3/4</t>
  </si>
  <si>
    <t>teflon</t>
  </si>
  <si>
    <t>niple 1/2</t>
  </si>
  <si>
    <t>tee 1/2</t>
  </si>
  <si>
    <t>codo 1/2</t>
  </si>
  <si>
    <t>redccion</t>
  </si>
  <si>
    <t>codo dsague 11/2</t>
  </si>
  <si>
    <t>tubo desgur 11/2</t>
  </si>
  <si>
    <t>precino</t>
  </si>
  <si>
    <t>alicae de corte electrico</t>
  </si>
  <si>
    <t>m soga</t>
  </si>
  <si>
    <t xml:space="preserve">silicon america </t>
  </si>
  <si>
    <t>estilete turper</t>
  </si>
  <si>
    <t xml:space="preserve">SELLADOR </t>
  </si>
  <si>
    <t>CHAPÁ TRAVEDZ</t>
  </si>
  <si>
    <t>REGLETAS</t>
  </si>
  <si>
    <t>M CABLE BIPOLAR18</t>
  </si>
  <si>
    <t>TORNILLO Y RAMPUS</t>
  </si>
  <si>
    <t>CUBRE CABLE 10*15</t>
  </si>
  <si>
    <t>ALARGADOR DE CORRIENTE</t>
  </si>
  <si>
    <t>DIABLETO MARGIRIUS</t>
  </si>
  <si>
    <t>DUCHA LORENZETTU</t>
  </si>
  <si>
    <t>RODILLO ANTIGOTE 9 CM</t>
  </si>
  <si>
    <t>ABRAZADERAS</t>
  </si>
  <si>
    <t>1 MT</t>
  </si>
  <si>
    <t>MANGUERA GAS</t>
  </si>
  <si>
    <t>ADAPTADO ULTRA</t>
  </si>
  <si>
    <t>20 MT</t>
  </si>
  <si>
    <t>PERLON 4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</si>
</sst>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80.0</v>
      </c>
      <c r="E8" s="8">
        <v>46174.354043761574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10.0</v>
      </c>
      <c r="C9" s="7" t="s">
        <v>8</v>
      </c>
      <c r="D9" s="6">
        <v>45.0</v>
      </c>
      <c r="E9" s="8">
        <v>46174.35751451389</v>
      </c>
      <c r="F9" s="2"/>
      <c r="G9" s="9" t="s">
        <v>9</v>
      </c>
      <c r="H9" s="10">
        <v>124.0</v>
      </c>
      <c r="I9" s="2"/>
      <c r="J9" s="9" t="s">
        <v>10</v>
      </c>
      <c r="K9" s="10">
        <v>520.0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46.5</v>
      </c>
      <c r="E10" s="8">
        <v>46174.361122268514</v>
      </c>
      <c r="F10" s="2"/>
      <c r="G10" s="9" t="s">
        <v>12</v>
      </c>
      <c r="H10" s="10">
        <v>170.0</v>
      </c>
      <c r="I10" s="2"/>
      <c r="J10" s="9" t="s">
        <v>13</v>
      </c>
      <c r="K10" s="11">
        <f>SUM(PRINCIPAL[TOTAL])</f>
        <v>2365.5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3.5</v>
      </c>
      <c r="E11" s="8">
        <v>46174.3612205324</v>
      </c>
      <c r="F11" s="2"/>
      <c r="G11" s="9" t="s">
        <v>15</v>
      </c>
      <c r="H11" s="10">
        <v>1750.0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6">
        <v>38.0</v>
      </c>
      <c r="E12" s="8">
        <v>46174.37411379629</v>
      </c>
      <c r="F12" s="2"/>
      <c r="G12" s="9" t="s">
        <v>18</v>
      </c>
      <c r="H12" s="12">
        <f>SUM(G24:H361)</f>
        <v>835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60.0</v>
      </c>
      <c r="E13" s="8">
        <v>46174.37607965278</v>
      </c>
      <c r="F13" s="2"/>
      <c r="G13" s="9" t="s">
        <v>20</v>
      </c>
      <c r="H13" s="10">
        <v>75.0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5.0</v>
      </c>
      <c r="C14" s="7" t="s">
        <v>21</v>
      </c>
      <c r="D14" s="6">
        <v>115.0</v>
      </c>
      <c r="E14" s="8">
        <v>46174.39639916667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23</v>
      </c>
      <c r="D15" s="6">
        <v>34.0</v>
      </c>
      <c r="E15" s="8">
        <v>46174.402171875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70.0</v>
      </c>
      <c r="E16" s="8">
        <v>46174.41252491898</v>
      </c>
      <c r="F16" s="2"/>
      <c r="G16" s="15" t="s">
        <v>25</v>
      </c>
      <c r="H16" s="16">
        <f>SUM(H9:H14)</f>
        <v>2954</v>
      </c>
      <c r="I16" s="3"/>
      <c r="J16" s="15" t="s">
        <v>26</v>
      </c>
      <c r="K16" s="16">
        <f>SUM(K9:K11)</f>
        <v>2885.5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12.5</v>
      </c>
      <c r="E17" s="8">
        <v>46174.43704502315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1.5</v>
      </c>
      <c r="C18" s="7" t="s">
        <v>28</v>
      </c>
      <c r="D18" s="6">
        <v>9.0</v>
      </c>
      <c r="E18" s="8">
        <v>46174.44694409722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68,50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3.0</v>
      </c>
      <c r="C19" s="7" t="s">
        <v>29</v>
      </c>
      <c r="D19" s="6">
        <v>21.0</v>
      </c>
      <c r="E19" s="8">
        <v>46174.470106967594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4.0</v>
      </c>
      <c r="C20" s="7" t="s">
        <v>30</v>
      </c>
      <c r="D20" s="6">
        <v>52.0</v>
      </c>
      <c r="E20" s="8">
        <v>46174.476805162034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20.0</v>
      </c>
      <c r="E21" s="8">
        <v>46174.47728574074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82.0</v>
      </c>
      <c r="E22" s="8">
        <v>46174.488657037036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72.0</v>
      </c>
      <c r="E23" s="8">
        <v>46174.49368006944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 t="s">
        <v>37</v>
      </c>
      <c r="C24" s="7" t="s">
        <v>38</v>
      </c>
      <c r="D24" s="6">
        <v>78.0</v>
      </c>
      <c r="E24" s="8">
        <v>46174.4937588426</v>
      </c>
      <c r="F24" s="2"/>
      <c r="G24" s="22">
        <v>45.0</v>
      </c>
      <c r="H24" s="23"/>
      <c r="I24" s="2"/>
      <c r="J24" s="24" t="s">
        <v>39</v>
      </c>
      <c r="K24" s="25">
        <f>SUM(INGRESOS_YAPE[])</f>
        <v>835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20.0</v>
      </c>
      <c r="E25" s="8">
        <v>46174.54649729167</v>
      </c>
      <c r="F25" s="2"/>
      <c r="G25" s="22">
        <v>60.0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10.0</v>
      </c>
      <c r="E26" s="8">
        <v>46174.546613032406</v>
      </c>
      <c r="F26" s="2"/>
      <c r="G26" s="26">
        <v>115.0</v>
      </c>
      <c r="H26" s="23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6.0</v>
      </c>
      <c r="E27" s="8">
        <v>46174.54670928241</v>
      </c>
      <c r="F27" s="2"/>
      <c r="G27" s="22">
        <v>20.0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5.0</v>
      </c>
      <c r="E28" s="8">
        <v>46174.574752500004</v>
      </c>
      <c r="F28" s="2"/>
      <c r="G28" s="22">
        <v>150.0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8.0</v>
      </c>
      <c r="E29" s="8">
        <v>46174.58539753473</v>
      </c>
      <c r="F29" s="2"/>
      <c r="G29" s="22">
        <v>10.0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835,00</v>
      </c>
      <c r="L29" s="2"/>
      <c r="M29" s="2"/>
      <c r="N29" s="2"/>
      <c r="O29" s="2"/>
      <c r="P29" s="2"/>
      <c r="Q29" s="2"/>
    </row>
    <row r="30" ht="22.5" customHeight="1">
      <c r="A30" s="13"/>
      <c r="B30" s="6" t="s">
        <v>46</v>
      </c>
      <c r="C30" s="7" t="s">
        <v>47</v>
      </c>
      <c r="D30" s="6">
        <v>3.0</v>
      </c>
      <c r="E30" s="8">
        <v>46174.59422384259</v>
      </c>
      <c r="F30" s="2"/>
      <c r="G30" s="22">
        <v>130.0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48</v>
      </c>
      <c r="D31" s="6">
        <v>10.0</v>
      </c>
      <c r="E31" s="8">
        <v>46174.60423561343</v>
      </c>
      <c r="F31" s="2"/>
      <c r="G31" s="22">
        <v>130.0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49</v>
      </c>
      <c r="D32" s="6">
        <v>17.0</v>
      </c>
      <c r="E32" s="8">
        <v>46174.62058751157</v>
      </c>
      <c r="F32" s="2"/>
      <c r="G32" s="22">
        <v>16.0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50</v>
      </c>
      <c r="D33" s="6">
        <v>6.5</v>
      </c>
      <c r="E33" s="8">
        <v>46174.62526376157</v>
      </c>
      <c r="F33" s="2"/>
      <c r="G33" s="22">
        <v>155.0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3.0</v>
      </c>
      <c r="C34" s="7" t="s">
        <v>51</v>
      </c>
      <c r="D34" s="6">
        <v>279.0</v>
      </c>
      <c r="E34" s="8">
        <v>46174.62559631944</v>
      </c>
      <c r="F34" s="2"/>
      <c r="G34" s="22">
        <v>4.0</v>
      </c>
      <c r="H34" s="23"/>
      <c r="I34" s="2"/>
      <c r="J34" s="30" t="s">
        <v>52</v>
      </c>
      <c r="K34" s="30" t="s">
        <v>53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54</v>
      </c>
      <c r="D35" s="6">
        <v>37.0</v>
      </c>
      <c r="E35" s="8">
        <v>46174.630384421296</v>
      </c>
      <c r="F35" s="2"/>
      <c r="G35" s="23"/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55</v>
      </c>
      <c r="D36" s="6">
        <v>8.0</v>
      </c>
      <c r="E36" s="8">
        <v>46174.634642199075</v>
      </c>
      <c r="F36" s="2"/>
      <c r="G36" s="23"/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56</v>
      </c>
      <c r="D37" s="6">
        <v>117.0</v>
      </c>
      <c r="E37" s="8">
        <v>46174.65973493055</v>
      </c>
      <c r="F37" s="2"/>
      <c r="G37" s="23"/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57</v>
      </c>
      <c r="D38" s="6">
        <v>2.5</v>
      </c>
      <c r="E38" s="8">
        <v>46174.65984155092</v>
      </c>
      <c r="F38" s="2"/>
      <c r="G38" s="23"/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3.0</v>
      </c>
      <c r="C39" s="7" t="s">
        <v>58</v>
      </c>
      <c r="D39" s="6">
        <v>6.0</v>
      </c>
      <c r="E39" s="8">
        <v>46174.703664305554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2.0</v>
      </c>
      <c r="C40" s="7" t="s">
        <v>59</v>
      </c>
      <c r="D40" s="6">
        <v>11.0</v>
      </c>
      <c r="E40" s="8">
        <v>46174.70375126158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4.0</v>
      </c>
      <c r="C41" s="7" t="s">
        <v>60</v>
      </c>
      <c r="D41" s="6">
        <v>16.0</v>
      </c>
      <c r="E41" s="8">
        <v>46174.70387806713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11</v>
      </c>
      <c r="D42" s="6">
        <v>9.0</v>
      </c>
      <c r="E42" s="8">
        <v>46174.704021516205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61</v>
      </c>
      <c r="D43" s="6">
        <v>2.0</v>
      </c>
      <c r="E43" s="8">
        <v>46174.70406690972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4.0</v>
      </c>
      <c r="C44" s="7" t="s">
        <v>57</v>
      </c>
      <c r="D44" s="6">
        <v>10.0</v>
      </c>
      <c r="E44" s="8">
        <v>46174.70812203704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62</v>
      </c>
      <c r="D45" s="6">
        <v>8.0</v>
      </c>
      <c r="E45" s="8">
        <v>46174.70832953704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6.0</v>
      </c>
      <c r="C46" s="7" t="s">
        <v>63</v>
      </c>
      <c r="D46" s="6">
        <v>192.0</v>
      </c>
      <c r="E46" s="8">
        <v>46174.708488923614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64</v>
      </c>
      <c r="D47" s="6">
        <v>12.0</v>
      </c>
      <c r="E47" s="8">
        <v>46174.708733321764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65</v>
      </c>
      <c r="D48" s="6">
        <v>45.0</v>
      </c>
      <c r="E48" s="8">
        <v>46174.70890690973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3.0</v>
      </c>
      <c r="C49" s="7" t="s">
        <v>66</v>
      </c>
      <c r="D49" s="6">
        <v>12.0</v>
      </c>
      <c r="E49" s="8">
        <v>46174.70910114583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67</v>
      </c>
      <c r="D50" s="6">
        <v>26.0</v>
      </c>
      <c r="E50" s="8">
        <v>46174.709181412036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68</v>
      </c>
      <c r="D51" s="6">
        <v>86.0</v>
      </c>
      <c r="E51" s="8">
        <v>46174.71027618056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69</v>
      </c>
      <c r="D52" s="6">
        <v>15.0</v>
      </c>
      <c r="E52" s="8">
        <v>46174.72658209491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70</v>
      </c>
      <c r="D53" s="6">
        <v>130.0</v>
      </c>
      <c r="E53" s="8">
        <v>46174.72666267361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3.0</v>
      </c>
      <c r="C54" s="7" t="s">
        <v>71</v>
      </c>
      <c r="D54" s="6">
        <v>45.0</v>
      </c>
      <c r="E54" s="8">
        <v>46174.72673207176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5.0</v>
      </c>
      <c r="C55" s="7" t="s">
        <v>72</v>
      </c>
      <c r="D55" s="6">
        <v>35.0</v>
      </c>
      <c r="E55" s="8">
        <v>46174.72683609954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6.0</v>
      </c>
      <c r="C56" s="7" t="s">
        <v>73</v>
      </c>
      <c r="D56" s="6">
        <v>3.0</v>
      </c>
      <c r="E56" s="8">
        <v>46174.72702168982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74</v>
      </c>
      <c r="D57" s="6">
        <v>14.0</v>
      </c>
      <c r="E57" s="8">
        <v>46174.72708865741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75</v>
      </c>
      <c r="D58" s="6">
        <v>70.0</v>
      </c>
      <c r="E58" s="8">
        <v>46174.72782215278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76</v>
      </c>
      <c r="D59" s="6">
        <v>15.0</v>
      </c>
      <c r="E59" s="8">
        <v>46174.727900150465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77</v>
      </c>
      <c r="D60" s="6">
        <v>155.0</v>
      </c>
      <c r="E60" s="8">
        <v>46174.7325638426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78</v>
      </c>
      <c r="D61" s="6">
        <v>16.0</v>
      </c>
      <c r="E61" s="8">
        <v>46174.732761562496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79</v>
      </c>
      <c r="D62" s="6">
        <v>5.0</v>
      </c>
      <c r="E62" s="8">
        <v>46174.73865994213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 t="s">
        <v>80</v>
      </c>
      <c r="C63" s="7" t="s">
        <v>81</v>
      </c>
      <c r="D63" s="6">
        <v>10.0</v>
      </c>
      <c r="E63" s="8">
        <v>46174.73882185185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2.0</v>
      </c>
      <c r="C64" s="7" t="s">
        <v>82</v>
      </c>
      <c r="D64" s="6">
        <v>10.0</v>
      </c>
      <c r="E64" s="8">
        <v>46174.741522337965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 t="s">
        <v>83</v>
      </c>
      <c r="C65" s="7" t="s">
        <v>84</v>
      </c>
      <c r="D65" s="6">
        <v>40.0</v>
      </c>
      <c r="E65" s="8">
        <v>46174.7500356713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33"/>
      <c r="D66" s="34"/>
      <c r="E66" s="35"/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33"/>
      <c r="D67" s="34"/>
      <c r="E67" s="35"/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33"/>
      <c r="D68" s="34"/>
      <c r="E68" s="35"/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3"/>
      <c r="D69" s="34"/>
      <c r="E69" s="35"/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3"/>
      <c r="D70" s="34"/>
      <c r="E70" s="35"/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3"/>
      <c r="D71" s="34"/>
      <c r="E71" s="35"/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3"/>
      <c r="D72" s="34"/>
      <c r="E72" s="35"/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3"/>
      <c r="D73" s="34"/>
      <c r="E73" s="35"/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3"/>
      <c r="D74" s="34"/>
      <c r="E74" s="35"/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3"/>
      <c r="D75" s="34"/>
      <c r="E75" s="35"/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3"/>
      <c r="D76" s="34"/>
      <c r="E76" s="35"/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3"/>
      <c r="D77" s="34"/>
      <c r="E77" s="35"/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3"/>
      <c r="D78" s="34"/>
      <c r="E78" s="35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3"/>
      <c r="D79" s="34"/>
      <c r="E79" s="35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3"/>
      <c r="D80" s="34"/>
      <c r="E80" s="35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3"/>
      <c r="D81" s="34"/>
      <c r="E81" s="35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3"/>
      <c r="D82" s="34"/>
      <c r="E82" s="35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3"/>
      <c r="D83" s="34"/>
      <c r="E83" s="35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3"/>
      <c r="D84" s="34"/>
      <c r="E84" s="35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3"/>
      <c r="D85" s="34"/>
      <c r="E85" s="35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3"/>
      <c r="D86" s="34"/>
      <c r="E86" s="35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3"/>
      <c r="D87" s="34"/>
      <c r="E87" s="35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3"/>
      <c r="D88" s="34"/>
      <c r="E88" s="35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3"/>
      <c r="D89" s="34"/>
      <c r="E89" s="35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3"/>
      <c r="D90" s="34"/>
      <c r="E90" s="35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3"/>
      <c r="D91" s="34"/>
      <c r="E91" s="35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