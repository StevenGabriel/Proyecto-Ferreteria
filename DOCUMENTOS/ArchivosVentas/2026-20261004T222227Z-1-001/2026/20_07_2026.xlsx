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<sst xmlns="http://schemas.openxmlformats.org/spreadsheetml/2006/main" count="127" uniqueCount="125">
  <si>
    <t>HOJA DE CALCULO FERRETERIA</t>
  </si>
  <si>
    <t>CODIGO</t>
  </si>
  <si>
    <t>CANTIDAD</t>
  </si>
  <si>
    <t>DESCRIPCION</t>
  </si>
  <si>
    <t>TOTAL</t>
  </si>
  <si>
    <t>HORA</t>
  </si>
  <si>
    <t>CUADRAR</t>
  </si>
  <si>
    <t>flaper astra</t>
  </si>
  <si>
    <t>cadena de bateria</t>
  </si>
  <si>
    <t>MONEDAS</t>
  </si>
  <si>
    <t>CAJA CHICA</t>
  </si>
  <si>
    <t>espatula 4</t>
  </si>
  <si>
    <t>BILLETES 10-20</t>
  </si>
  <si>
    <t>TOTAL VENTAS DIA</t>
  </si>
  <si>
    <t>espatula 5</t>
  </si>
  <si>
    <t>BILLETES 50-100-200</t>
  </si>
  <si>
    <t>AUMENTO DE DINERO</t>
  </si>
  <si>
    <t>laminas</t>
  </si>
  <si>
    <t>INGRESOS YAPE</t>
  </si>
  <si>
    <t>2kl</t>
  </si>
  <si>
    <t>tiza</t>
  </si>
  <si>
    <t>INGRESOS TARJETA</t>
  </si>
  <si>
    <t>sacabocafo 32mm fierro</t>
  </si>
  <si>
    <t>GASTOS VARIOS</t>
  </si>
  <si>
    <t>GRIFO FV</t>
  </si>
  <si>
    <t>TAPON 1/2</t>
  </si>
  <si>
    <t>DINERO GANADO HOY:</t>
  </si>
  <si>
    <t>CANTIDAD DINERO CAJA:</t>
  </si>
  <si>
    <t>PAR BISAGRA 2 ROYAL</t>
  </si>
  <si>
    <t>LIJA 120</t>
  </si>
  <si>
    <t>ESPACIADOR 1.5MM</t>
  </si>
  <si>
    <t>CAUTIN 60W</t>
  </si>
  <si>
    <t>CONECTOR RAPIDO</t>
  </si>
  <si>
    <t>RODAPIE 4</t>
  </si>
  <si>
    <t>ARANDELAS DE PRECION</t>
  </si>
  <si>
    <t>YAPE MAMÁ</t>
  </si>
  <si>
    <t>YAPE PAPÁ</t>
  </si>
  <si>
    <t>YAPE</t>
  </si>
  <si>
    <t>RODAPIE SILICONA 2</t>
  </si>
  <si>
    <t>Monto Total YAPE (No tocar):</t>
  </si>
  <si>
    <t>BROCA 8 MADERA CON 24 TARUGOS</t>
  </si>
  <si>
    <t>BOLSA DE CLAVOS</t>
  </si>
  <si>
    <t>Monto Total Registrado en aplicacion</t>
  </si>
  <si>
    <t>PUE DE AMIGO NEGRO</t>
  </si>
  <si>
    <t>PIE DE AMIGO BL</t>
  </si>
  <si>
    <t>CORTADOR DE CERAMICA LAPIZ</t>
  </si>
  <si>
    <t>SILICONA TRASPARENTE SIKA</t>
  </si>
  <si>
    <t>CINTA AISLANTE</t>
  </si>
  <si>
    <t xml:space="preserve">ARMELLA </t>
  </si>
  <si>
    <t>DADO ALLEM 6</t>
  </si>
  <si>
    <t>ADAPTADOR 1/2X 3/8</t>
  </si>
  <si>
    <t>PAGOS YAPE</t>
  </si>
  <si>
    <t>DESCRIPCION PAGO</t>
  </si>
  <si>
    <t>ADAPTADOR 3/8 X 1/4</t>
  </si>
  <si>
    <t>3M</t>
  </si>
  <si>
    <t>CAÑERIA 11/4</t>
  </si>
  <si>
    <t>1KL</t>
  </si>
  <si>
    <t>ALAMBRE GAL 10</t>
  </si>
  <si>
    <t>GRAMPAS 35MM</t>
  </si>
  <si>
    <t>GRIFO DE PLASTICO 1/2</t>
  </si>
  <si>
    <t>CINTAS EMBALAJE 100Y</t>
  </si>
  <si>
    <t>FLOTADOR</t>
  </si>
  <si>
    <t>10M</t>
  </si>
  <si>
    <t>PERLON 12</t>
  </si>
  <si>
    <t>CARBON 271</t>
  </si>
  <si>
    <t>SOQUET</t>
  </si>
  <si>
    <t>17DOS</t>
  </si>
  <si>
    <t>CHIP 3.5 X 45</t>
  </si>
  <si>
    <t>RAMPLU 6</t>
  </si>
  <si>
    <t>SACAbocafo 32mm fierro</t>
  </si>
  <si>
    <t>SACABOCADO 22MM</t>
  </si>
  <si>
    <t>DISCOUYUSTO</t>
  </si>
  <si>
    <t>DISCOD DESBASGE</t>
  </si>
  <si>
    <t>DIACO FAL</t>
  </si>
  <si>
    <t>BOTON LATERAL</t>
  </si>
  <si>
    <t>1,5M</t>
  </si>
  <si>
    <t xml:space="preserve">MANGUERA DE NIVEL </t>
  </si>
  <si>
    <t>ABRAZADERA 7/8</t>
  </si>
  <si>
    <t>CHIP 4X40</t>
  </si>
  <si>
    <t>GOGTITA TOTAL</t>
  </si>
  <si>
    <t>MASO TOLSEN</t>
  </si>
  <si>
    <t>PIE DE AMIGO 1</t>
  </si>
  <si>
    <t>3DOC</t>
  </si>
  <si>
    <t>CHIP 3.5 X 16</t>
  </si>
  <si>
    <t>GRIFO LAVAMANOS ATLAS</t>
  </si>
  <si>
    <t>GRIFO LAVAPLATOS</t>
  </si>
  <si>
    <t>GOTITA GEL</t>
  </si>
  <si>
    <t>TEFLON</t>
  </si>
  <si>
    <t>CINTA ASILNATE</t>
  </si>
  <si>
    <t>BROCA CONCRETO 3/4</t>
  </si>
  <si>
    <t>BROCA CONCRETO 1/2</t>
  </si>
  <si>
    <t>CHIP 3,5</t>
  </si>
  <si>
    <t>BROCA FLEXH</t>
  </si>
  <si>
    <t xml:space="preserve">ENGRAMPADOR </t>
  </si>
  <si>
    <t>GRAPSA TURPERE</t>
  </si>
  <si>
    <t xml:space="preserve">BRKOCA FLECHA </t>
  </si>
  <si>
    <t>PIE DE AMGIO</t>
  </si>
  <si>
    <t xml:space="preserve">RMAPLKDU LADIRLLO </t>
  </si>
  <si>
    <t>CHIO 4,5</t>
  </si>
  <si>
    <t>BRKOCA CONCRETO 6</t>
  </si>
  <si>
    <t>BROCA FIERRO 3 MM</t>
  </si>
  <si>
    <t>GRMPA UYUSTOO</t>
  </si>
  <si>
    <t>M MANGUERA NIVEL</t>
  </si>
  <si>
    <t>DISCO UYUSDTO</t>
  </si>
  <si>
    <t>TOR ROS PAN 5*1/2</t>
  </si>
  <si>
    <t>PIE DE AMGO</t>
  </si>
  <si>
    <t>TAPO MACO FG 3/4</t>
  </si>
  <si>
    <t>raskpadores turper</t>
  </si>
  <si>
    <t>raspador  truepr</t>
  </si>
  <si>
    <t>llanas truper</t>
  </si>
  <si>
    <t>4doc</t>
  </si>
  <si>
    <t>chip</t>
  </si>
  <si>
    <t>1,5doc</t>
  </si>
  <si>
    <t>peros</t>
  </si>
  <si>
    <t>manguera</t>
  </si>
  <si>
    <t>union de manguera</t>
  </si>
  <si>
    <t xml:space="preserve">3 mt </t>
  </si>
  <si>
    <t xml:space="preserve">corrugado </t>
  </si>
  <si>
    <t xml:space="preserve">reduccion copla </t>
  </si>
  <si>
    <t>tee 1/2</t>
  </si>
  <si>
    <t>sierra nichelson</t>
  </si>
  <si>
    <t>candado hermex</t>
  </si>
  <si>
    <t xml:space="preserve">PASA CALE </t>
  </si>
  <si>
    <t xml:space="preserve">ARANDELA </t>
  </si>
  <si>
    <t>M MANGUERA 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</si>
</sst>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8.0</v>
      </c>
      <c r="E8" s="8">
        <v>46223.36252606481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10.0</v>
      </c>
      <c r="E9" s="8">
        <v>46223.362642465276</v>
      </c>
      <c r="F9" s="2"/>
      <c r="G9" s="9" t="s">
        <v>9</v>
      </c>
      <c r="H9" s="10">
        <v>120.5</v>
      </c>
      <c r="I9" s="2"/>
      <c r="J9" s="9" t="s">
        <v>10</v>
      </c>
      <c r="K9" s="10">
        <v>685.5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10.0</v>
      </c>
      <c r="E10" s="8">
        <v>46223.38504857639</v>
      </c>
      <c r="F10" s="2"/>
      <c r="G10" s="9" t="s">
        <v>12</v>
      </c>
      <c r="H10" s="10">
        <v>400.0</v>
      </c>
      <c r="I10" s="2"/>
      <c r="J10" s="9" t="s">
        <v>13</v>
      </c>
      <c r="K10" s="11">
        <f>SUM(PRINCIPAL[TOTAL])</f>
        <v>4098.5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25.0</v>
      </c>
      <c r="E11" s="8">
        <v>46223.38508997685</v>
      </c>
      <c r="F11" s="2"/>
      <c r="G11" s="9" t="s">
        <v>15</v>
      </c>
      <c r="H11" s="10">
        <v>2600.0</v>
      </c>
      <c r="I11" s="2"/>
      <c r="J11" s="9" t="s">
        <v>16</v>
      </c>
      <c r="K11" s="10">
        <v>160.0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35.0</v>
      </c>
      <c r="E12" s="8">
        <v>46223.385134861106</v>
      </c>
      <c r="F12" s="2"/>
      <c r="G12" s="9" t="s">
        <v>18</v>
      </c>
      <c r="H12" s="12">
        <f>SUM(G24:H361)</f>
        <v>1986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19</v>
      </c>
      <c r="C13" s="7" t="s">
        <v>20</v>
      </c>
      <c r="D13" s="6">
        <v>6.0</v>
      </c>
      <c r="E13" s="8">
        <v>46223.38526116898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78.0</v>
      </c>
      <c r="E14" s="8">
        <v>46223.391561192126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85.0</v>
      </c>
      <c r="E15" s="8">
        <v>46223.394509861115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2.0</v>
      </c>
      <c r="E16" s="8">
        <v>46223.39460665509</v>
      </c>
      <c r="F16" s="2"/>
      <c r="G16" s="15" t="s">
        <v>26</v>
      </c>
      <c r="H16" s="16">
        <f>SUM(H9:H14)</f>
        <v>5106.5</v>
      </c>
      <c r="I16" s="3"/>
      <c r="J16" s="15" t="s">
        <v>27</v>
      </c>
      <c r="K16" s="16">
        <f>SUM(K9:K11)</f>
        <v>4944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3.0</v>
      </c>
      <c r="C17" s="7" t="s">
        <v>28</v>
      </c>
      <c r="D17" s="6">
        <v>12.0</v>
      </c>
      <c r="E17" s="8">
        <v>46223.40903809028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17">
        <v>46054.0</v>
      </c>
      <c r="C18" s="7" t="s">
        <v>29</v>
      </c>
      <c r="D18" s="6">
        <v>5.0</v>
      </c>
      <c r="E18" s="8">
        <v>46223.409220381945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162,50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37.0</v>
      </c>
      <c r="E19" s="8">
        <v>46223.41234995371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22.0</v>
      </c>
      <c r="E20" s="8">
        <v>46223.41923162037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9.0</v>
      </c>
      <c r="E21" s="8">
        <v>46223.44877659722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8.0</v>
      </c>
      <c r="C22" s="7" t="s">
        <v>33</v>
      </c>
      <c r="D22" s="6">
        <v>56.0</v>
      </c>
      <c r="E22" s="8">
        <v>46223.45618145833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48.0</v>
      </c>
      <c r="C23" s="7" t="s">
        <v>34</v>
      </c>
      <c r="D23" s="20">
        <v>9.0</v>
      </c>
      <c r="E23" s="8">
        <v>46223.456314537034</v>
      </c>
      <c r="F23" s="2"/>
      <c r="G23" s="21" t="s">
        <v>35</v>
      </c>
      <c r="H23" s="21" t="s">
        <v>36</v>
      </c>
      <c r="I23" s="2"/>
      <c r="J23" s="22" t="s">
        <v>37</v>
      </c>
      <c r="L23" s="23"/>
      <c r="M23" s="2"/>
      <c r="N23" s="2"/>
      <c r="O23" s="2"/>
      <c r="P23" s="2"/>
      <c r="Q23" s="2"/>
    </row>
    <row r="24" ht="22.5" customHeight="1">
      <c r="A24" s="13"/>
      <c r="B24" s="6">
        <v>6.0</v>
      </c>
      <c r="C24" s="7" t="s">
        <v>38</v>
      </c>
      <c r="D24" s="6">
        <v>126.0</v>
      </c>
      <c r="E24" s="8">
        <v>46223.46129951389</v>
      </c>
      <c r="F24" s="2"/>
      <c r="G24" s="24">
        <v>78.0</v>
      </c>
      <c r="H24" s="25"/>
      <c r="I24" s="2"/>
      <c r="J24" s="26" t="s">
        <v>39</v>
      </c>
      <c r="K24" s="27">
        <f>SUM(INGRESOS_YAPE[])</f>
        <v>1986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20.0</v>
      </c>
      <c r="E25" s="8">
        <v>46223.46648606482</v>
      </c>
      <c r="F25" s="2"/>
      <c r="G25" s="24">
        <v>17.0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20">
        <v>3.0</v>
      </c>
      <c r="E26" s="8">
        <v>46223.47031276621</v>
      </c>
      <c r="F26" s="2"/>
      <c r="G26" s="28">
        <v>37.0</v>
      </c>
      <c r="H26" s="25"/>
      <c r="I26" s="2"/>
      <c r="J26" s="29" t="s">
        <v>42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43</v>
      </c>
      <c r="D27" s="6">
        <v>10.0</v>
      </c>
      <c r="E27" s="8">
        <v>46223.47372862269</v>
      </c>
      <c r="F27" s="2"/>
      <c r="G27" s="24">
        <v>22.0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4.0</v>
      </c>
      <c r="C28" s="7" t="s">
        <v>44</v>
      </c>
      <c r="D28" s="6">
        <v>10.0</v>
      </c>
      <c r="E28" s="8">
        <v>46223.47381835648</v>
      </c>
      <c r="F28" s="2"/>
      <c r="G28" s="24">
        <v>65.0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20">
        <v>30.0</v>
      </c>
      <c r="E29" s="8">
        <v>46223.47410832176</v>
      </c>
      <c r="F29" s="2"/>
      <c r="G29" s="24">
        <v>126.0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1986,00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6.0</v>
      </c>
      <c r="C30" s="7" t="s">
        <v>46</v>
      </c>
      <c r="D30" s="6">
        <v>234.0</v>
      </c>
      <c r="E30" s="8">
        <v>46223.48310511574</v>
      </c>
      <c r="F30" s="2"/>
      <c r="G30" s="24">
        <v>20.0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9.0</v>
      </c>
      <c r="E31" s="8">
        <v>46223.48541658565</v>
      </c>
      <c r="F31" s="2"/>
      <c r="G31" s="24">
        <v>85.0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3.0</v>
      </c>
      <c r="C32" s="7" t="s">
        <v>48</v>
      </c>
      <c r="D32" s="6">
        <v>9.0</v>
      </c>
      <c r="E32" s="8">
        <v>46223.48550145833</v>
      </c>
      <c r="F32" s="2"/>
      <c r="G32" s="24">
        <v>187.0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35.0</v>
      </c>
      <c r="E33" s="8">
        <v>46223.489967256945</v>
      </c>
      <c r="F33" s="2"/>
      <c r="G33" s="24">
        <v>15.0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32.0</v>
      </c>
      <c r="E34" s="8">
        <v>46223.49009251157</v>
      </c>
      <c r="F34" s="2"/>
      <c r="G34" s="24">
        <v>27.0</v>
      </c>
      <c r="H34" s="25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18.0</v>
      </c>
      <c r="E35" s="8">
        <v>46223.490175451385</v>
      </c>
      <c r="F35" s="2"/>
      <c r="G35" s="24">
        <v>100.0</v>
      </c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 t="s">
        <v>54</v>
      </c>
      <c r="C36" s="7" t="s">
        <v>55</v>
      </c>
      <c r="D36" s="6">
        <v>85.0</v>
      </c>
      <c r="E36" s="8">
        <v>46223.49211424768</v>
      </c>
      <c r="F36" s="2"/>
      <c r="G36" s="24">
        <v>40.0</v>
      </c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 t="s">
        <v>56</v>
      </c>
      <c r="C37" s="7" t="s">
        <v>57</v>
      </c>
      <c r="D37" s="20">
        <v>27.0</v>
      </c>
      <c r="E37" s="8">
        <v>46223.494769212964</v>
      </c>
      <c r="F37" s="2"/>
      <c r="G37" s="24">
        <v>339.0</v>
      </c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58</v>
      </c>
      <c r="D38" s="6">
        <v>187.0</v>
      </c>
      <c r="E38" s="8">
        <v>46223.50107694445</v>
      </c>
      <c r="F38" s="2"/>
      <c r="G38" s="24">
        <v>236.0</v>
      </c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59</v>
      </c>
      <c r="D39" s="6">
        <v>15.0</v>
      </c>
      <c r="E39" s="8">
        <v>46223.50116291667</v>
      </c>
      <c r="F39" s="2"/>
      <c r="G39" s="24">
        <v>287.0</v>
      </c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60</v>
      </c>
      <c r="D40" s="6">
        <v>10.0</v>
      </c>
      <c r="E40" s="8">
        <v>46223.507073981484</v>
      </c>
      <c r="F40" s="2"/>
      <c r="G40" s="24">
        <v>15.0</v>
      </c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120.0</v>
      </c>
      <c r="E41" s="8">
        <v>46223.51757099537</v>
      </c>
      <c r="F41" s="2"/>
      <c r="G41" s="24">
        <v>62.0</v>
      </c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 t="s">
        <v>62</v>
      </c>
      <c r="C42" s="7" t="s">
        <v>63</v>
      </c>
      <c r="D42" s="6">
        <v>80.0</v>
      </c>
      <c r="E42" s="8">
        <v>46223.51962871528</v>
      </c>
      <c r="F42" s="2"/>
      <c r="G42" s="24">
        <v>61.0</v>
      </c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64</v>
      </c>
      <c r="D43" s="6">
        <v>19.0</v>
      </c>
      <c r="E43" s="8">
        <v>46223.54115626158</v>
      </c>
      <c r="F43" s="2"/>
      <c r="G43" s="24">
        <v>15.0</v>
      </c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65</v>
      </c>
      <c r="D44" s="6">
        <v>5.0</v>
      </c>
      <c r="E44" s="8">
        <v>46223.55372210648</v>
      </c>
      <c r="F44" s="2"/>
      <c r="G44" s="24">
        <v>128.0</v>
      </c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66</v>
      </c>
      <c r="C45" s="7" t="s">
        <v>67</v>
      </c>
      <c r="D45" s="6">
        <v>39.1</v>
      </c>
      <c r="E45" s="8">
        <v>46223.56420878472</v>
      </c>
      <c r="F45" s="2"/>
      <c r="G45" s="24">
        <v>24.0</v>
      </c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10.0</v>
      </c>
      <c r="C46" s="7" t="s">
        <v>68</v>
      </c>
      <c r="D46" s="6">
        <v>0.9</v>
      </c>
      <c r="E46" s="8">
        <v>46223.56440200232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69</v>
      </c>
      <c r="D47" s="6">
        <v>156.0</v>
      </c>
      <c r="E47" s="8">
        <v>46223.58200059028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70</v>
      </c>
      <c r="D48" s="6">
        <v>54.0</v>
      </c>
      <c r="E48" s="8">
        <v>46223.58214130787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30.0</v>
      </c>
      <c r="C49" s="7" t="s">
        <v>71</v>
      </c>
      <c r="D49" s="6">
        <v>135.0</v>
      </c>
      <c r="E49" s="8">
        <v>46223.592409502315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72</v>
      </c>
      <c r="D50" s="6">
        <v>48.0</v>
      </c>
      <c r="E50" s="8">
        <v>46223.59254570602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73</v>
      </c>
      <c r="D51" s="6">
        <v>20.0</v>
      </c>
      <c r="E51" s="8">
        <v>46223.592623819444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74</v>
      </c>
      <c r="D52" s="6">
        <v>35.0</v>
      </c>
      <c r="E52" s="8">
        <v>46223.597830694445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75</v>
      </c>
      <c r="C53" s="7" t="s">
        <v>76</v>
      </c>
      <c r="D53" s="6">
        <v>21.0</v>
      </c>
      <c r="E53" s="8">
        <v>46223.59987371528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77</v>
      </c>
      <c r="D54" s="6">
        <v>6.0</v>
      </c>
      <c r="E54" s="8">
        <v>46223.60121608796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12.0</v>
      </c>
      <c r="C55" s="7" t="s">
        <v>68</v>
      </c>
      <c r="D55" s="6">
        <v>1.0</v>
      </c>
      <c r="E55" s="8">
        <v>46223.616185300925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12.0</v>
      </c>
      <c r="C56" s="7" t="s">
        <v>78</v>
      </c>
      <c r="D56" s="6">
        <v>3.0</v>
      </c>
      <c r="E56" s="8">
        <v>46223.61628037037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79</v>
      </c>
      <c r="D57" s="6">
        <v>6.0</v>
      </c>
      <c r="E57" s="8">
        <v>46223.61640168981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80</v>
      </c>
      <c r="D58" s="6">
        <v>75.0</v>
      </c>
      <c r="E58" s="8">
        <v>46223.61726049769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81</v>
      </c>
      <c r="D59" s="6">
        <v>6.0</v>
      </c>
      <c r="E59" s="8">
        <v>46223.62844951389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82</v>
      </c>
      <c r="C60" s="7" t="s">
        <v>83</v>
      </c>
      <c r="D60" s="6">
        <v>3.0</v>
      </c>
      <c r="E60" s="8">
        <v>46223.62856328704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12.0</v>
      </c>
      <c r="C61" s="7" t="s">
        <v>81</v>
      </c>
      <c r="D61" s="6">
        <v>12.0</v>
      </c>
      <c r="E61" s="8">
        <v>46223.63132900463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84</v>
      </c>
      <c r="D62" s="6">
        <v>110.0</v>
      </c>
      <c r="E62" s="8">
        <v>46223.63250811343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85</v>
      </c>
      <c r="D63" s="6">
        <v>110.0</v>
      </c>
      <c r="E63" s="8">
        <v>46223.63259923611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86</v>
      </c>
      <c r="D64" s="6">
        <v>15.0</v>
      </c>
      <c r="E64" s="8">
        <v>46223.63367594907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87</v>
      </c>
      <c r="D65" s="6">
        <v>3.0</v>
      </c>
      <c r="E65" s="8">
        <v>46223.63374337963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88</v>
      </c>
      <c r="D66" s="6">
        <v>13.0</v>
      </c>
      <c r="E66" s="8">
        <v>46223.6338284375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89</v>
      </c>
      <c r="D67" s="6">
        <v>143.0</v>
      </c>
      <c r="E67" s="8">
        <v>46223.63604445602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90</v>
      </c>
      <c r="D68" s="6">
        <v>144.0</v>
      </c>
      <c r="E68" s="8">
        <v>46223.636118888884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24.0</v>
      </c>
      <c r="C69" s="7" t="s">
        <v>91</v>
      </c>
      <c r="D69" s="6">
        <v>2.0</v>
      </c>
      <c r="E69" s="8">
        <v>46223.63963752315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92</v>
      </c>
      <c r="D70" s="6">
        <v>62.0</v>
      </c>
      <c r="E70" s="8">
        <v>46223.645447303235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93</v>
      </c>
      <c r="D71" s="6">
        <v>225.0</v>
      </c>
      <c r="E71" s="8">
        <v>46223.65578572916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3.0</v>
      </c>
      <c r="C72" s="7" t="s">
        <v>94</v>
      </c>
      <c r="D72" s="6">
        <v>26.0</v>
      </c>
      <c r="E72" s="8">
        <v>46223.656085486116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95</v>
      </c>
      <c r="D73" s="6">
        <v>62.0</v>
      </c>
      <c r="E73" s="8">
        <v>46223.65635145833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12.0</v>
      </c>
      <c r="C74" s="7" t="s">
        <v>96</v>
      </c>
      <c r="D74" s="6">
        <v>72.0</v>
      </c>
      <c r="E74" s="8">
        <v>46223.65724042824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36.0</v>
      </c>
      <c r="C75" s="7" t="s">
        <v>97</v>
      </c>
      <c r="D75" s="6">
        <v>9.0</v>
      </c>
      <c r="E75" s="8">
        <v>46223.65751600695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36.0</v>
      </c>
      <c r="C76" s="7" t="s">
        <v>98</v>
      </c>
      <c r="D76" s="6">
        <v>9.0</v>
      </c>
      <c r="E76" s="8">
        <v>46223.65757225694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99</v>
      </c>
      <c r="D77" s="6">
        <v>20.0</v>
      </c>
      <c r="E77" s="8">
        <v>46223.65787322917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100</v>
      </c>
      <c r="D78" s="6">
        <v>10.0</v>
      </c>
      <c r="E78" s="8">
        <v>46223.6581381713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101</v>
      </c>
      <c r="D79" s="6">
        <v>8.0</v>
      </c>
      <c r="E79" s="8">
        <v>46223.65975012731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3.0</v>
      </c>
      <c r="C80" s="7" t="s">
        <v>102</v>
      </c>
      <c r="D80" s="6">
        <v>19.5</v>
      </c>
      <c r="E80" s="8">
        <v>46223.6607183912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103</v>
      </c>
      <c r="D81" s="6">
        <v>4.5</v>
      </c>
      <c r="E81" s="8">
        <v>46223.66098259259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24.0</v>
      </c>
      <c r="C82" s="7" t="s">
        <v>104</v>
      </c>
      <c r="D82" s="6">
        <v>10.0</v>
      </c>
      <c r="E82" s="8">
        <v>46223.66171313658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6.0</v>
      </c>
      <c r="C83" s="7" t="s">
        <v>105</v>
      </c>
      <c r="D83" s="6">
        <v>6.0</v>
      </c>
      <c r="E83" s="8">
        <v>46223.66573508102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106</v>
      </c>
      <c r="D84" s="6">
        <v>17.0</v>
      </c>
      <c r="E84" s="8">
        <v>46223.668120567134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107</v>
      </c>
      <c r="D85" s="6">
        <v>106.0</v>
      </c>
      <c r="E85" s="8">
        <v>46223.67892666667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108</v>
      </c>
      <c r="D86" s="6">
        <v>65.0</v>
      </c>
      <c r="E86" s="8">
        <v>46223.67910871528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4.0</v>
      </c>
      <c r="C87" s="7" t="s">
        <v>109</v>
      </c>
      <c r="D87" s="6">
        <v>368.0</v>
      </c>
      <c r="E87" s="8">
        <v>46223.679189675924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 t="s">
        <v>110</v>
      </c>
      <c r="C88" s="7" t="s">
        <v>111</v>
      </c>
      <c r="D88" s="6">
        <v>4.0</v>
      </c>
      <c r="E88" s="8">
        <v>46223.69697925926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 t="s">
        <v>112</v>
      </c>
      <c r="C89" s="7" t="s">
        <v>113</v>
      </c>
      <c r="D89" s="6">
        <v>4.5</v>
      </c>
      <c r="E89" s="8">
        <v>46223.697025601854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6.0</v>
      </c>
      <c r="C90" s="7" t="s">
        <v>114</v>
      </c>
      <c r="D90" s="6">
        <v>48.0</v>
      </c>
      <c r="E90" s="8">
        <v>46223.69722607639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115</v>
      </c>
      <c r="D91" s="6">
        <v>7.0</v>
      </c>
      <c r="E91" s="8">
        <v>46223.6973868287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 t="s">
        <v>116</v>
      </c>
      <c r="C92" s="7" t="s">
        <v>117</v>
      </c>
      <c r="D92" s="6">
        <v>10.0</v>
      </c>
      <c r="E92" s="8">
        <v>46223.72346201389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118</v>
      </c>
      <c r="D93" s="6">
        <v>5.0</v>
      </c>
      <c r="E93" s="8">
        <v>46223.74935788194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119</v>
      </c>
      <c r="D94" s="6">
        <v>5.0</v>
      </c>
      <c r="E94" s="8">
        <v>46223.749428703704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120</v>
      </c>
      <c r="D95" s="6">
        <v>15.0</v>
      </c>
      <c r="E95" s="8">
        <v>46223.751675312495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121</v>
      </c>
      <c r="D96" s="6">
        <v>90.0</v>
      </c>
      <c r="E96" s="8">
        <v>46223.7647235301</v>
      </c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122</v>
      </c>
      <c r="D97" s="6">
        <v>128.0</v>
      </c>
      <c r="E97" s="8">
        <v>46223.76477988426</v>
      </c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123</v>
      </c>
      <c r="D98" s="6">
        <v>5.0</v>
      </c>
      <c r="E98" s="8">
        <v>46223.77506829861</v>
      </c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2.0</v>
      </c>
      <c r="C99" s="7" t="s">
        <v>124</v>
      </c>
      <c r="D99" s="6">
        <v>24.0</v>
      </c>
      <c r="E99" s="8">
        <v>46223.7751356713</v>
      </c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/>
      <c r="C100" s="7"/>
      <c r="D100" s="35"/>
      <c r="E100" s="8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6"/>
      <c r="D101" s="35"/>
      <c r="E101" s="37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6"/>
      <c r="D102" s="35"/>
      <c r="E102" s="37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6"/>
      <c r="D103" s="35"/>
      <c r="E103" s="37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6"/>
      <c r="D104" s="35"/>
      <c r="E104" s="37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6"/>
      <c r="D105" s="35"/>
      <c r="E105" s="37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6"/>
      <c r="D106" s="35"/>
      <c r="E106" s="37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6"/>
      <c r="D107" s="35"/>
      <c r="E107" s="37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5"/>
      <c r="E108" s="37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5"/>
      <c r="E109" s="37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5"/>
      <c r="E110" s="37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5"/>
      <c r="E111" s="37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5"/>
      <c r="E112" s="37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5"/>
      <c r="E113" s="37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5"/>
      <c r="E114" s="37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5"/>
      <c r="E115" s="37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5"/>
      <c r="E116" s="37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5"/>
      <c r="E117" s="37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5"/>
      <c r="E118" s="37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5"/>
      <c r="E119" s="37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5"/>
      <c r="E120" s="37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5"/>
      <c r="E121" s="37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5"/>
      <c r="E122" s="37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5"/>
      <c r="E123" s="37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5"/>
      <c r="E124" s="37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5"/>
      <c r="E125" s="37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5"/>
      <c r="E126" s="37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5"/>
      <c r="E127" s="37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5"/>
      <c r="E128" s="37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5"/>
      <c r="E129" s="37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5"/>
      <c r="E130" s="37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5"/>
      <c r="E131" s="37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5"/>
      <c r="E132" s="37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5"/>
      <c r="E133" s="37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5"/>
      <c r="E134" s="37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5"/>
      <c r="E135" s="37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5"/>
      <c r="E136" s="37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5"/>
      <c r="E137" s="37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5"/>
      <c r="E138" s="37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5"/>
      <c r="E139" s="37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5"/>
      <c r="E140" s="37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5"/>
      <c r="E141" s="37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5"/>
      <c r="E142" s="37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5"/>
      <c r="E143" s="37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5"/>
      <c r="E144" s="37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5"/>
      <c r="E145" s="37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5"/>
      <c r="E146" s="37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5"/>
      <c r="E147" s="37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5"/>
      <c r="E148" s="37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5"/>
      <c r="E149" s="37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5"/>
      <c r="E150" s="37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5"/>
      <c r="E151" s="37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5"/>
      <c r="E152" s="37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5"/>
      <c r="E153" s="37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5"/>
      <c r="E154" s="37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5"/>
      <c r="E155" s="37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5"/>
      <c r="E156" s="37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5"/>
      <c r="E157" s="37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5"/>
      <c r="E158" s="37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5"/>
      <c r="E159" s="37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5"/>
      <c r="E160" s="37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5"/>
      <c r="E161" s="37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5"/>
      <c r="E162" s="37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5"/>
      <c r="E163" s="37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5"/>
      <c r="E164" s="37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5"/>
      <c r="E165" s="37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5"/>
      <c r="E166" s="37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5"/>
      <c r="E167" s="37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5"/>
      <c r="E168" s="37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5"/>
      <c r="E169" s="37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5"/>
      <c r="E170" s="37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5"/>
      <c r="E171" s="37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5"/>
      <c r="E172" s="37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5"/>
      <c r="E173" s="37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5"/>
      <c r="E174" s="37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5"/>
      <c r="E175" s="37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5"/>
      <c r="E176" s="37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5"/>
      <c r="E177" s="37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5"/>
      <c r="E178" s="37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5"/>
      <c r="E179" s="37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5"/>
      <c r="E180" s="37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5"/>
      <c r="E181" s="37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5"/>
      <c r="E182" s="37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5"/>
      <c r="E183" s="37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5"/>
      <c r="E184" s="37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5"/>
      <c r="E185" s="37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5"/>
      <c r="E186" s="37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5"/>
      <c r="E187" s="37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5"/>
      <c r="E188" s="37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5"/>
      <c r="E189" s="37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5"/>
      <c r="E190" s="37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5"/>
      <c r="E191" s="37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5"/>
      <c r="E192" s="37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5"/>
      <c r="E193" s="37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5"/>
      <c r="E194" s="37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5"/>
      <c r="E195" s="37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5"/>
      <c r="E196" s="37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5"/>
      <c r="E197" s="37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5"/>
      <c r="E198" s="37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5"/>
      <c r="E199" s="37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5"/>
      <c r="E200" s="37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5"/>
      <c r="E201" s="37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5"/>
      <c r="E202" s="37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5"/>
      <c r="E203" s="37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5"/>
      <c r="E204" s="37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5"/>
      <c r="E205" s="37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5"/>
      <c r="E206" s="37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5"/>
      <c r="E207" s="37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5"/>
      <c r="E208" s="37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5"/>
      <c r="E209" s="37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5"/>
      <c r="E210" s="37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5"/>
      <c r="E211" s="37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5"/>
      <c r="E212" s="37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5"/>
      <c r="E213" s="37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5"/>
      <c r="E214" s="37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5"/>
      <c r="E215" s="37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5"/>
      <c r="E216" s="37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5"/>
      <c r="E217" s="37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5"/>
      <c r="E218" s="37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5"/>
      <c r="E219" s="37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5"/>
      <c r="E220" s="37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5"/>
      <c r="E221" s="37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5"/>
      <c r="E222" s="37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5"/>
      <c r="E223" s="37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5"/>
      <c r="E224" s="37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5"/>
      <c r="E225" s="37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5"/>
      <c r="E226" s="37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5"/>
      <c r="E227" s="37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5"/>
      <c r="E228" s="37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5"/>
      <c r="E229" s="37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5"/>
      <c r="E230" s="37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5"/>
      <c r="E231" s="37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5"/>
      <c r="E232" s="37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5"/>
      <c r="E233" s="37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5"/>
      <c r="E234" s="37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5"/>
      <c r="E235" s="37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5"/>
      <c r="E236" s="37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5"/>
      <c r="E237" s="37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5"/>
      <c r="E238" s="37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5"/>
      <c r="E239" s="37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5"/>
      <c r="E240" s="37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5"/>
      <c r="E241" s="37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5"/>
      <c r="E242" s="37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5"/>
      <c r="E243" s="37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5"/>
      <c r="E244" s="37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5"/>
      <c r="E245" s="37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5"/>
      <c r="E246" s="37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5"/>
      <c r="E247" s="37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5"/>
      <c r="E248" s="37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5"/>
      <c r="E249" s="37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5"/>
      <c r="E250" s="37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5"/>
      <c r="E251" s="37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5"/>
      <c r="E252" s="37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5"/>
      <c r="E253" s="37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5"/>
      <c r="E254" s="37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5"/>
      <c r="E255" s="37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5"/>
      <c r="E256" s="37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5"/>
      <c r="E257" s="37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5"/>
      <c r="E258" s="37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5"/>
      <c r="E259" s="37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5"/>
      <c r="E260" s="37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5"/>
      <c r="E261" s="37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5"/>
      <c r="E262" s="37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5"/>
      <c r="E263" s="37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5"/>
      <c r="E264" s="37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5"/>
      <c r="E265" s="37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5"/>
      <c r="E266" s="37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5"/>
      <c r="E267" s="37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5"/>
      <c r="E268" s="37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5"/>
      <c r="E269" s="37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5"/>
      <c r="E270" s="37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5"/>
      <c r="E271" s="37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5"/>
      <c r="E272" s="37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5"/>
      <c r="E273" s="37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5"/>
      <c r="E274" s="37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5"/>
      <c r="E275" s="37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5"/>
      <c r="E276" s="37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5"/>
      <c r="E277" s="37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5"/>
      <c r="E278" s="37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5"/>
      <c r="E279" s="37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5"/>
      <c r="E280" s="37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5"/>
      <c r="E281" s="37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5"/>
      <c r="E282" s="37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5"/>
      <c r="E283" s="37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5"/>
      <c r="E284" s="37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5"/>
      <c r="E285" s="37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5"/>
      <c r="E286" s="37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5"/>
      <c r="E287" s="37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5"/>
      <c r="E288" s="37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5"/>
      <c r="E289" s="37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5"/>
      <c r="E290" s="37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5"/>
      <c r="E291" s="37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5"/>
      <c r="E292" s="37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5"/>
      <c r="E293" s="37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5"/>
      <c r="E294" s="37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5"/>
      <c r="E295" s="37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5"/>
      <c r="E296" s="37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5"/>
      <c r="E297" s="37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5"/>
      <c r="E298" s="37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5"/>
      <c r="E299" s="37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5"/>
      <c r="E300" s="37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5"/>
      <c r="E301" s="37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